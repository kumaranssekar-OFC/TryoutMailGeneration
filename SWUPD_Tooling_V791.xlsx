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C:\Users\euj1cob\TryoutMailGeneration\"/>
    </mc:Choice>
  </mc:AlternateContent>
  <xr:revisionPtr revIDLastSave="0" documentId="8_{6D65CB19-A405-4AE7-972E-D61C46063812}" xr6:coauthVersionLast="47" xr6:coauthVersionMax="47" xr10:uidLastSave="{00000000-0000-0000-0000-000000000000}"/>
  <bookViews>
    <workbookView xWindow="-108" yWindow="-108" windowWidth="23256" windowHeight="12456" tabRatio="586" xr2:uid="{00000000-000D-0000-FFFF-FFFF00000000}"/>
  </bookViews>
  <sheets>
    <sheet name="Variants" sheetId="6" r:id="rId1"/>
    <sheet name="Variability definition" sheetId="19" r:id="rId2"/>
    <sheet name="Sticks" sheetId="13" r:id="rId3"/>
    <sheet name="Review Coding" sheetId="14" r:id="rId4"/>
    <sheet name="Ressources" sheetId="12" r:id="rId5"/>
    <sheet name="SDB vs GN" sheetId="15" r:id="rId6"/>
    <sheet name="Legend" sheetId="16" r:id="rId7"/>
    <sheet name="Hints" sheetId="17" r:id="rId8"/>
  </sheets>
  <externalReferences>
    <externalReference r:id="rId9"/>
    <externalReference r:id="rId10"/>
    <externalReference r:id="rId11"/>
    <externalReference r:id="rId12"/>
  </externalReferences>
  <definedNames>
    <definedName name="_xlnm._FilterDatabase" localSheetId="1" hidden="1">'Variability definition'!$A$1:$V$46</definedName>
    <definedName name="_xlnm._FilterDatabase" localSheetId="0" hidden="1">Variants!$A$1:$AL$863</definedName>
    <definedName name="_xlnm.Print_Area" localSheetId="0">Variants!$A$3:$AC$71</definedName>
    <definedName name="ST2.0MapDeliveryVariants">'[1]Map Cut'!$G$52:$G$72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753" i="6" l="1"/>
  <c r="B753" i="6"/>
  <c r="B863" i="6"/>
  <c r="AH816" i="6"/>
  <c r="AH756" i="6"/>
  <c r="AH754" i="6"/>
  <c r="AH755" i="6"/>
  <c r="AH759" i="6"/>
  <c r="AH760" i="6"/>
  <c r="AH763" i="6"/>
  <c r="AH764" i="6"/>
  <c r="AH765" i="6"/>
  <c r="AH766" i="6"/>
  <c r="AH767" i="6"/>
  <c r="AH768" i="6"/>
  <c r="AH769" i="6"/>
  <c r="AH770" i="6"/>
  <c r="AH771" i="6"/>
  <c r="AH772" i="6"/>
  <c r="AH773" i="6"/>
  <c r="AH774" i="6"/>
  <c r="AH775" i="6"/>
  <c r="AH776" i="6"/>
  <c r="AH777" i="6"/>
  <c r="AH779" i="6"/>
  <c r="AH780" i="6"/>
  <c r="AH781" i="6"/>
  <c r="AH782" i="6"/>
  <c r="AH783" i="6"/>
  <c r="AH784" i="6"/>
  <c r="AH785" i="6"/>
  <c r="AH788" i="6"/>
  <c r="AH789" i="6"/>
  <c r="AH790" i="6"/>
  <c r="AH791" i="6"/>
  <c r="AH795" i="6"/>
  <c r="AH796" i="6"/>
  <c r="AH797" i="6"/>
  <c r="AH798" i="6"/>
  <c r="AH799" i="6"/>
  <c r="AH800" i="6"/>
  <c r="AH801" i="6"/>
  <c r="AH802" i="6"/>
  <c r="AH803" i="6"/>
  <c r="AH804" i="6"/>
  <c r="AH805" i="6"/>
  <c r="AH806" i="6"/>
  <c r="AH807" i="6"/>
  <c r="AH808" i="6"/>
  <c r="AH809" i="6"/>
  <c r="AH810" i="6"/>
  <c r="AH811" i="6"/>
  <c r="AH812" i="6"/>
  <c r="AH813" i="6"/>
  <c r="AH814" i="6"/>
  <c r="AH817" i="6"/>
  <c r="AH818" i="6"/>
  <c r="AH819" i="6"/>
  <c r="AH820" i="6"/>
  <c r="AH821" i="6"/>
  <c r="AH822" i="6"/>
  <c r="AH823" i="6"/>
  <c r="AH824" i="6"/>
  <c r="AH825" i="6"/>
  <c r="AH826" i="6"/>
  <c r="AH827" i="6"/>
  <c r="AH828" i="6"/>
  <c r="AH829" i="6"/>
  <c r="AH831" i="6"/>
  <c r="AH833" i="6"/>
  <c r="AH835" i="6"/>
  <c r="AH836" i="6"/>
  <c r="AH837" i="6"/>
  <c r="AH838" i="6"/>
  <c r="AH839" i="6"/>
  <c r="AH840" i="6"/>
  <c r="AH841" i="6"/>
  <c r="AH842" i="6"/>
  <c r="AH844" i="6"/>
  <c r="AH849" i="6"/>
  <c r="AH850" i="6"/>
  <c r="AH851" i="6"/>
  <c r="AH852" i="6"/>
  <c r="AH853" i="6"/>
  <c r="AH854" i="6"/>
  <c r="AH855" i="6"/>
  <c r="AH857" i="6"/>
  <c r="AH858" i="6"/>
  <c r="AH859" i="6"/>
  <c r="AH860" i="6"/>
  <c r="AH861" i="6"/>
  <c r="AH862"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768" i="6"/>
  <c r="B767" i="6"/>
  <c r="B766" i="6"/>
  <c r="B765" i="6"/>
  <c r="B764" i="6"/>
  <c r="B763" i="6"/>
  <c r="B762" i="6"/>
  <c r="B761" i="6"/>
  <c r="B760" i="6"/>
  <c r="B759" i="6"/>
  <c r="B758" i="6"/>
  <c r="B757" i="6"/>
  <c r="B756" i="6"/>
  <c r="B754" i="6"/>
  <c r="B752" i="6"/>
  <c r="B747" i="6"/>
  <c r="B748" i="6"/>
  <c r="B749" i="6"/>
  <c r="B750" i="6"/>
  <c r="B751" i="6"/>
  <c r="B746" i="6"/>
  <c r="B563" i="6"/>
  <c r="B564" i="6"/>
  <c r="B565" i="6"/>
  <c r="B558" i="6"/>
  <c r="B559" i="6"/>
  <c r="B560" i="6"/>
  <c r="B561" i="6"/>
  <c r="B562" i="6"/>
  <c r="B707" i="6"/>
  <c r="B706" i="6"/>
  <c r="B705" i="6"/>
  <c r="B708" i="6"/>
  <c r="B719" i="6"/>
  <c r="B718" i="6"/>
  <c r="B717" i="6"/>
  <c r="B716" i="6"/>
  <c r="B715" i="6"/>
  <c r="B714" i="6"/>
  <c r="B713" i="6"/>
  <c r="B712" i="6"/>
  <c r="B711" i="6"/>
  <c r="B710" i="6"/>
  <c r="B709" i="6"/>
  <c r="B745" i="6"/>
  <c r="B744" i="6"/>
  <c r="B743" i="6"/>
  <c r="B742" i="6"/>
  <c r="B741" i="6"/>
  <c r="B740" i="6"/>
  <c r="B739" i="6"/>
  <c r="B738" i="6"/>
  <c r="B737" i="6"/>
  <c r="B736" i="6"/>
  <c r="B735" i="6"/>
  <c r="B734" i="6"/>
  <c r="B282" i="6"/>
  <c r="B731" i="6"/>
  <c r="B732" i="6"/>
  <c r="B733" i="6"/>
  <c r="B671" i="6"/>
  <c r="B720" i="6"/>
  <c r="B721" i="6"/>
  <c r="B722" i="6"/>
  <c r="B723" i="6"/>
  <c r="B724" i="6"/>
  <c r="B725" i="6"/>
  <c r="B726" i="6"/>
  <c r="B727" i="6"/>
  <c r="B728" i="6"/>
  <c r="B729" i="6"/>
  <c r="B730" i="6"/>
  <c r="B704" i="6"/>
  <c r="B700" i="6"/>
  <c r="B701" i="6"/>
  <c r="B702" i="6"/>
  <c r="B703" i="6"/>
  <c r="B694" i="6"/>
  <c r="B695" i="6"/>
  <c r="B696" i="6"/>
  <c r="B697" i="6"/>
  <c r="B698" i="6"/>
  <c r="B699" i="6"/>
  <c r="B557" i="6"/>
  <c r="B692" i="6"/>
  <c r="B693" i="6"/>
  <c r="B678" i="6"/>
  <c r="B679" i="6"/>
  <c r="B680" i="6"/>
  <c r="B681" i="6"/>
  <c r="B682" i="6"/>
  <c r="B683" i="6"/>
  <c r="B684" i="6"/>
  <c r="B685" i="6"/>
  <c r="B686" i="6"/>
  <c r="B687" i="6"/>
  <c r="B688" i="6"/>
  <c r="B689" i="6"/>
  <c r="B690" i="6"/>
  <c r="B691" i="6"/>
  <c r="B677" i="6"/>
  <c r="B556" i="6"/>
  <c r="B554" i="6"/>
  <c r="B555" i="6"/>
  <c r="B676" i="6"/>
  <c r="B675" i="6"/>
  <c r="B674" i="6"/>
  <c r="B545" i="6"/>
  <c r="B546" i="6"/>
  <c r="B547" i="6"/>
  <c r="B548" i="6"/>
  <c r="B549" i="6"/>
  <c r="B550" i="6"/>
  <c r="B551" i="6"/>
  <c r="B552" i="6"/>
  <c r="B553" i="6"/>
  <c r="B673" i="6"/>
  <c r="B672" i="6"/>
  <c r="B669" i="6"/>
  <c r="B670" i="6"/>
  <c r="B668" i="6"/>
  <c r="B666" i="6"/>
  <c r="B667" i="6"/>
  <c r="B544" i="6"/>
  <c r="B529" i="6"/>
  <c r="B530" i="6"/>
  <c r="B531" i="6"/>
  <c r="B532" i="6"/>
  <c r="B533" i="6"/>
  <c r="B534" i="6"/>
  <c r="B535" i="6"/>
  <c r="B536" i="6"/>
  <c r="B537" i="6"/>
  <c r="B538" i="6"/>
  <c r="B539" i="6"/>
  <c r="B540" i="6"/>
  <c r="B541" i="6"/>
  <c r="B542" i="6"/>
  <c r="B543" i="6"/>
  <c r="B527" i="6"/>
  <c r="B528" i="6"/>
  <c r="B665" i="6"/>
  <c r="B517" i="6"/>
  <c r="B518" i="6"/>
  <c r="B519" i="6"/>
  <c r="B520" i="6"/>
  <c r="B521" i="6"/>
  <c r="B522" i="6"/>
  <c r="B523" i="6"/>
  <c r="B524" i="6"/>
  <c r="B525" i="6"/>
  <c r="B526" i="6"/>
  <c r="B661" i="6"/>
  <c r="B662" i="6"/>
  <c r="B663" i="6"/>
  <c r="B664" i="6"/>
  <c r="B659" i="6"/>
  <c r="B660" i="6"/>
  <c r="B658" i="6"/>
  <c r="B512" i="6"/>
  <c r="B513" i="6"/>
  <c r="B514" i="6"/>
  <c r="B515" i="6"/>
  <c r="B516" i="6"/>
  <c r="B511"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508" i="6"/>
  <c r="B509" i="6"/>
  <c r="B510" i="6"/>
  <c r="B624" i="6"/>
  <c r="B505" i="6"/>
  <c r="B506" i="6"/>
  <c r="B507" i="6"/>
  <c r="B622" i="6"/>
  <c r="B623" i="6"/>
  <c r="B504" i="6"/>
  <c r="B503" i="6"/>
  <c r="B501" i="6"/>
  <c r="B502" i="6"/>
  <c r="B488" i="6"/>
  <c r="B489" i="6"/>
  <c r="B490" i="6"/>
  <c r="B491" i="6"/>
  <c r="B492" i="6"/>
  <c r="B493" i="6"/>
  <c r="B494" i="6"/>
  <c r="B495" i="6"/>
  <c r="B496" i="6"/>
  <c r="B497" i="6"/>
  <c r="B498" i="6"/>
  <c r="B499" i="6"/>
  <c r="B500" i="6"/>
  <c r="B486" i="6"/>
  <c r="B487"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484" i="6"/>
  <c r="B485" i="6"/>
  <c r="B481" i="6"/>
  <c r="B482" i="6"/>
  <c r="B483" i="6"/>
  <c r="B594" i="6"/>
  <c r="B476" i="6"/>
  <c r="B477" i="6"/>
  <c r="B478" i="6"/>
  <c r="B479" i="6"/>
  <c r="B480" i="6"/>
  <c r="B259" i="6"/>
  <c r="B474" i="6"/>
  <c r="B475" i="6"/>
  <c r="B286" i="6"/>
  <c r="B467" i="6"/>
  <c r="B468" i="6"/>
  <c r="B469" i="6"/>
  <c r="B470" i="6"/>
  <c r="B471" i="6"/>
  <c r="B472" i="6"/>
  <c r="B473" i="6"/>
  <c r="B466" i="6"/>
  <c r="B464" i="6"/>
  <c r="B465" i="6"/>
  <c r="B462" i="6"/>
  <c r="B463" i="6"/>
  <c r="B461" i="6"/>
  <c r="B456" i="6"/>
  <c r="B457" i="6"/>
  <c r="B458" i="6"/>
  <c r="B459" i="6"/>
  <c r="B460" i="6"/>
  <c r="B453" i="6"/>
  <c r="B454" i="6"/>
  <c r="B455" i="6"/>
  <c r="B452" i="6"/>
  <c r="B579" i="6"/>
  <c r="B580" i="6"/>
  <c r="B581" i="6"/>
  <c r="B582" i="6"/>
  <c r="B583" i="6"/>
  <c r="B584" i="6"/>
  <c r="B585" i="6"/>
  <c r="B586" i="6"/>
  <c r="B587" i="6"/>
  <c r="B588" i="6"/>
  <c r="B589" i="6"/>
  <c r="B590" i="6"/>
  <c r="B591" i="6"/>
  <c r="B592" i="6"/>
  <c r="B593" i="6"/>
  <c r="B448" i="6"/>
  <c r="B449" i="6"/>
  <c r="B450" i="6"/>
  <c r="B451" i="6"/>
  <c r="B432" i="6"/>
  <c r="B433" i="6"/>
  <c r="B434" i="6"/>
  <c r="B435" i="6"/>
  <c r="B436" i="6"/>
  <c r="B437" i="6"/>
  <c r="B438" i="6"/>
  <c r="B439" i="6"/>
  <c r="B440" i="6"/>
  <c r="B441" i="6"/>
  <c r="B442" i="6"/>
  <c r="B443" i="6"/>
  <c r="B444" i="6"/>
  <c r="B445" i="6"/>
  <c r="B446" i="6"/>
  <c r="B447" i="6"/>
  <c r="B420" i="6"/>
  <c r="B431" i="6"/>
  <c r="B430" i="6"/>
  <c r="B428" i="6"/>
  <c r="B429" i="6"/>
  <c r="B426" i="6"/>
  <c r="B427" i="6"/>
  <c r="B425" i="6"/>
  <c r="B424" i="6"/>
  <c r="B578" i="6"/>
  <c r="B423" i="6"/>
  <c r="B574" i="6"/>
  <c r="B575" i="6"/>
  <c r="B576" i="6"/>
  <c r="B577" i="6"/>
  <c r="B422" i="6"/>
  <c r="B421" i="6"/>
  <c r="B415" i="6"/>
  <c r="B416" i="6"/>
  <c r="B417" i="6"/>
  <c r="B418" i="6"/>
  <c r="B419" i="6"/>
  <c r="B405" i="6"/>
  <c r="B406" i="6"/>
  <c r="B407" i="6"/>
  <c r="B408" i="6"/>
  <c r="B409" i="6"/>
  <c r="B410" i="6"/>
  <c r="B411" i="6"/>
  <c r="B412" i="6"/>
  <c r="B413" i="6"/>
  <c r="B414" i="6"/>
  <c r="B567" i="6"/>
  <c r="B568" i="6"/>
  <c r="B569" i="6"/>
  <c r="B570" i="6"/>
  <c r="B571" i="6"/>
  <c r="B572" i="6"/>
  <c r="B573" i="6"/>
  <c r="B404" i="6"/>
  <c r="B400" i="6"/>
  <c r="B401" i="6"/>
  <c r="B402" i="6"/>
  <c r="B403" i="6"/>
  <c r="B395" i="6"/>
  <c r="B396" i="6"/>
  <c r="B397" i="6"/>
  <c r="B398" i="6"/>
  <c r="B399" i="6"/>
  <c r="B277" i="6"/>
  <c r="B384" i="6"/>
  <c r="B385" i="6"/>
  <c r="B386" i="6"/>
  <c r="B387" i="6"/>
  <c r="B388" i="6"/>
  <c r="B389" i="6"/>
  <c r="B390" i="6"/>
  <c r="B391" i="6"/>
  <c r="B392" i="6"/>
  <c r="B393" i="6"/>
  <c r="B394" i="6"/>
  <c r="B383" i="6"/>
  <c r="B382" i="6"/>
  <c r="B381" i="6"/>
  <c r="B566" i="6"/>
  <c r="B377" i="6"/>
  <c r="B378" i="6"/>
  <c r="B379" i="6"/>
  <c r="B380" i="6"/>
  <c r="B376" i="6"/>
  <c r="B361" i="6"/>
  <c r="B362" i="6"/>
  <c r="B363" i="6"/>
  <c r="B364" i="6"/>
  <c r="B365" i="6"/>
  <c r="B366" i="6"/>
  <c r="B367" i="6"/>
  <c r="B368" i="6"/>
  <c r="B369" i="6"/>
  <c r="B370" i="6"/>
  <c r="B371" i="6"/>
  <c r="B372" i="6"/>
  <c r="B373" i="6"/>
  <c r="B374" i="6"/>
  <c r="B375" i="6"/>
  <c r="B360" i="6"/>
  <c r="B359" i="6"/>
  <c r="B356" i="6"/>
  <c r="B357" i="6"/>
  <c r="B358" i="6"/>
  <c r="B353" i="6"/>
  <c r="B354" i="6"/>
  <c r="B355" i="6"/>
  <c r="B348" i="6"/>
  <c r="B349" i="6"/>
  <c r="B350" i="6"/>
  <c r="B351" i="6"/>
  <c r="B352" i="6"/>
  <c r="B347" i="6"/>
  <c r="B343" i="6"/>
  <c r="B344" i="6"/>
  <c r="B345" i="6"/>
  <c r="B346" i="6"/>
  <c r="B341" i="6"/>
  <c r="B342" i="6"/>
  <c r="B337" i="6"/>
  <c r="B338" i="6"/>
  <c r="B339" i="6"/>
  <c r="B340" i="6"/>
  <c r="B328" i="6"/>
  <c r="B329" i="6"/>
  <c r="B330" i="6"/>
  <c r="B331" i="6"/>
  <c r="B332" i="6"/>
  <c r="B333" i="6"/>
  <c r="B334" i="6"/>
  <c r="B335" i="6"/>
  <c r="B336" i="6"/>
  <c r="B327" i="6"/>
  <c r="B316" i="6"/>
  <c r="B317" i="6"/>
  <c r="B318" i="6"/>
  <c r="B319" i="6"/>
  <c r="B320" i="6"/>
  <c r="B321" i="6"/>
  <c r="B322" i="6"/>
  <c r="B323" i="6"/>
  <c r="B324" i="6"/>
  <c r="B325" i="6"/>
  <c r="B326" i="6"/>
  <c r="B315" i="6"/>
  <c r="B314" i="6"/>
  <c r="B307" i="6"/>
  <c r="B308" i="6"/>
  <c r="B309" i="6"/>
  <c r="B310" i="6"/>
  <c r="B311" i="6"/>
  <c r="B312" i="6"/>
  <c r="B313" i="6"/>
  <c r="B280" i="6"/>
  <c r="B301" i="6"/>
  <c r="B302" i="6"/>
  <c r="B303" i="6"/>
  <c r="B304" i="6"/>
  <c r="B305" i="6"/>
  <c r="B306" i="6"/>
  <c r="B300" i="6"/>
  <c r="B299" i="6"/>
  <c r="B298" i="6"/>
  <c r="B297" i="6"/>
  <c r="B296" i="6"/>
  <c r="B295" i="6"/>
  <c r="B294" i="6"/>
  <c r="B293" i="6"/>
  <c r="B292" i="6"/>
  <c r="B291" i="6"/>
  <c r="B285" i="6"/>
  <c r="B287" i="6"/>
  <c r="B288" i="6"/>
  <c r="B289" i="6"/>
  <c r="B290" i="6"/>
  <c r="B284" i="6"/>
  <c r="B283" i="6"/>
  <c r="B281" i="6"/>
  <c r="B278" i="6"/>
  <c r="B279" i="6"/>
  <c r="B276" i="6"/>
  <c r="B243" i="6"/>
  <c r="B265" i="6"/>
  <c r="B266" i="6"/>
  <c r="B267" i="6"/>
  <c r="B268" i="6"/>
  <c r="B269" i="6"/>
  <c r="B270" i="6"/>
  <c r="B271" i="6"/>
  <c r="B272" i="6"/>
  <c r="B273" i="6"/>
  <c r="B274" i="6"/>
  <c r="B275" i="6"/>
  <c r="B264" i="6"/>
  <c r="B244" i="6"/>
  <c r="B245" i="6"/>
  <c r="B246" i="6"/>
  <c r="B247" i="6"/>
  <c r="B248" i="6"/>
  <c r="B249" i="6"/>
  <c r="B250" i="6"/>
  <c r="B251" i="6"/>
  <c r="B252" i="6"/>
  <c r="B253" i="6"/>
  <c r="B254" i="6"/>
  <c r="B255" i="6"/>
  <c r="B256" i="6"/>
  <c r="B257" i="6"/>
  <c r="B258" i="6"/>
  <c r="B260" i="6"/>
  <c r="B261" i="6"/>
  <c r="B262" i="6"/>
  <c r="B263" i="6"/>
  <c r="B233" i="6"/>
  <c r="B234" i="6"/>
  <c r="B235" i="6"/>
  <c r="B236" i="6"/>
  <c r="B237" i="6"/>
  <c r="B238" i="6"/>
  <c r="B239" i="6"/>
  <c r="B240" i="6"/>
  <c r="B241" i="6"/>
  <c r="B242" i="6"/>
  <c r="B229" i="6"/>
  <c r="B230" i="6"/>
  <c r="B231" i="6"/>
  <c r="B232" i="6"/>
  <c r="B114" i="6"/>
  <c r="B228" i="6"/>
  <c r="B227" i="6"/>
  <c r="B226" i="6"/>
  <c r="B225" i="6"/>
  <c r="B224" i="6"/>
  <c r="B223" i="6"/>
  <c r="B222" i="6"/>
  <c r="B221" i="6"/>
  <c r="B218" i="6"/>
  <c r="B219" i="6"/>
  <c r="B220"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178" i="6"/>
  <c r="B177" i="6"/>
  <c r="B166" i="6"/>
  <c r="B167" i="6"/>
  <c r="B168" i="6"/>
  <c r="B169" i="6"/>
  <c r="B170" i="6"/>
  <c r="B171" i="6"/>
  <c r="B172" i="6"/>
  <c r="B173" i="6"/>
  <c r="B174" i="6"/>
  <c r="B175" i="6"/>
  <c r="B176" i="6"/>
  <c r="B113" i="6"/>
  <c r="B108" i="6"/>
  <c r="B87" i="6"/>
  <c r="B165" i="6"/>
  <c r="B164" i="6"/>
  <c r="B163" i="6"/>
  <c r="B161" i="6"/>
  <c r="B160" i="6"/>
  <c r="B159" i="6"/>
  <c r="B162" i="6"/>
  <c r="B158" i="6"/>
  <c r="B157" i="6"/>
  <c r="B156" i="6"/>
  <c r="B155" i="6"/>
  <c r="B154" i="6"/>
  <c r="B99" i="6"/>
  <c r="B93" i="6"/>
  <c r="B153" i="6"/>
  <c r="B152" i="6"/>
  <c r="B137" i="6"/>
  <c r="B138" i="6"/>
  <c r="B139" i="6"/>
  <c r="B140" i="6"/>
  <c r="B141" i="6"/>
  <c r="B142" i="6"/>
  <c r="B143" i="6"/>
  <c r="B144" i="6"/>
  <c r="B145" i="6"/>
  <c r="B146" i="6"/>
  <c r="B147" i="6"/>
  <c r="B148" i="6"/>
  <c r="B149" i="6"/>
  <c r="B150" i="6"/>
  <c r="B151" i="6"/>
  <c r="B55" i="6"/>
  <c r="B105" i="6"/>
  <c r="B128" i="6"/>
  <c r="B129" i="6"/>
  <c r="B130" i="6"/>
  <c r="B131" i="6"/>
  <c r="B132" i="6"/>
  <c r="B133" i="6"/>
  <c r="B134" i="6"/>
  <c r="B135" i="6"/>
  <c r="B136" i="6"/>
  <c r="B127" i="6"/>
  <c r="B126" i="6"/>
  <c r="B124" i="6"/>
  <c r="B125" i="6"/>
  <c r="B123" i="6"/>
  <c r="B122" i="6"/>
  <c r="B121" i="6"/>
  <c r="B120" i="6"/>
  <c r="B119" i="6"/>
  <c r="B118" i="6"/>
  <c r="B117" i="6"/>
  <c r="B116" i="6"/>
  <c r="B115" i="6"/>
  <c r="B95" i="6"/>
  <c r="B112" i="6"/>
  <c r="B101" i="6"/>
  <c r="B103" i="6"/>
  <c r="B91" i="6"/>
  <c r="B111" i="6"/>
  <c r="B110" i="6"/>
  <c r="B109" i="6"/>
  <c r="B107" i="6"/>
  <c r="B106" i="6"/>
  <c r="B96" i="6"/>
  <c r="B97" i="6"/>
  <c r="B98" i="6"/>
  <c r="B100" i="6"/>
  <c r="B102" i="6"/>
  <c r="B104" i="6"/>
  <c r="B94" i="6"/>
  <c r="B92" i="6"/>
  <c r="B90" i="6"/>
  <c r="B89" i="6"/>
  <c r="B88" i="6"/>
  <c r="B86" i="6"/>
  <c r="B85" i="6"/>
  <c r="B83" i="6"/>
  <c r="B84" i="6"/>
  <c r="B80" i="6"/>
  <c r="B81" i="6"/>
  <c r="B82" i="6"/>
  <c r="B57" i="6"/>
  <c r="B76" i="6"/>
  <c r="B77" i="6"/>
  <c r="B78" i="6"/>
  <c r="B79" i="6"/>
  <c r="B72" i="6"/>
  <c r="B73" i="6"/>
  <c r="B74" i="6"/>
  <c r="B75" i="6"/>
  <c r="B71" i="6"/>
  <c r="B70" i="6"/>
  <c r="B69" i="6"/>
  <c r="B67" i="6"/>
  <c r="B68" i="6"/>
  <c r="B64" i="6"/>
  <c r="B65" i="6"/>
  <c r="B66" i="6"/>
  <c r="B60" i="6"/>
  <c r="B61" i="6"/>
  <c r="B62" i="6"/>
  <c r="B63" i="6"/>
  <c r="B58" i="6"/>
  <c r="B59" i="6"/>
  <c r="B56" i="6"/>
  <c r="B51" i="6"/>
  <c r="B52" i="6"/>
  <c r="B53" i="6"/>
  <c r="B54" i="6"/>
  <c r="B50" i="6"/>
  <c r="B49" i="6"/>
  <c r="B48" i="6"/>
  <c r="B47" i="6"/>
  <c r="B44" i="6"/>
  <c r="B45" i="6"/>
  <c r="B46" i="6"/>
  <c r="B42" i="6"/>
  <c r="B43" i="6"/>
  <c r="B39" i="6"/>
  <c r="B40" i="6"/>
  <c r="B41" i="6"/>
  <c r="B38" i="6"/>
  <c r="B33" i="6"/>
  <c r="B34" i="6"/>
  <c r="B35" i="6"/>
  <c r="B36" i="6"/>
  <c r="B37" i="6"/>
  <c r="B32" i="6"/>
  <c r="B31" i="6"/>
  <c r="B30" i="6"/>
  <c r="B29" i="6"/>
  <c r="B28" i="6"/>
  <c r="B27" i="6"/>
  <c r="B26" i="6"/>
  <c r="B25" i="6"/>
  <c r="B4" i="6"/>
  <c r="B5" i="6"/>
  <c r="B6" i="6"/>
  <c r="B7" i="6"/>
  <c r="B8" i="6"/>
  <c r="B9" i="6"/>
  <c r="B10" i="6"/>
  <c r="B11" i="6"/>
  <c r="B12" i="6"/>
  <c r="B13" i="6"/>
  <c r="B14" i="6"/>
  <c r="B15" i="6"/>
  <c r="B16" i="6"/>
  <c r="B17" i="6"/>
  <c r="B18" i="6"/>
  <c r="B19" i="6"/>
  <c r="B20" i="6"/>
  <c r="B21" i="6"/>
  <c r="B22" i="6"/>
  <c r="B23" i="6"/>
  <c r="B24" i="6"/>
  <c r="B755" i="6" l="1"/>
  <c r="P411" i="6"/>
  <c r="P52" i="6"/>
  <c r="P725" i="6"/>
  <c r="P598" i="6"/>
  <c r="P477" i="6"/>
  <c r="P254" i="6"/>
  <c r="P339" i="6"/>
  <c r="P130" i="6"/>
  <c r="P98" i="6"/>
  <c r="P630" i="6"/>
  <c r="P25" i="6"/>
  <c r="P660" i="6"/>
  <c r="P74" i="6"/>
  <c r="P708" i="6"/>
  <c r="P684" i="6"/>
  <c r="P118" i="6"/>
  <c r="P311" i="6"/>
  <c r="P108" i="6"/>
  <c r="P214" i="6"/>
  <c r="P742" i="6"/>
  <c r="P153" i="6"/>
  <c r="P160" i="6"/>
  <c r="P88" i="6"/>
  <c r="P206" i="6"/>
  <c r="P514" i="6"/>
  <c r="P749" i="6"/>
  <c r="P420" i="6"/>
  <c r="P675" i="6"/>
  <c r="P517" i="6"/>
  <c r="P116" i="6"/>
  <c r="P124" i="6"/>
  <c r="P360" i="6"/>
  <c r="P474" i="6"/>
  <c r="P452" i="6"/>
  <c r="P417" i="6"/>
  <c r="P503" i="6"/>
  <c r="P238" i="6"/>
  <c r="P457" i="6"/>
  <c r="P203" i="6"/>
  <c r="P559" i="6"/>
  <c r="P726" i="6"/>
  <c r="P673" i="6"/>
  <c r="P670" i="6"/>
  <c r="P162" i="6"/>
  <c r="P614" i="6"/>
  <c r="P67" i="6"/>
  <c r="P261" i="6"/>
  <c r="P56" i="6"/>
  <c r="P75" i="6"/>
  <c r="P290" i="6"/>
  <c r="P600" i="6"/>
  <c r="P44" i="6"/>
  <c r="P590" i="6"/>
  <c r="P422" i="6"/>
  <c r="P69" i="6"/>
  <c r="P510" i="6"/>
  <c r="P176" i="6"/>
  <c r="P219" i="6"/>
  <c r="P221" i="6"/>
  <c r="P654" i="6"/>
  <c r="P279" i="6"/>
  <c r="P618" i="6"/>
  <c r="P350" i="6"/>
  <c r="P251" i="6"/>
  <c r="P370" i="6"/>
  <c r="P276" i="6"/>
  <c r="P159" i="6"/>
  <c r="P450" i="6"/>
  <c r="P552" i="6"/>
  <c r="P287" i="6"/>
  <c r="P546" i="6"/>
  <c r="P550" i="6"/>
  <c r="P365" i="6"/>
  <c r="P418" i="6"/>
  <c r="P627" i="6"/>
  <c r="P416" i="6"/>
  <c r="P601" i="6"/>
  <c r="P409" i="6"/>
  <c r="P93" i="6"/>
  <c r="P168" i="6"/>
  <c r="P637" i="6"/>
  <c r="P453" i="6"/>
  <c r="P529" i="6"/>
  <c r="P462" i="6"/>
  <c r="P269" i="6"/>
  <c r="P133" i="6"/>
  <c r="P669" i="6"/>
  <c r="P132" i="6"/>
  <c r="P34" i="6"/>
  <c r="P141" i="6"/>
  <c r="P284" i="6"/>
  <c r="P634" i="6"/>
  <c r="P496" i="6"/>
  <c r="P263" i="6"/>
  <c r="P213" i="6"/>
  <c r="P187" i="6"/>
  <c r="P77" i="6"/>
  <c r="P635" i="6"/>
  <c r="P542" i="6"/>
  <c r="P267" i="6"/>
  <c r="P158" i="6"/>
  <c r="P245" i="6"/>
  <c r="P441" i="6"/>
  <c r="P247" i="6"/>
  <c r="P639" i="6"/>
  <c r="P304" i="6"/>
  <c r="P310" i="6"/>
  <c r="P368" i="6"/>
  <c r="P293" i="6"/>
  <c r="P504" i="6"/>
  <c r="P249" i="6"/>
  <c r="P648" i="6"/>
  <c r="P488" i="6"/>
  <c r="P110" i="6"/>
  <c r="P697" i="6"/>
  <c r="P164" i="6"/>
  <c r="P439" i="6"/>
  <c r="P299" i="6"/>
  <c r="P707" i="6"/>
  <c r="P321" i="6"/>
  <c r="P275" i="6"/>
  <c r="P156" i="6"/>
  <c r="P433" i="6"/>
  <c r="P76" i="6"/>
  <c r="P387" i="6"/>
  <c r="P425" i="6"/>
  <c r="P207" i="6"/>
  <c r="P99" i="6"/>
  <c r="P215" i="6"/>
  <c r="P565" i="6"/>
  <c r="P404" i="6"/>
  <c r="P119" i="6"/>
  <c r="P273" i="6"/>
  <c r="P377" i="6"/>
  <c r="P616" i="6"/>
  <c r="P89" i="6"/>
  <c r="P212" i="6"/>
  <c r="P685" i="6"/>
  <c r="P380" i="6"/>
  <c r="P42" i="6"/>
  <c r="P204" i="6"/>
  <c r="P186" i="6"/>
  <c r="P73" i="6"/>
  <c r="P253" i="6"/>
  <c r="P443" i="6"/>
  <c r="P246" i="6"/>
  <c r="P271" i="6"/>
  <c r="P45" i="6"/>
  <c r="P68" i="6"/>
  <c r="P740" i="6"/>
  <c r="P297" i="6"/>
  <c r="P314" i="6"/>
  <c r="P539" i="6"/>
  <c r="P415" i="6"/>
  <c r="P410" i="6"/>
  <c r="P226" i="6"/>
  <c r="P165" i="6"/>
  <c r="P312" i="6"/>
  <c r="P434" i="6"/>
  <c r="P343" i="6"/>
  <c r="P335" i="6"/>
  <c r="P209" i="6"/>
  <c r="P146" i="6"/>
  <c r="P205" i="6"/>
  <c r="P678" i="6"/>
  <c r="P407" i="6"/>
  <c r="P13" i="6"/>
  <c r="P79" i="6"/>
  <c r="P531" i="6"/>
  <c r="P610" i="6"/>
  <c r="P295" i="6"/>
  <c r="P9" i="6"/>
  <c r="P139" i="6"/>
  <c r="P572" i="6"/>
  <c r="P424" i="6"/>
  <c r="P234" i="6"/>
  <c r="P216" i="6"/>
  <c r="P460" i="6"/>
  <c r="P195" i="6"/>
  <c r="P512" i="6"/>
  <c r="P288" i="6"/>
  <c r="P613" i="6"/>
  <c r="P683" i="6"/>
  <c r="P709" i="6"/>
  <c r="P30" i="6"/>
  <c r="P429" i="6"/>
  <c r="P302" i="6"/>
  <c r="P563" i="6"/>
  <c r="P690" i="6"/>
  <c r="P31" i="6"/>
  <c r="P403" i="6"/>
  <c r="P282" i="6"/>
  <c r="P383" i="6"/>
  <c r="P345" i="6"/>
  <c r="P97" i="6"/>
  <c r="P32" i="6"/>
  <c r="P560" i="6"/>
  <c r="P94" i="6"/>
  <c r="P48" i="6"/>
  <c r="P723" i="6"/>
  <c r="P366" i="6"/>
  <c r="P78" i="6"/>
  <c r="P144" i="6"/>
  <c r="P722" i="6"/>
  <c r="P679" i="6"/>
  <c r="P109" i="6"/>
  <c r="P229" i="6"/>
  <c r="P658" i="6"/>
  <c r="P732" i="6"/>
  <c r="P369" i="6"/>
  <c r="P281" i="6"/>
  <c r="P83" i="6"/>
  <c r="P641" i="6"/>
  <c r="P628" i="6"/>
  <c r="P147" i="6"/>
  <c r="P682" i="6"/>
  <c r="P151" i="6"/>
  <c r="P145" i="6"/>
  <c r="P629" i="6"/>
  <c r="P738" i="6"/>
  <c r="P527" i="6"/>
  <c r="P72" i="6"/>
  <c r="P315" i="6"/>
  <c r="P455" i="6"/>
  <c r="P112" i="6"/>
  <c r="P631" i="6"/>
  <c r="P743" i="6"/>
  <c r="P283" i="6"/>
  <c r="P362" i="6"/>
  <c r="P327" i="6"/>
  <c r="P80" i="6"/>
  <c r="P535" i="6"/>
  <c r="P530" i="6"/>
  <c r="P605" i="6"/>
  <c r="P198" i="6"/>
  <c r="P486" i="6"/>
  <c r="P257" i="6"/>
  <c r="P4" i="6"/>
  <c r="P603" i="6"/>
  <c r="P323" i="6"/>
  <c r="P458" i="6"/>
  <c r="P547" i="6"/>
  <c r="P131" i="6"/>
  <c r="P38" i="6"/>
  <c r="P255" i="6"/>
  <c r="P640" i="6"/>
  <c r="P412" i="6"/>
  <c r="P619" i="6"/>
  <c r="P381" i="6"/>
  <c r="P262" i="6"/>
  <c r="P184" i="6"/>
  <c r="P40" i="6"/>
  <c r="P435" i="6"/>
  <c r="P508" i="6"/>
  <c r="P291" i="6"/>
  <c r="P751" i="6"/>
  <c r="P638" i="6"/>
  <c r="P567" i="6"/>
  <c r="P730" i="6"/>
  <c r="P189" i="6"/>
  <c r="P480" i="6"/>
  <c r="P169" i="6"/>
  <c r="P231" i="6"/>
  <c r="P179" i="6"/>
  <c r="P604" i="6"/>
  <c r="P502" i="6"/>
  <c r="P612" i="6"/>
  <c r="P390" i="6"/>
  <c r="P316" i="6"/>
  <c r="P689" i="6"/>
  <c r="P64" i="6"/>
  <c r="P667" i="6"/>
  <c r="P19" i="6"/>
  <c r="P652" i="6"/>
  <c r="P731" i="6"/>
  <c r="P469" i="6"/>
  <c r="P41" i="6"/>
  <c r="P331" i="6"/>
  <c r="P21" i="6"/>
  <c r="P181" i="6"/>
  <c r="P583" i="6"/>
  <c r="P659" i="6"/>
  <c r="P336" i="6"/>
  <c r="P28" i="6"/>
  <c r="P84" i="6"/>
  <c r="P364" i="6"/>
  <c r="P720" i="6"/>
  <c r="P693" i="6"/>
  <c r="P587" i="6"/>
  <c r="P102" i="6"/>
  <c r="P90" i="6"/>
  <c r="P129" i="6"/>
  <c r="P493" i="6"/>
  <c r="P739" i="6"/>
  <c r="P17" i="6"/>
  <c r="P476" i="6"/>
  <c r="P544" i="6"/>
  <c r="P96" i="6"/>
  <c r="P536" i="6"/>
  <c r="P398" i="6"/>
  <c r="P645" i="6"/>
  <c r="P487" i="6"/>
  <c r="P333" i="6"/>
  <c r="P228" i="6"/>
  <c r="P376" i="6"/>
  <c r="P399" i="6"/>
  <c r="P505" i="6"/>
  <c r="P636" i="6"/>
  <c r="P352" i="6"/>
  <c r="P622" i="6"/>
  <c r="P53" i="6"/>
  <c r="P150" i="6"/>
  <c r="P18" i="6"/>
  <c r="P12" i="6"/>
  <c r="P632" i="6"/>
  <c r="P172" i="6"/>
  <c r="P174" i="6"/>
  <c r="P14" i="6"/>
  <c r="P561" i="6"/>
  <c r="P490" i="6"/>
  <c r="P419" i="6"/>
  <c r="P348" i="6"/>
  <c r="P520" i="6"/>
  <c r="P54" i="6"/>
  <c r="P735" i="6"/>
  <c r="P35" i="6"/>
  <c r="P107" i="6"/>
  <c r="P240" i="6"/>
  <c r="P385" i="6"/>
  <c r="P49" i="6"/>
  <c r="P173" i="6"/>
  <c r="P26" i="6"/>
  <c r="P320" i="6"/>
  <c r="P511" i="6"/>
  <c r="P167" i="6"/>
  <c r="P646" i="6"/>
  <c r="P498" i="6"/>
  <c r="P152" i="6"/>
  <c r="P556" i="6"/>
  <c r="P522" i="6"/>
  <c r="P694" i="6"/>
  <c r="P653" i="6"/>
  <c r="P163" i="6"/>
  <c r="P692" i="6"/>
  <c r="P608" i="6"/>
  <c r="P313" i="6"/>
  <c r="P208" i="6"/>
  <c r="P328" i="6"/>
  <c r="P513" i="6"/>
  <c r="P400" i="6"/>
  <c r="P268" i="6"/>
  <c r="P120" i="6"/>
  <c r="P483" i="6"/>
  <c r="P232" i="6"/>
  <c r="P367" i="6"/>
  <c r="P447" i="6"/>
  <c r="P274" i="6"/>
  <c r="P668" i="6"/>
  <c r="P36" i="6"/>
  <c r="P338" i="6"/>
  <c r="P258" i="6"/>
  <c r="P397" i="6"/>
  <c r="P408" i="6"/>
  <c r="P303" i="6"/>
  <c r="P570" i="6"/>
  <c r="P372" i="6"/>
  <c r="P358" i="6"/>
  <c r="P695" i="6"/>
  <c r="P715" i="6"/>
  <c r="P698" i="6"/>
  <c r="P58" i="6"/>
  <c r="P644" i="6"/>
  <c r="P122" i="6"/>
  <c r="P687" i="6"/>
  <c r="P223" i="6"/>
  <c r="P346" i="6"/>
  <c r="P242" i="6"/>
  <c r="P248" i="6"/>
  <c r="P647" i="6"/>
  <c r="P578" i="6"/>
  <c r="P170" i="6"/>
  <c r="P388" i="6"/>
  <c r="P428" i="6"/>
  <c r="P588" i="6"/>
  <c r="P250" i="6"/>
  <c r="P378" i="6"/>
  <c r="P506" i="6"/>
  <c r="P729" i="6"/>
  <c r="P526" i="6"/>
  <c r="P277" i="6"/>
  <c r="P27" i="6"/>
  <c r="P60" i="6"/>
  <c r="P545" i="6"/>
  <c r="P115" i="6"/>
  <c r="P192" i="6"/>
  <c r="P665" i="6"/>
  <c r="P534" i="6"/>
  <c r="P597" i="6"/>
  <c r="P23" i="6"/>
  <c r="P716" i="6"/>
  <c r="P473" i="6"/>
  <c r="P649" i="6"/>
  <c r="P252" i="6"/>
  <c r="P405" i="6"/>
  <c r="P103" i="6"/>
  <c r="P485" i="6"/>
  <c r="P642" i="6"/>
  <c r="P593" i="6"/>
  <c r="P161" i="6"/>
  <c r="P582" i="6"/>
  <c r="P142" i="6"/>
  <c r="P611" i="6"/>
  <c r="P676" i="6"/>
  <c r="P392" i="6"/>
  <c r="P501" i="6"/>
  <c r="P586" i="6"/>
  <c r="P211" i="6"/>
  <c r="P386" i="6"/>
  <c r="P337" i="6"/>
  <c r="P278" i="6"/>
  <c r="P577" i="6"/>
  <c r="P617" i="6"/>
  <c r="P728" i="6"/>
  <c r="P662" i="6"/>
  <c r="P533" i="6"/>
  <c r="P300" i="6"/>
  <c r="P479" i="6"/>
  <c r="P702" i="6"/>
  <c r="P421" i="6"/>
  <c r="P43" i="6"/>
  <c r="P466" i="6"/>
  <c r="P717" i="6"/>
  <c r="P696" i="6"/>
  <c r="P308" i="6"/>
  <c r="P239" i="6"/>
  <c r="P55" i="6"/>
  <c r="P744" i="6"/>
  <c r="P235" i="6"/>
  <c r="P607" i="6"/>
  <c r="P33" i="6"/>
  <c r="P197" i="6"/>
  <c r="P296" i="6"/>
  <c r="P438" i="6"/>
  <c r="P298" i="6"/>
  <c r="P413" i="6"/>
  <c r="P454" i="6"/>
  <c r="P705" i="6"/>
  <c r="P620" i="6"/>
  <c r="P294" i="6"/>
  <c r="P199" i="6"/>
  <c r="P718" i="6"/>
  <c r="P379" i="6"/>
  <c r="P134" i="6"/>
  <c r="P260" i="6"/>
  <c r="P123" i="6"/>
  <c r="P499" i="6"/>
  <c r="P81" i="6"/>
  <c r="P243" i="6"/>
  <c r="P217" i="6"/>
  <c r="P191" i="6"/>
  <c r="P449" i="6"/>
  <c r="P16" i="6"/>
  <c r="P564" i="6"/>
  <c r="P651" i="6"/>
  <c r="P704" i="6"/>
  <c r="P39" i="6"/>
  <c r="P357" i="6"/>
  <c r="P306" i="6"/>
  <c r="P463" i="6"/>
  <c r="P111" i="6"/>
  <c r="P374" i="6"/>
  <c r="P272" i="6"/>
  <c r="P489" i="6"/>
  <c r="P340" i="6"/>
  <c r="P448" i="6"/>
  <c r="P259" i="6"/>
  <c r="P456" i="6"/>
  <c r="P266" i="6"/>
  <c r="P393" i="6"/>
  <c r="P82" i="6"/>
  <c r="P301" i="6"/>
  <c r="P46" i="6"/>
  <c r="P113" i="6"/>
  <c r="P516" i="6"/>
  <c r="P671" i="6"/>
  <c r="P509" i="6"/>
  <c r="P194" i="6"/>
  <c r="P57" i="6"/>
  <c r="P29" i="6"/>
  <c r="P712" i="6"/>
  <c r="P557" i="6"/>
  <c r="P157" i="6"/>
  <c r="P633" i="6"/>
  <c r="P519" i="6"/>
  <c r="P62" i="6"/>
  <c r="P555" i="6"/>
  <c r="P233" i="6"/>
  <c r="P437" i="6"/>
  <c r="P596" i="6"/>
  <c r="P332" i="6"/>
  <c r="P155" i="6"/>
  <c r="P592" i="6"/>
  <c r="P334" i="6"/>
  <c r="P537" i="6"/>
  <c r="P373" i="6"/>
  <c r="P87" i="6"/>
  <c r="P154" i="6"/>
  <c r="P237" i="6"/>
  <c r="P319" i="6"/>
  <c r="P47" i="6"/>
  <c r="P359" i="6"/>
  <c r="P86" i="6"/>
  <c r="P602" i="6"/>
  <c r="P224" i="6"/>
  <c r="P681" i="6"/>
  <c r="P626" i="6"/>
  <c r="P22" i="6"/>
  <c r="P10" i="6"/>
  <c r="P185" i="6"/>
  <c r="P543" i="6"/>
  <c r="P431" i="6"/>
  <c r="P11" i="6"/>
  <c r="P389" i="6"/>
  <c r="P149" i="6"/>
  <c r="P571" i="6"/>
  <c r="P595" i="6"/>
  <c r="P562" i="6"/>
  <c r="P440" i="6"/>
  <c r="P202" i="6"/>
  <c r="P256" i="6"/>
  <c r="P427" i="6"/>
  <c r="P375" i="6"/>
  <c r="P523" i="6"/>
  <c r="P61" i="6"/>
  <c r="P285" i="6"/>
  <c r="P117" i="6"/>
  <c r="P484" i="6"/>
  <c r="P465" i="6"/>
  <c r="P573" i="6"/>
  <c r="P20" i="6"/>
  <c r="P138" i="6"/>
  <c r="P446" i="6"/>
  <c r="P59" i="6"/>
  <c r="P680" i="6"/>
  <c r="P148" i="6"/>
  <c r="P356" i="6"/>
  <c r="P655" i="6"/>
  <c r="P426" i="6"/>
  <c r="P190" i="6"/>
  <c r="P650" i="6"/>
  <c r="P166" i="6"/>
  <c r="P599" i="6"/>
  <c r="P540" i="6"/>
  <c r="P584" i="6"/>
  <c r="P201" i="6"/>
  <c r="P518" i="6"/>
  <c r="P317" i="6"/>
  <c r="P24" i="6"/>
  <c r="P500" i="6"/>
  <c r="P472" i="6"/>
  <c r="P143" i="6"/>
  <c r="P727" i="6"/>
  <c r="P371" i="6"/>
  <c r="P585" i="6"/>
  <c r="P609" i="6"/>
  <c r="P721" i="6"/>
  <c r="P528" i="6"/>
  <c r="P354" i="6"/>
  <c r="P125" i="6"/>
  <c r="P507" i="6"/>
  <c r="P711" i="6"/>
  <c r="P606" i="6"/>
  <c r="P643" i="6"/>
  <c r="P218" i="6"/>
  <c r="P554" i="6"/>
  <c r="P363" i="6"/>
  <c r="P70" i="6"/>
  <c r="P322" i="6"/>
  <c r="P734" i="6"/>
  <c r="P491" i="6"/>
  <c r="P580" i="6"/>
  <c r="P471" i="6"/>
  <c r="P309" i="6"/>
  <c r="P382" i="6"/>
  <c r="P581" i="6"/>
  <c r="P656" i="6"/>
  <c r="P128" i="6"/>
  <c r="P280" i="6"/>
  <c r="P6" i="6"/>
  <c r="P183" i="6"/>
  <c r="P686" i="6"/>
  <c r="P121" i="6"/>
  <c r="P551" i="6"/>
  <c r="P461" i="6"/>
  <c r="P101" i="6"/>
  <c r="P286" i="6"/>
  <c r="P515" i="6"/>
  <c r="P481" i="6"/>
  <c r="P468" i="6"/>
  <c r="P748" i="6"/>
  <c r="P470" i="6"/>
  <c r="P182" i="6"/>
  <c r="P677" i="6"/>
  <c r="P188" i="6"/>
  <c r="P706" i="6"/>
  <c r="P326" i="6"/>
  <c r="P114" i="6"/>
  <c r="P106" i="6"/>
  <c r="P91" i="6"/>
  <c r="P741" i="6"/>
  <c r="P230" i="6"/>
  <c r="P459" i="6"/>
  <c r="P401" i="6"/>
  <c r="P100" i="6"/>
  <c r="P666" i="6"/>
  <c r="P478" i="6"/>
  <c r="P661" i="6"/>
  <c r="P171" i="6"/>
  <c r="P330" i="6"/>
  <c r="P494" i="6"/>
  <c r="P50" i="6"/>
  <c r="P451" i="6"/>
  <c r="P548" i="6"/>
  <c r="P347" i="6"/>
  <c r="P127" i="6"/>
  <c r="P558" i="6"/>
  <c r="P664" i="6"/>
  <c r="P521" i="6"/>
  <c r="P37" i="6"/>
  <c r="P5" i="6"/>
  <c r="P51" i="6"/>
  <c r="P15" i="6"/>
  <c r="P591" i="6"/>
  <c r="P270" i="6"/>
  <c r="P136" i="6"/>
  <c r="P65" i="6"/>
  <c r="P423" i="6"/>
  <c r="P305" i="6"/>
  <c r="P355" i="6"/>
  <c r="P549" i="6"/>
  <c r="P553" i="6"/>
  <c r="P594" i="6"/>
  <c r="P324" i="6"/>
  <c r="P414" i="6"/>
  <c r="P135" i="6"/>
  <c r="P719" i="6"/>
  <c r="P227" i="6"/>
  <c r="P663" i="6"/>
  <c r="P430" i="6"/>
  <c r="P699" i="6"/>
  <c r="P691" i="6"/>
  <c r="P325" i="6"/>
  <c r="P406" i="6"/>
  <c r="P733" i="6"/>
  <c r="P196" i="6"/>
  <c r="P621" i="6"/>
  <c r="P737" i="6"/>
  <c r="P576" i="6"/>
  <c r="P541" i="6"/>
  <c r="P244" i="6"/>
  <c r="P745" i="6"/>
  <c r="P105" i="6"/>
  <c r="P241" i="6"/>
  <c r="P222" i="6"/>
  <c r="P353" i="6"/>
  <c r="P225" i="6"/>
  <c r="P575" i="6"/>
  <c r="P432" i="6"/>
  <c r="P579" i="6"/>
  <c r="P175" i="6"/>
  <c r="P736" i="6"/>
  <c r="P525" i="6"/>
  <c r="P625" i="6"/>
  <c r="P574" i="6"/>
  <c r="P289" i="6"/>
  <c r="P66" i="6"/>
  <c r="P104" i="6"/>
  <c r="P624" i="6"/>
  <c r="P137" i="6"/>
  <c r="P714" i="6"/>
  <c r="P442" i="6"/>
  <c r="P747" i="6"/>
  <c r="P672" i="6"/>
  <c r="P180" i="6"/>
  <c r="P200" i="6"/>
  <c r="P342" i="6"/>
  <c r="P492" i="6"/>
  <c r="P178" i="6"/>
  <c r="P7" i="6"/>
  <c r="P265" i="6"/>
  <c r="P307" i="6"/>
  <c r="P341" i="6"/>
  <c r="P391" i="6"/>
  <c r="P95" i="6"/>
  <c r="P177" i="6"/>
  <c r="P329" i="6"/>
  <c r="P568" i="6"/>
  <c r="P482" i="6"/>
  <c r="P464" i="6"/>
  <c r="P615" i="6"/>
  <c r="P394" i="6"/>
  <c r="P524" i="6"/>
  <c r="P750" i="6"/>
  <c r="P538" i="6"/>
  <c r="P495" i="6"/>
  <c r="P589" i="6"/>
  <c r="P752" i="6"/>
  <c r="P475" i="6"/>
  <c r="P193" i="6"/>
  <c r="P688" i="6"/>
  <c r="P71" i="6"/>
  <c r="P344" i="6"/>
  <c r="P210" i="6"/>
  <c r="P8" i="6"/>
  <c r="P445" i="6"/>
  <c r="P220" i="6"/>
  <c r="P703" i="6"/>
  <c r="P140" i="6"/>
  <c r="P724" i="6"/>
  <c r="P126" i="6"/>
  <c r="P318" i="6"/>
  <c r="P92" i="6"/>
  <c r="P395" i="6"/>
  <c r="P396" i="6"/>
  <c r="P569" i="6"/>
  <c r="P623" i="6"/>
  <c r="P384" i="6"/>
  <c r="P657" i="6"/>
  <c r="P436" i="6"/>
  <c r="P63" i="6"/>
  <c r="P361" i="6"/>
  <c r="P292" i="6"/>
  <c r="P532" i="6"/>
  <c r="P351" i="6"/>
  <c r="P349" i="6"/>
  <c r="P236" i="6"/>
  <c r="P746" i="6"/>
  <c r="P402" i="6"/>
  <c r="P264" i="6"/>
  <c r="P497" i="6"/>
  <c r="P713" i="6"/>
  <c r="P566" i="6"/>
  <c r="P85" i="6"/>
  <c r="P674" i="6"/>
  <c r="P710" i="6"/>
  <c r="P44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wzr2hi</author>
    <author>Welz Ralph (CM-CI1/ERN1-ESW)</author>
    <author>Hans-Joachim André</author>
    <author>Markus Krämer</author>
    <author>Boes Juergen (CM-CI1/EHP3)</author>
    <author>Welz Ralph (XC-CI1/ERN7-E)</author>
  </authors>
  <commentList>
    <comment ref="U1" authorId="0" shapeId="0" xr:uid="{00000000-0006-0000-0000-000001000000}">
      <text>
        <r>
          <rPr>
            <b/>
            <sz val="8"/>
            <color indexed="81"/>
            <rFont val="Segoe UI"/>
            <family val="2"/>
          </rPr>
          <t>wzr2hi:</t>
        </r>
        <r>
          <rPr>
            <sz val="8"/>
            <color indexed="81"/>
            <rFont val="Segoe UI"/>
            <family val="2"/>
          </rPr>
          <t xml:space="preserve">
Currently:
Nissan has no eCore
Renault has eCore only for Full-Nav.</t>
        </r>
      </text>
    </comment>
    <comment ref="T2" authorId="0" shapeId="0" xr:uid="{00000000-0006-0000-0000-000002000000}">
      <text>
        <r>
          <rPr>
            <b/>
            <sz val="8"/>
            <color indexed="81"/>
            <rFont val="Segoe UI"/>
            <family val="2"/>
          </rPr>
          <t>wzr2hi:</t>
        </r>
        <r>
          <rPr>
            <sz val="8"/>
            <color indexed="81"/>
            <rFont val="Segoe UI"/>
            <family val="2"/>
          </rPr>
          <t xml:space="preserve">
Currently:
Nissan has no eCore
Renault has eCore only for Full-Nav.</t>
        </r>
      </text>
    </comment>
    <comment ref="H3" authorId="0" shapeId="0" xr:uid="{00000000-0006-0000-0000-000003000000}">
      <text>
        <r>
          <rPr>
            <b/>
            <sz val="8"/>
            <color indexed="81"/>
            <rFont val="Segoe UI"/>
            <family val="2"/>
          </rPr>
          <t>wzr2hi:</t>
        </r>
        <r>
          <rPr>
            <sz val="8"/>
            <color indexed="81"/>
            <rFont val="Segoe UI"/>
            <family val="2"/>
          </rPr>
          <t xml:space="preserve">
Will influence Gracenote Partition !!!</t>
        </r>
      </text>
    </comment>
    <comment ref="Q3" authorId="1" shapeId="0" xr:uid="{00000000-0006-0000-0000-000004000000}">
      <text>
        <r>
          <rPr>
            <b/>
            <sz val="9"/>
            <color indexed="81"/>
            <rFont val="Segoe UI"/>
            <family val="2"/>
          </rPr>
          <t>Welz Ralph (CM-CI1/ERN1-ESW):</t>
        </r>
        <r>
          <rPr>
            <sz val="9"/>
            <color indexed="81"/>
            <rFont val="Segoe UI"/>
            <family val="2"/>
          </rPr>
          <t xml:space="preserve">
[wzr2hi, 23.08.2019] Oliver Meyer came with the request of a different  AUTOSAR for rnaivi2 and npivi2. This was clearly rejected by Olaf Lange.</t>
        </r>
      </text>
    </comment>
    <comment ref="X3" authorId="0" shapeId="0" xr:uid="{00000000-0006-0000-0000-000005000000}">
      <text>
        <r>
          <rPr>
            <b/>
            <sz val="8"/>
            <color indexed="81"/>
            <rFont val="Segoe UI"/>
            <family val="2"/>
          </rPr>
          <t>wzr2hi:</t>
        </r>
        <r>
          <rPr>
            <sz val="8"/>
            <color indexed="81"/>
            <rFont val="Segoe UI"/>
            <family val="2"/>
          </rPr>
          <t xml:space="preserve">
CPLD on Fascia: Filter the Variant Matrix” in the column “Fascia raw PCB type” for “P42M” and get all the affected part numbers. According to Michael Reger there are no other Facias planned to have a CPLD.
FPGA on Sub-PCB: Filter the Variant Matrix” in the column “Sub PCB config” for “Sx” and "Ux" and "Vx" and get all the affected part numbers.
Double check: Must be in line with has DVD and/or TV.
AIVI2:
Sub-PCBs with N* have an FPGA (for now JPN/TV). Filter the Variant Matrix” in the column “Sub PCB config” for “Nx” and get all the affected part numbers.
Later the VM will get an own column to encode the existence fo the FPGA. </t>
        </r>
      </text>
    </comment>
    <comment ref="Y3" authorId="0" shapeId="0" xr:uid="{00000000-0006-0000-0000-000006000000}">
      <text>
        <r>
          <rPr>
            <b/>
            <sz val="8"/>
            <color indexed="81"/>
            <rFont val="Segoe UI"/>
            <family val="2"/>
          </rPr>
          <t>wzr2hi:</t>
        </r>
        <r>
          <rPr>
            <sz val="8"/>
            <color indexed="81"/>
            <rFont val="Segoe UI"/>
            <family val="2"/>
          </rPr>
          <t xml:space="preserve">
CPLD CORE on main PCB</t>
        </r>
      </text>
    </comment>
    <comment ref="Z3" authorId="1" shapeId="0" xr:uid="{00000000-0006-0000-0000-000007000000}">
      <text>
        <r>
          <rPr>
            <b/>
            <sz val="9"/>
            <color indexed="81"/>
            <rFont val="Segoe UI"/>
            <family val="2"/>
          </rPr>
          <t>Welz Ralph (CM-CI1/ERN1-ESW):</t>
        </r>
        <r>
          <rPr>
            <sz val="9"/>
            <color indexed="81"/>
            <rFont val="Segoe UI"/>
            <family val="2"/>
          </rPr>
          <t xml:space="preserve">
[wzr2hi, 09.07.2019] Currently there are three known states:
NO_ETH_SWITCH means no Ethernet Switch with external NOR.
ETH_SWITCH_not_updatable means there is (might be) an Ethernet Switch with external NOR, but we attempt no update (*)
ETH_SWITCH_updatable means ther is an Ethernet Switch with external NOR and we attempt to update it. 
(*) An update is only possible via the Ethernet Switch itself and _only_ if there is an initial firmware inside the NOR.</t>
        </r>
      </text>
    </comment>
    <comment ref="AD3" authorId="0" shapeId="0" xr:uid="{00000000-0006-0000-0000-000008000000}">
      <text>
        <r>
          <rPr>
            <b/>
            <sz val="8"/>
            <color indexed="81"/>
            <rFont val="Segoe UI"/>
            <family val="2"/>
          </rPr>
          <t>wzr2hi:</t>
        </r>
        <r>
          <rPr>
            <sz val="8"/>
            <color indexed="81"/>
            <rFont val="Segoe UI"/>
            <family val="2"/>
          </rPr>
          <t xml:space="preserve">
This line controls a generator script which generates snippets for download manifest files.
Default value shall be "use".
Each FCID should be in "use" exactly once, also if a FCID is only in a deprecated (grey marked) line. Currently there is no valid use case to ignore a FCID altogether.
If a FCID is in more than one line, then only one of those lines should be in "use". The other lines should be "ignored".
</t>
        </r>
      </text>
    </comment>
    <comment ref="K4" authorId="0" shapeId="0" xr:uid="{00000000-0006-0000-0000-000009000000}">
      <text>
        <r>
          <rPr>
            <b/>
            <sz val="8"/>
            <color indexed="81"/>
            <rFont val="Segoe UI"/>
            <family val="2"/>
          </rPr>
          <t>wzr2hi:</t>
        </r>
        <r>
          <rPr>
            <sz val="8"/>
            <color indexed="81"/>
            <rFont val="Segoe UI"/>
            <family val="2"/>
          </rPr>
          <t xml:space="preserve">
There is no exact classification for Scope1 devices.</t>
        </r>
      </text>
    </comment>
    <comment ref="K5" authorId="0" shapeId="0" xr:uid="{00000000-0006-0000-0000-00000A000000}">
      <text>
        <r>
          <rPr>
            <b/>
            <sz val="8"/>
            <color indexed="81"/>
            <rFont val="Segoe UI"/>
            <family val="2"/>
          </rPr>
          <t>wzr2hi:</t>
        </r>
        <r>
          <rPr>
            <sz val="8"/>
            <color indexed="81"/>
            <rFont val="Segoe UI"/>
            <family val="2"/>
          </rPr>
          <t xml:space="preserve">
There is no exact classification for Scope1 devices.</t>
        </r>
      </text>
    </comment>
    <comment ref="O6" authorId="0" shapeId="0" xr:uid="{00000000-0006-0000-0000-00000B000000}">
      <text>
        <r>
          <rPr>
            <b/>
            <sz val="8"/>
            <color indexed="81"/>
            <rFont val="Segoe UI"/>
            <family val="2"/>
          </rPr>
          <t>wzr2hi:</t>
        </r>
        <r>
          <rPr>
            <sz val="8"/>
            <color indexed="81"/>
            <rFont val="Segoe UI"/>
            <family val="2"/>
          </rPr>
          <t xml:space="preserve">
EUR_SDB does not fit into 8GB eMMC
</t>
        </r>
      </text>
    </comment>
    <comment ref="O7" authorId="0" shapeId="0" xr:uid="{00000000-0006-0000-0000-00000C000000}">
      <text>
        <r>
          <rPr>
            <b/>
            <sz val="8"/>
            <color indexed="81"/>
            <rFont val="Segoe UI"/>
            <family val="2"/>
          </rPr>
          <t>wzr2hi:</t>
        </r>
        <r>
          <rPr>
            <sz val="8"/>
            <color indexed="81"/>
            <rFont val="Segoe UI"/>
            <family val="2"/>
          </rPr>
          <t xml:space="preserve">
EUR_SDB does not fit into 8GB eMMC
</t>
        </r>
      </text>
    </comment>
    <comment ref="K9" authorId="0" shapeId="0" xr:uid="{00000000-0006-0000-0000-00000D000000}">
      <text>
        <r>
          <rPr>
            <b/>
            <sz val="8"/>
            <color indexed="81"/>
            <rFont val="Segoe UI"/>
            <family val="2"/>
          </rPr>
          <t>wzr2hi:</t>
        </r>
        <r>
          <rPr>
            <sz val="8"/>
            <color indexed="81"/>
            <rFont val="Segoe UI"/>
            <family val="2"/>
          </rPr>
          <t xml:space="preserve">
There is no exact classification for Scope1 devices.</t>
        </r>
      </text>
    </comment>
    <comment ref="K10" authorId="0" shapeId="0" xr:uid="{00000000-0006-0000-0000-00000E000000}">
      <text>
        <r>
          <rPr>
            <b/>
            <sz val="8"/>
            <color indexed="81"/>
            <rFont val="Segoe UI"/>
            <family val="2"/>
          </rPr>
          <t>wzr2hi:</t>
        </r>
        <r>
          <rPr>
            <sz val="8"/>
            <color indexed="81"/>
            <rFont val="Segoe UI"/>
            <family val="2"/>
          </rPr>
          <t xml:space="preserve">
There is no exact classification for Scope1 devices.</t>
        </r>
      </text>
    </comment>
    <comment ref="C15" authorId="0" shapeId="0" xr:uid="{00000000-0006-0000-0000-00000F000000}">
      <text>
        <r>
          <rPr>
            <b/>
            <sz val="8"/>
            <color indexed="81"/>
            <rFont val="Segoe UI"/>
            <family val="2"/>
          </rPr>
          <t>wzr2hi:</t>
        </r>
        <r>
          <rPr>
            <sz val="8"/>
            <color indexed="81"/>
            <rFont val="Segoe UI"/>
            <family val="2"/>
          </rPr>
          <t xml:space="preserve">
[wzr2hi, 25.01.18] Prepare to be blocked by filter in implementation.</t>
        </r>
      </text>
    </comment>
    <comment ref="K15" authorId="0" shapeId="0" xr:uid="{00000000-0006-0000-0000-000010000000}">
      <text>
        <r>
          <rPr>
            <b/>
            <sz val="8"/>
            <color indexed="81"/>
            <rFont val="Segoe UI"/>
            <family val="2"/>
          </rPr>
          <t>wzr2hi:</t>
        </r>
        <r>
          <rPr>
            <sz val="8"/>
            <color indexed="81"/>
            <rFont val="Segoe UI"/>
            <family val="2"/>
          </rPr>
          <t xml:space="preserve">
[wzr2hi, 25.01.18] Definition of new RFS rnaivi_nav_high_jpn was necessary. This does not fit in the partition anymore.</t>
        </r>
      </text>
    </comment>
    <comment ref="C23" authorId="0" shapeId="0" xr:uid="{00000000-0006-0000-0000-000011000000}">
      <text>
        <r>
          <rPr>
            <b/>
            <sz val="8"/>
            <color indexed="81"/>
            <rFont val="Segoe UI"/>
            <family val="2"/>
          </rPr>
          <t>wzr2hi:</t>
        </r>
        <r>
          <rPr>
            <sz val="8"/>
            <color indexed="81"/>
            <rFont val="Segoe UI"/>
            <family val="2"/>
          </rPr>
          <t xml:space="preserve">
[wzr2hi, 02.11.17] Device is unsupported. See comment in ADR.</t>
        </r>
      </text>
    </comment>
    <comment ref="R23" authorId="0" shapeId="0" xr:uid="{00000000-0006-0000-0000-000012000000}">
      <text>
        <r>
          <rPr>
            <b/>
            <sz val="8"/>
            <color indexed="81"/>
            <rFont val="Segoe UI"/>
            <family val="2"/>
          </rPr>
          <t>wzr2hi:</t>
        </r>
        <r>
          <rPr>
            <sz val="8"/>
            <color indexed="81"/>
            <rFont val="Segoe UI"/>
            <family val="2"/>
          </rPr>
          <t xml:space="preserve">
[Gomes, 26.09.17 ] Ab dieser ADR Version wird die Endstufe FDA450LV nicht mehr unterstützt. Der Support ist nur in der FM Variante aus Speicherspargründen entfallen. AARS_IVI_S2_AC_FM_170919
[Krueger, 27.09.17 ] Alle Geräte mit Hauptplatte 6921g01 oder 6921g02 haben noch die alte Endstufe FDA450LV:
Laut VM sind folgende Geräte mit 6921g02 aufgebaut worden:
7500750800-01 -&gt; FM
7510750803-01
7510750805-01
7510750828-01
</t>
        </r>
      </text>
    </comment>
    <comment ref="C25" authorId="0" shapeId="0" xr:uid="{00000000-0006-0000-0000-000013000000}">
      <text>
        <r>
          <rPr>
            <b/>
            <sz val="8"/>
            <color indexed="81"/>
            <rFont val="Segoe UI"/>
            <family val="2"/>
          </rPr>
          <t>wzr2hi:</t>
        </r>
        <r>
          <rPr>
            <sz val="8"/>
            <color indexed="81"/>
            <rFont val="Segoe UI"/>
            <family val="2"/>
          </rPr>
          <t xml:space="preserve">
[wzr2hi, 27.10.17] Blocked by filter in implementation, but enabled again.
[wzr2hi, 27.11.17] Finally blocked by filter in implementation.</t>
        </r>
      </text>
    </comment>
    <comment ref="K25" authorId="0" shapeId="0" xr:uid="{00000000-0006-0000-0000-000014000000}">
      <text>
        <r>
          <rPr>
            <b/>
            <sz val="8"/>
            <color indexed="81"/>
            <rFont val="Segoe UI"/>
            <family val="2"/>
          </rPr>
          <t>wzr2hi:</t>
        </r>
        <r>
          <rPr>
            <sz val="8"/>
            <color indexed="81"/>
            <rFont val="Segoe UI"/>
            <family val="2"/>
          </rPr>
          <t xml:space="preserve">
Legacy 16GB:
+ no valid Renault-Spec
+ SW with Obigo does not fit in
Download shall be prevented by FCID filter.
[wzr2hi, 27.10.17] RootFS with Obigo does not fit in partition anymore.
</t>
        </r>
      </text>
    </comment>
    <comment ref="O25" authorId="0" shapeId="0" xr:uid="{00000000-0006-0000-0000-000015000000}">
      <text>
        <r>
          <rPr>
            <b/>
            <sz val="8"/>
            <color indexed="81"/>
            <rFont val="Segoe UI"/>
            <family val="2"/>
          </rPr>
          <t>wzr2hi:</t>
        </r>
        <r>
          <rPr>
            <sz val="8"/>
            <color indexed="81"/>
            <rFont val="Segoe UI"/>
            <family val="2"/>
          </rPr>
          <t xml:space="preserve">
EUR_SDB does not fit into 16GB eMMC
.
</t>
        </r>
      </text>
    </comment>
    <comment ref="C26" authorId="0" shapeId="0" xr:uid="{00000000-0006-0000-0000-000016000000}">
      <text>
        <r>
          <rPr>
            <b/>
            <sz val="8"/>
            <color indexed="81"/>
            <rFont val="Segoe UI"/>
            <family val="2"/>
          </rPr>
          <t>wzr2hi:</t>
        </r>
        <r>
          <rPr>
            <sz val="8"/>
            <color indexed="81"/>
            <rFont val="Segoe UI"/>
            <family val="2"/>
          </rPr>
          <t xml:space="preserve">
[wzr2hi, 27.10.17] Blocked by filter in implementation, but enabled again.
[wzr2hi, 27.11.17] Finally blocked by filter in implementation.</t>
        </r>
      </text>
    </comment>
    <comment ref="K26" authorId="0" shapeId="0" xr:uid="{00000000-0006-0000-0000-000017000000}">
      <text>
        <r>
          <rPr>
            <b/>
            <sz val="8"/>
            <color indexed="81"/>
            <rFont val="Segoe UI"/>
            <family val="2"/>
          </rPr>
          <t>wzr2hi:</t>
        </r>
        <r>
          <rPr>
            <sz val="8"/>
            <color indexed="81"/>
            <rFont val="Segoe UI"/>
            <family val="2"/>
          </rPr>
          <t xml:space="preserve">
Legacy 16GB:
+ no valid Renault-Spec
+ SW with Obigo does not fit in
Download shall be prevented by FCID filter.
[wzr2hi, 27.10.17] RootFS with Obigo does not fit in partition anymore.
</t>
        </r>
      </text>
    </comment>
    <comment ref="O26" authorId="0" shapeId="0" xr:uid="{00000000-0006-0000-0000-000018000000}">
      <text>
        <r>
          <rPr>
            <b/>
            <sz val="8"/>
            <color indexed="81"/>
            <rFont val="Segoe UI"/>
            <family val="2"/>
          </rPr>
          <t>wzr2hi:</t>
        </r>
        <r>
          <rPr>
            <sz val="8"/>
            <color indexed="81"/>
            <rFont val="Segoe UI"/>
            <family val="2"/>
          </rPr>
          <t xml:space="preserve">
EUR_SDB does not fit into 16GB eMMC
.
</t>
        </r>
      </text>
    </comment>
    <comment ref="C27" authorId="0" shapeId="0" xr:uid="{00000000-0006-0000-0000-000019000000}">
      <text>
        <r>
          <rPr>
            <b/>
            <sz val="8"/>
            <color indexed="81"/>
            <rFont val="Segoe UI"/>
            <family val="2"/>
          </rPr>
          <t>wzr2hi:</t>
        </r>
        <r>
          <rPr>
            <sz val="8"/>
            <color indexed="81"/>
            <rFont val="Segoe UI"/>
            <family val="2"/>
          </rPr>
          <t xml:space="preserve">
[wzr2hi, 25.01.18] Prepare to be blocked by filter in implementation.</t>
        </r>
      </text>
    </comment>
    <comment ref="K27" authorId="0" shapeId="0" xr:uid="{00000000-0006-0000-0000-00001A000000}">
      <text>
        <r>
          <rPr>
            <b/>
            <sz val="8"/>
            <color indexed="81"/>
            <rFont val="Segoe UI"/>
            <family val="2"/>
          </rPr>
          <t>wzr2hi:</t>
        </r>
        <r>
          <rPr>
            <sz val="8"/>
            <color indexed="81"/>
            <rFont val="Segoe UI"/>
            <family val="2"/>
          </rPr>
          <t xml:space="preserve">
[wzr2hi, 25.01.18] Definition of new RFS rnaivi_nav_high_jpn was necessary. This does not fit in the partition anymore.</t>
        </r>
      </text>
    </comment>
    <comment ref="C31" authorId="0" shapeId="0" xr:uid="{00000000-0006-0000-0000-00001B000000}">
      <text>
        <r>
          <rPr>
            <b/>
            <sz val="8"/>
            <color indexed="81"/>
            <rFont val="Segoe UI"/>
            <family val="2"/>
          </rPr>
          <t>wzr2hi:</t>
        </r>
        <r>
          <rPr>
            <sz val="8"/>
            <color indexed="81"/>
            <rFont val="Segoe UI"/>
            <family val="2"/>
          </rPr>
          <t xml:space="preserve">
[wzr2hi, 27.10.17] Blocked by filter in implementation, but enabled again.
[wzr2hi, 27.11.17] Finally blocked by filter in implementation.</t>
        </r>
      </text>
    </comment>
    <comment ref="K31" authorId="0" shapeId="0" xr:uid="{00000000-0006-0000-0000-00001C000000}">
      <text>
        <r>
          <rPr>
            <b/>
            <sz val="8"/>
            <color indexed="81"/>
            <rFont val="Segoe UI"/>
            <family val="2"/>
          </rPr>
          <t>wzr2hi:</t>
        </r>
        <r>
          <rPr>
            <sz val="8"/>
            <color indexed="81"/>
            <rFont val="Segoe UI"/>
            <family val="2"/>
          </rPr>
          <t xml:space="preserve">
Legacy 16GB:
+ no valid Renault-Spec
+ SW with Obigo does not fit in
Download shall be prevented by FCID filter.
[wzr2hi, 27.10.17] RootFS with Obigo does not fit in partition anymore.
</t>
        </r>
      </text>
    </comment>
    <comment ref="O31" authorId="0" shapeId="0" xr:uid="{00000000-0006-0000-0000-00001D000000}">
      <text>
        <r>
          <rPr>
            <b/>
            <sz val="8"/>
            <color indexed="81"/>
            <rFont val="Segoe UI"/>
            <family val="2"/>
          </rPr>
          <t>wzr2hi:</t>
        </r>
        <r>
          <rPr>
            <sz val="8"/>
            <color indexed="81"/>
            <rFont val="Segoe UI"/>
            <family val="2"/>
          </rPr>
          <t xml:space="preserve">
EUR_SDB does not fit into 16GB eMMC
.
</t>
        </r>
      </text>
    </comment>
    <comment ref="C32" authorId="0" shapeId="0" xr:uid="{00000000-0006-0000-0000-00001E000000}">
      <text>
        <r>
          <rPr>
            <b/>
            <sz val="8"/>
            <color indexed="81"/>
            <rFont val="Segoe UI"/>
            <family val="2"/>
          </rPr>
          <t>wzr2hi:</t>
        </r>
        <r>
          <rPr>
            <sz val="8"/>
            <color indexed="81"/>
            <rFont val="Segoe UI"/>
            <family val="2"/>
          </rPr>
          <t xml:space="preserve">
[wzr2hi, 27.10.17] Blocked by filter in implementation, but enabled again.
[wzr2hi, 27.11.17] Finally blocked by filter in implementation.</t>
        </r>
      </text>
    </comment>
    <comment ref="K32" authorId="0" shapeId="0" xr:uid="{00000000-0006-0000-0000-00001F000000}">
      <text>
        <r>
          <rPr>
            <b/>
            <sz val="8"/>
            <color indexed="81"/>
            <rFont val="Segoe UI"/>
            <family val="2"/>
          </rPr>
          <t>wzr2hi:</t>
        </r>
        <r>
          <rPr>
            <sz val="8"/>
            <color indexed="81"/>
            <rFont val="Segoe UI"/>
            <family val="2"/>
          </rPr>
          <t xml:space="preserve">
Legacy 16GB:
+ no valid Renault-Spec
+ SW with Obigo does not fit in
Download shall be prevented by FCID filter.
[wzr2hi, 27.10.17] RootFS with Obigo does not fit in partition anymore.
</t>
        </r>
      </text>
    </comment>
    <comment ref="O32" authorId="0" shapeId="0" xr:uid="{00000000-0006-0000-0000-000020000000}">
      <text>
        <r>
          <rPr>
            <b/>
            <sz val="8"/>
            <color indexed="81"/>
            <rFont val="Segoe UI"/>
            <family val="2"/>
          </rPr>
          <t>wzr2hi:</t>
        </r>
        <r>
          <rPr>
            <sz val="8"/>
            <color indexed="81"/>
            <rFont val="Segoe UI"/>
            <family val="2"/>
          </rPr>
          <t xml:space="preserve">
EUR_SDB does not fit into 16GB eMMC
.
</t>
        </r>
      </text>
    </comment>
    <comment ref="H36" authorId="1" shapeId="0" xr:uid="{00000000-0006-0000-0000-000021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36" authorId="0" shapeId="0" xr:uid="{00000000-0006-0000-0000-000022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AD38" authorId="0" shapeId="0" xr:uid="{00000000-0006-0000-0000-000023000000}">
      <text>
        <r>
          <rPr>
            <b/>
            <sz val="8"/>
            <color indexed="81"/>
            <rFont val="Segoe UI"/>
            <family val="2"/>
          </rPr>
          <t>wzr2hi:</t>
        </r>
        <r>
          <rPr>
            <sz val="8"/>
            <color indexed="81"/>
            <rFont val="Segoe UI"/>
            <family val="2"/>
          </rPr>
          <t xml:space="preserve">
[wzr2hi, 14.06.2018]
JPN-Navigation is not available in ST2.0</t>
        </r>
      </text>
    </comment>
    <comment ref="H48" authorId="1" shapeId="0" xr:uid="{00000000-0006-0000-0000-000024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48" authorId="0" shapeId="0" xr:uid="{00000000-0006-0000-0000-000025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H49" authorId="1" shapeId="0" xr:uid="{00000000-0006-0000-0000-000026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49" authorId="0" shapeId="0" xr:uid="{00000000-0006-0000-0000-000027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H50" authorId="1" shapeId="0" xr:uid="{00000000-0006-0000-0000-000028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50" authorId="0" shapeId="0" xr:uid="{00000000-0006-0000-0000-000029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O52" authorId="0" shapeId="0" xr:uid="{00000000-0006-0000-0000-00002A000000}">
      <text>
        <r>
          <rPr>
            <b/>
            <sz val="8"/>
            <color indexed="81"/>
            <rFont val="Segoe UI"/>
            <family val="2"/>
          </rPr>
          <t>wzr2hi:</t>
        </r>
        <r>
          <rPr>
            <sz val="8"/>
            <color indexed="81"/>
            <rFont val="Segoe UI"/>
            <family val="2"/>
          </rPr>
          <t xml:space="preserve">
[wzr2hi, 13.11.17] Bugfix from GCC to ASR</t>
        </r>
      </text>
    </comment>
    <comment ref="X57" authorId="0" shapeId="0" xr:uid="{00000000-0006-0000-0000-00002B000000}">
      <text>
        <r>
          <rPr>
            <b/>
            <sz val="8"/>
            <color indexed="81"/>
            <rFont val="Segoe UI"/>
            <family val="2"/>
          </rPr>
          <t>wzr2hi:</t>
        </r>
        <r>
          <rPr>
            <sz val="8"/>
            <color indexed="81"/>
            <rFont val="Segoe UI"/>
            <family val="2"/>
          </rPr>
          <t xml:space="preserve">
External DTV-Box via LVDS.
Since this sample is a reworked A-IVI-Sample the assembly state of the FPGA is not clear.</t>
        </r>
      </text>
    </comment>
    <comment ref="AD57" authorId="0" shapeId="0" xr:uid="{00000000-0006-0000-0000-00002C000000}">
      <text>
        <r>
          <rPr>
            <b/>
            <sz val="8"/>
            <color indexed="81"/>
            <rFont val="Segoe UI"/>
            <family val="2"/>
          </rPr>
          <t>wzr2hi:</t>
        </r>
        <r>
          <rPr>
            <sz val="8"/>
            <color indexed="81"/>
            <rFont val="Segoe UI"/>
            <family val="2"/>
          </rPr>
          <t xml:space="preserve">
[wzr2hi, 25.03.2019]
Nissan PIVI does not exist on ST2.0</t>
        </r>
      </text>
    </comment>
    <comment ref="W58" authorId="0" shapeId="0" xr:uid="{00000000-0006-0000-0000-00002D000000}">
      <text>
        <r>
          <rPr>
            <b/>
            <sz val="8"/>
            <color indexed="81"/>
            <rFont val="Segoe UI"/>
            <family val="2"/>
          </rPr>
          <t>wzr2hi:</t>
        </r>
        <r>
          <rPr>
            <sz val="8"/>
            <color indexed="81"/>
            <rFont val="Segoe UI"/>
            <family val="2"/>
          </rPr>
          <t xml:space="preserve">
DA devices can have a Teseo e.g. to deliver position data to Apple devices.</t>
        </r>
      </text>
    </comment>
    <comment ref="R61" authorId="0" shapeId="0" xr:uid="{00000000-0006-0000-0000-00002E000000}">
      <text>
        <r>
          <rPr>
            <b/>
            <sz val="8"/>
            <color indexed="81"/>
            <rFont val="Segoe UI"/>
            <family val="2"/>
          </rPr>
          <t>wzr2hi:</t>
        </r>
        <r>
          <rPr>
            <sz val="8"/>
            <color indexed="81"/>
            <rFont val="Segoe UI"/>
            <family val="2"/>
          </rPr>
          <t xml:space="preserve">
[wzr2hi, 11.04.2018] According to VM the PNs are mixed "ESE" and "Non-ESE". But this is no problem for HD and DAB ADR.</t>
        </r>
      </text>
    </comment>
    <comment ref="O66" authorId="0" shapeId="0" xr:uid="{00000000-0006-0000-0000-00002F000000}">
      <text>
        <r>
          <rPr>
            <b/>
            <sz val="8"/>
            <color indexed="81"/>
            <rFont val="Segoe UI"/>
            <family val="2"/>
          </rPr>
          <t>wzr2hi:</t>
        </r>
        <r>
          <rPr>
            <sz val="8"/>
            <color indexed="81"/>
            <rFont val="Segoe UI"/>
            <family val="2"/>
          </rPr>
          <t xml:space="preserve">
EUR_SDB does not fit into 8GB eMMC
</t>
        </r>
      </text>
    </comment>
    <comment ref="K69" authorId="0" shapeId="0" xr:uid="{00000000-0006-0000-0000-000030000000}">
      <text>
        <r>
          <rPr>
            <b/>
            <sz val="8"/>
            <color indexed="81"/>
            <rFont val="Segoe UI"/>
            <family val="2"/>
          </rPr>
          <t>wzr2hi:</t>
        </r>
        <r>
          <rPr>
            <sz val="8"/>
            <color indexed="81"/>
            <rFont val="Segoe UI"/>
            <family val="2"/>
          </rPr>
          <t xml:space="preserve">
7.510.750.871-01 : Core NAV</t>
        </r>
      </text>
    </comment>
    <comment ref="AD72" authorId="0" shapeId="0" xr:uid="{00000000-0006-0000-0000-000031000000}">
      <text>
        <r>
          <rPr>
            <b/>
            <sz val="8"/>
            <color indexed="81"/>
            <rFont val="Segoe UI"/>
            <family val="2"/>
          </rPr>
          <t>wzr2hi:</t>
        </r>
        <r>
          <rPr>
            <sz val="8"/>
            <color indexed="81"/>
            <rFont val="Segoe UI"/>
            <family val="2"/>
          </rPr>
          <t xml:space="preserve">
[wzr2hi, 25.03.2019]
Nissan PIVI does not exist on ST2.0</t>
        </r>
      </text>
    </comment>
    <comment ref="AD73" authorId="0" shapeId="0" xr:uid="{00000000-0006-0000-0000-000032000000}">
      <text>
        <r>
          <rPr>
            <b/>
            <sz val="8"/>
            <color indexed="81"/>
            <rFont val="Segoe UI"/>
            <family val="2"/>
          </rPr>
          <t>wzr2hi:</t>
        </r>
        <r>
          <rPr>
            <sz val="8"/>
            <color indexed="81"/>
            <rFont val="Segoe UI"/>
            <family val="2"/>
          </rPr>
          <t xml:space="preserve">
[wzr2hi, 25.03.2019]
Nissan PIVI does not exist on ST2.0</t>
        </r>
      </text>
    </comment>
    <comment ref="X74" authorId="0" shapeId="0" xr:uid="{00000000-0006-0000-0000-000033000000}">
      <text>
        <r>
          <rPr>
            <b/>
            <sz val="8"/>
            <color indexed="81"/>
            <rFont val="Segoe UI"/>
            <family val="2"/>
          </rPr>
          <t>wzr2hi:</t>
        </r>
        <r>
          <rPr>
            <sz val="8"/>
            <color indexed="81"/>
            <rFont val="Segoe UI"/>
            <family val="2"/>
          </rPr>
          <t xml:space="preserve">
External DTV-Box via LVDS</t>
        </r>
      </text>
    </comment>
    <comment ref="AD74" authorId="0" shapeId="0" xr:uid="{00000000-0006-0000-0000-000034000000}">
      <text>
        <r>
          <rPr>
            <b/>
            <sz val="8"/>
            <color indexed="81"/>
            <rFont val="Segoe UI"/>
            <family val="2"/>
          </rPr>
          <t>wzr2hi:</t>
        </r>
        <r>
          <rPr>
            <sz val="8"/>
            <color indexed="81"/>
            <rFont val="Segoe UI"/>
            <family val="2"/>
          </rPr>
          <t xml:space="preserve">
[wzr2hi, 25.03.2019]
Nissan PIVI does not exist on ST2.0</t>
        </r>
      </text>
    </comment>
    <comment ref="AD75" authorId="0" shapeId="0" xr:uid="{00000000-0006-0000-0000-000035000000}">
      <text>
        <r>
          <rPr>
            <b/>
            <sz val="8"/>
            <color indexed="81"/>
            <rFont val="Segoe UI"/>
            <family val="2"/>
          </rPr>
          <t>wzr2hi:</t>
        </r>
        <r>
          <rPr>
            <sz val="8"/>
            <color indexed="81"/>
            <rFont val="Segoe UI"/>
            <family val="2"/>
          </rPr>
          <t xml:space="preserve">
[wzr2hi, 25.03.2019]
Nissan PIVI does not exist on ST2.0</t>
        </r>
      </text>
    </comment>
    <comment ref="AD84" authorId="0" shapeId="0" xr:uid="{00000000-0006-0000-0000-000036000000}">
      <text>
        <r>
          <rPr>
            <b/>
            <sz val="8"/>
            <color indexed="81"/>
            <rFont val="Segoe UI"/>
            <family val="2"/>
          </rPr>
          <t>wzr2hi:</t>
        </r>
        <r>
          <rPr>
            <sz val="8"/>
            <color indexed="81"/>
            <rFont val="Segoe UI"/>
            <family val="2"/>
          </rPr>
          <t xml:space="preserve">
[wzr2hi, 14.06.2018]
JPN-Navigation is not available in ST2.0</t>
        </r>
      </text>
    </comment>
    <comment ref="H86" authorId="1" shapeId="0" xr:uid="{00000000-0006-0000-0000-000037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86" authorId="0" shapeId="0" xr:uid="{00000000-0006-0000-0000-000038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H102" authorId="1" shapeId="0" xr:uid="{00000000-0006-0000-0000-000039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102" authorId="0" shapeId="0" xr:uid="{00000000-0006-0000-0000-00003A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H103" authorId="1" shapeId="0" xr:uid="{00000000-0006-0000-0000-00003B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103" authorId="0" shapeId="0" xr:uid="{00000000-0006-0000-0000-00003C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O104" authorId="0" shapeId="0" xr:uid="{00000000-0006-0000-0000-00003D000000}">
      <text>
        <r>
          <rPr>
            <b/>
            <sz val="8"/>
            <color indexed="81"/>
            <rFont val="Segoe UI"/>
            <family val="2"/>
          </rPr>
          <t>wzr2hi:</t>
        </r>
        <r>
          <rPr>
            <sz val="8"/>
            <color indexed="81"/>
            <rFont val="Segoe UI"/>
            <family val="2"/>
          </rPr>
          <t xml:space="preserve">
[wzr2hi, 14.11.17] Was PRC_SDB but device has only 512MB RAM so SDB does not work and was set to No_SDB in VM.</t>
        </r>
      </text>
    </comment>
    <comment ref="O105" authorId="0" shapeId="0" xr:uid="{00000000-0006-0000-0000-00003E000000}">
      <text>
        <r>
          <rPr>
            <b/>
            <sz val="8"/>
            <color indexed="81"/>
            <rFont val="Segoe UI"/>
            <family val="2"/>
          </rPr>
          <t>wzr2hi:</t>
        </r>
        <r>
          <rPr>
            <sz val="8"/>
            <color indexed="81"/>
            <rFont val="Segoe UI"/>
            <family val="2"/>
          </rPr>
          <t xml:space="preserve">
[wzr2hi, 14.11.17] Was PRC_SDB but device has only 512MB RAM so SDB does not work and was set to No_SDB in VM.</t>
        </r>
      </text>
    </comment>
    <comment ref="O118" authorId="0" shapeId="0" xr:uid="{00000000-0006-0000-0000-00003F000000}">
      <text>
        <r>
          <rPr>
            <b/>
            <sz val="8"/>
            <color indexed="81"/>
            <rFont val="Segoe UI"/>
            <family val="2"/>
          </rPr>
          <t>wzr2hi:</t>
        </r>
        <r>
          <rPr>
            <sz val="8"/>
            <color indexed="81"/>
            <rFont val="Segoe UI"/>
            <family val="2"/>
          </rPr>
          <t xml:space="preserve">
[wzr2hi, 14.11.17] Was EUL_SDB but device has only 512MB RAM so SDB does not work and was set to No_SDB in VM.</t>
        </r>
      </text>
    </comment>
    <comment ref="O119" authorId="0" shapeId="0" xr:uid="{00000000-0006-0000-0000-000040000000}">
      <text>
        <r>
          <rPr>
            <b/>
            <sz val="8"/>
            <color indexed="81"/>
            <rFont val="Segoe UI"/>
            <family val="2"/>
          </rPr>
          <t>wzr2hi:</t>
        </r>
        <r>
          <rPr>
            <sz val="8"/>
            <color indexed="81"/>
            <rFont val="Segoe UI"/>
            <family val="2"/>
          </rPr>
          <t xml:space="preserve">
[wzr2hi, 14.11.17] Was RUS_SDB but device has only 512MB RAM so SDB does not work and was set to No_SDB in VM.</t>
        </r>
      </text>
    </comment>
    <comment ref="AD120" authorId="0" shapeId="0" xr:uid="{00000000-0006-0000-0000-000041000000}">
      <text>
        <r>
          <rPr>
            <b/>
            <sz val="8"/>
            <color indexed="81"/>
            <rFont val="Segoe UI"/>
            <family val="2"/>
          </rPr>
          <t>wzr2hi:</t>
        </r>
        <r>
          <rPr>
            <sz val="8"/>
            <color indexed="81"/>
            <rFont val="Segoe UI"/>
            <family val="2"/>
          </rPr>
          <t xml:space="preserve">
[wzr2hi, 25.03.2019]
Nissan PIVI does not exist on ST2.0</t>
        </r>
      </text>
    </comment>
    <comment ref="X121" authorId="0" shapeId="0" xr:uid="{00000000-0006-0000-0000-000042000000}">
      <text>
        <r>
          <rPr>
            <b/>
            <sz val="8"/>
            <color indexed="81"/>
            <rFont val="Segoe UI"/>
            <family val="2"/>
          </rPr>
          <t>wzr2hi:</t>
        </r>
        <r>
          <rPr>
            <sz val="8"/>
            <color indexed="81"/>
            <rFont val="Segoe UI"/>
            <family val="2"/>
          </rPr>
          <t xml:space="preserve">
External DTV-Box via LVDS</t>
        </r>
      </text>
    </comment>
    <comment ref="AD121" authorId="0" shapeId="0" xr:uid="{00000000-0006-0000-0000-000043000000}">
      <text>
        <r>
          <rPr>
            <b/>
            <sz val="8"/>
            <color indexed="81"/>
            <rFont val="Segoe UI"/>
            <family val="2"/>
          </rPr>
          <t>wzr2hi:</t>
        </r>
        <r>
          <rPr>
            <sz val="8"/>
            <color indexed="81"/>
            <rFont val="Segoe UI"/>
            <family val="2"/>
          </rPr>
          <t xml:space="preserve">
[wzr2hi, 25.03.2019]
Nissan PIVI does not exist on ST2.0</t>
        </r>
      </text>
    </comment>
    <comment ref="AD122" authorId="0" shapeId="0" xr:uid="{00000000-0006-0000-0000-000044000000}">
      <text>
        <r>
          <rPr>
            <b/>
            <sz val="8"/>
            <color indexed="81"/>
            <rFont val="Segoe UI"/>
            <family val="2"/>
          </rPr>
          <t>wzr2hi:</t>
        </r>
        <r>
          <rPr>
            <sz val="8"/>
            <color indexed="81"/>
            <rFont val="Segoe UI"/>
            <family val="2"/>
          </rPr>
          <t xml:space="preserve">
[wzr2hi, 25.03.2019]
Nissan PIVI does not exist on ST2.0</t>
        </r>
      </text>
    </comment>
    <comment ref="AD123" authorId="0" shapeId="0" xr:uid="{00000000-0006-0000-0000-000045000000}">
      <text>
        <r>
          <rPr>
            <b/>
            <sz val="8"/>
            <color indexed="81"/>
            <rFont val="Segoe UI"/>
            <family val="2"/>
          </rPr>
          <t>wzr2hi:</t>
        </r>
        <r>
          <rPr>
            <sz val="8"/>
            <color indexed="81"/>
            <rFont val="Segoe UI"/>
            <family val="2"/>
          </rPr>
          <t xml:space="preserve">
[wzr2hi, 25.03.2019]
Nissan PIVI does not exist on ST2.0</t>
        </r>
      </text>
    </comment>
    <comment ref="C124" authorId="0" shapeId="0" xr:uid="{00000000-0006-0000-0000-000046000000}">
      <text>
        <r>
          <rPr>
            <b/>
            <sz val="8"/>
            <color indexed="81"/>
            <rFont val="Segoe UI"/>
            <family val="2"/>
          </rPr>
          <t>wzr2hi:</t>
        </r>
        <r>
          <rPr>
            <sz val="8"/>
            <color indexed="81"/>
            <rFont val="Segoe UI"/>
            <family val="2"/>
          </rPr>
          <t xml:space="preserve">
[wzr2hi, 25.01.18] Prepare to be blocked by filter in implementation.</t>
        </r>
      </text>
    </comment>
    <comment ref="K124" authorId="0" shapeId="0" xr:uid="{00000000-0006-0000-0000-000047000000}">
      <text>
        <r>
          <rPr>
            <b/>
            <sz val="8"/>
            <color indexed="81"/>
            <rFont val="Segoe UI"/>
            <family val="2"/>
          </rPr>
          <t>wzr2hi:</t>
        </r>
        <r>
          <rPr>
            <sz val="8"/>
            <color indexed="81"/>
            <rFont val="Segoe UI"/>
            <family val="2"/>
          </rPr>
          <t xml:space="preserve">
[wzr2hi, 25.01.18] Definition of new RFS rnaivi_nav_high_jpn was necessary. This does not fit in the partition anymore.</t>
        </r>
      </text>
    </comment>
    <comment ref="C125" authorId="0" shapeId="0" xr:uid="{00000000-0006-0000-0000-000048000000}">
      <text>
        <r>
          <rPr>
            <b/>
            <sz val="8"/>
            <color indexed="81"/>
            <rFont val="Segoe UI"/>
            <family val="2"/>
          </rPr>
          <t>wzr2hi:</t>
        </r>
        <r>
          <rPr>
            <sz val="8"/>
            <color indexed="81"/>
            <rFont val="Segoe UI"/>
            <family val="2"/>
          </rPr>
          <t xml:space="preserve">
[wzr2hi, 25.01.18] Prepare to be blocked by filter in implementation.</t>
        </r>
      </text>
    </comment>
    <comment ref="K125" authorId="0" shapeId="0" xr:uid="{00000000-0006-0000-0000-000049000000}">
      <text>
        <r>
          <rPr>
            <b/>
            <sz val="8"/>
            <color indexed="81"/>
            <rFont val="Segoe UI"/>
            <family val="2"/>
          </rPr>
          <t>wzr2hi:</t>
        </r>
        <r>
          <rPr>
            <sz val="8"/>
            <color indexed="81"/>
            <rFont val="Segoe UI"/>
            <family val="2"/>
          </rPr>
          <t xml:space="preserve">
[wzr2hi, 25.01.18] Definition of new RFS rnaivi_nav_high_jpn was necessary. This does not fit in the partition anymore.</t>
        </r>
      </text>
    </comment>
    <comment ref="F126" authorId="0" shapeId="0" xr:uid="{00000000-0006-0000-0000-00004A000000}">
      <text>
        <r>
          <rPr>
            <b/>
            <sz val="8"/>
            <color indexed="81"/>
            <rFont val="Segoe UI"/>
            <family val="2"/>
          </rPr>
          <t>wzr2hi:</t>
        </r>
        <r>
          <rPr>
            <sz val="8"/>
            <color indexed="81"/>
            <rFont val="Segoe UI"/>
            <family val="2"/>
          </rPr>
          <t xml:space="preserve">
Korea Navigation is for ST3.0 Developement within ST2.1</t>
        </r>
      </text>
    </comment>
    <comment ref="L126" authorId="0" shapeId="0" xr:uid="{00000000-0006-0000-0000-00004B000000}">
      <text>
        <r>
          <rPr>
            <b/>
            <sz val="8"/>
            <color indexed="81"/>
            <rFont val="Segoe UI"/>
            <family val="2"/>
          </rPr>
          <t>wzr2hi:</t>
        </r>
        <r>
          <rPr>
            <sz val="8"/>
            <color indexed="81"/>
            <rFont val="Segoe UI"/>
            <family val="2"/>
          </rPr>
          <t xml:space="preserve">
[wzr2hi, 12.06.2018]
There is/was no Korea target specified within ST2.1.
So this target was setup within ST2.1 to make development for ST3.0 possible.
Not sure if and how long the ST2.1 branch still supports this target. However it should be possible to serve the target from the ST3.0 branch.</t>
        </r>
      </text>
    </comment>
    <comment ref="R126" authorId="0" shapeId="0" xr:uid="{00000000-0006-0000-0000-00004C000000}">
      <text>
        <r>
          <rPr>
            <b/>
            <sz val="8"/>
            <color indexed="81"/>
            <rFont val="Segoe UI"/>
            <family val="2"/>
          </rPr>
          <t>wzr2hi:</t>
        </r>
        <r>
          <rPr>
            <sz val="8"/>
            <color indexed="81"/>
            <rFont val="Segoe UI"/>
            <family val="2"/>
          </rPr>
          <t xml:space="preserve">
[wzr2hi, 11.04.2018] Base partnumber 7.510.750.806-01 has "ESE" enabled in VM.</t>
        </r>
      </text>
    </comment>
    <comment ref="V126" authorId="0" shapeId="0" xr:uid="{00000000-0006-0000-0000-00004D000000}">
      <text>
        <r>
          <rPr>
            <b/>
            <sz val="8"/>
            <color indexed="81"/>
            <rFont val="Segoe UI"/>
            <family val="2"/>
          </rPr>
          <t>wzr2hi:</t>
        </r>
        <r>
          <rPr>
            <sz val="8"/>
            <color indexed="81"/>
            <rFont val="Segoe UI"/>
            <family val="2"/>
          </rPr>
          <t xml:space="preserve">
Map-Data for Korea will never be available outside of Korea.</t>
        </r>
      </text>
    </comment>
    <comment ref="AD126" authorId="0" shapeId="0" xr:uid="{00000000-0006-0000-0000-00004E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F127" authorId="0" shapeId="0" xr:uid="{00000000-0006-0000-0000-00004F000000}">
      <text>
        <r>
          <rPr>
            <b/>
            <sz val="8"/>
            <color indexed="81"/>
            <rFont val="Segoe UI"/>
            <family val="2"/>
          </rPr>
          <t>wzr2hi:</t>
        </r>
        <r>
          <rPr>
            <sz val="8"/>
            <color indexed="81"/>
            <rFont val="Segoe UI"/>
            <family val="2"/>
          </rPr>
          <t xml:space="preserve">
Korea Navigation is for ST3.0 Developement within ST2.1</t>
        </r>
      </text>
    </comment>
    <comment ref="L127" authorId="0" shapeId="0" xr:uid="{00000000-0006-0000-0000-000050000000}">
      <text>
        <r>
          <rPr>
            <b/>
            <sz val="8"/>
            <color indexed="81"/>
            <rFont val="Segoe UI"/>
            <family val="2"/>
          </rPr>
          <t>wzr2hi:</t>
        </r>
        <r>
          <rPr>
            <sz val="8"/>
            <color indexed="81"/>
            <rFont val="Segoe UI"/>
            <family val="2"/>
          </rPr>
          <t xml:space="preserve">
[wzr2hi, 12.06.2018]
There is/was no Korea target specified within ST2.1.
So this target was setup within ST2.1 to make development for ST3.0 possible.
Not sure if and how long the ST2.1 branch still supports this target. However it should be possible to serve the target from the ST3.0 branch.</t>
        </r>
      </text>
    </comment>
    <comment ref="R127" authorId="0" shapeId="0" xr:uid="{00000000-0006-0000-0000-000051000000}">
      <text>
        <r>
          <rPr>
            <b/>
            <sz val="8"/>
            <color indexed="81"/>
            <rFont val="Segoe UI"/>
            <family val="2"/>
          </rPr>
          <t>wzr2hi:</t>
        </r>
        <r>
          <rPr>
            <sz val="8"/>
            <color indexed="81"/>
            <rFont val="Segoe UI"/>
            <family val="2"/>
          </rPr>
          <t xml:space="preserve">
[wzr2hi, 11.04.2018] Base partnumber 7.510.750.876-01 has "ESE" enabled in VM.</t>
        </r>
      </text>
    </comment>
    <comment ref="V127" authorId="0" shapeId="0" xr:uid="{00000000-0006-0000-0000-000052000000}">
      <text>
        <r>
          <rPr>
            <b/>
            <sz val="8"/>
            <color indexed="81"/>
            <rFont val="Segoe UI"/>
            <family val="2"/>
          </rPr>
          <t>wzr2hi:</t>
        </r>
        <r>
          <rPr>
            <sz val="8"/>
            <color indexed="81"/>
            <rFont val="Segoe UI"/>
            <family val="2"/>
          </rPr>
          <t xml:space="preserve">
Map-Data for Korea will never be available outside of Korea.</t>
        </r>
      </text>
    </comment>
    <comment ref="AD127" authorId="0" shapeId="0" xr:uid="{00000000-0006-0000-0000-000053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133" authorId="0" shapeId="0" xr:uid="{00000000-0006-0000-0000-000054000000}">
      <text>
        <r>
          <rPr>
            <b/>
            <sz val="8"/>
            <color indexed="81"/>
            <rFont val="Segoe UI"/>
            <family val="2"/>
          </rPr>
          <t>wzr2hi:</t>
        </r>
        <r>
          <rPr>
            <sz val="8"/>
            <color indexed="81"/>
            <rFont val="Segoe UI"/>
            <family val="2"/>
          </rPr>
          <t xml:space="preserve">
Fake-Device is an NAV-Device which has DAB according to the VM.
But since we fake a DA-Device for MEA we consider the ADR to be AM/FM only.</t>
        </r>
      </text>
    </comment>
    <comment ref="W133" authorId="0" shapeId="0" xr:uid="{00000000-0006-0000-0000-000055000000}">
      <text>
        <r>
          <rPr>
            <b/>
            <sz val="8"/>
            <color indexed="81"/>
            <rFont val="Segoe UI"/>
            <family val="2"/>
          </rPr>
          <t>wzr2hi:</t>
        </r>
        <r>
          <rPr>
            <sz val="8"/>
            <color indexed="81"/>
            <rFont val="Segoe UI"/>
            <family val="2"/>
          </rPr>
          <t xml:space="preserve">
Fake-Device is an NAV-Device which has a Teseo according to the VM.
But since we fake a DA-Device we consider the Teseo as not to be updatable.</t>
        </r>
      </text>
    </comment>
    <comment ref="W134" authorId="0" shapeId="0" xr:uid="{00000000-0006-0000-0000-000056000000}">
      <text>
        <r>
          <rPr>
            <b/>
            <sz val="8"/>
            <color indexed="81"/>
            <rFont val="Segoe UI"/>
            <family val="2"/>
          </rPr>
          <t>wzr2hi:</t>
        </r>
        <r>
          <rPr>
            <sz val="8"/>
            <color indexed="81"/>
            <rFont val="Segoe UI"/>
            <family val="2"/>
          </rPr>
          <t xml:space="preserve">
Fake-Device is an NAV-Device which has a Teseo according to the VM.
But since we fake a DA-Device we consider the Teseo as not to be updatable.</t>
        </r>
      </text>
    </comment>
    <comment ref="O135" authorId="0" shapeId="0" xr:uid="{00000000-0006-0000-0000-000057000000}">
      <text>
        <r>
          <rPr>
            <b/>
            <sz val="8"/>
            <color indexed="81"/>
            <rFont val="Segoe UI"/>
            <family val="2"/>
          </rPr>
          <t>wzr2hi:</t>
        </r>
        <r>
          <rPr>
            <sz val="8"/>
            <color indexed="81"/>
            <rFont val="Segoe UI"/>
            <family val="2"/>
          </rPr>
          <t xml:space="preserve">
[wzr2hi, 27.11.17] If CRQ 0277 is implemented, SAF/AUS cannot be delivered in one device. -&gt; Decision: SAF is served via DA2. AUS is not served with this FCID.</t>
        </r>
      </text>
    </comment>
    <comment ref="O143" authorId="0" shapeId="0" xr:uid="{00000000-0006-0000-0000-000058000000}">
      <text>
        <r>
          <rPr>
            <b/>
            <sz val="8"/>
            <color indexed="81"/>
            <rFont val="Segoe UI"/>
            <family val="2"/>
          </rPr>
          <t>wzr2hi:</t>
        </r>
        <r>
          <rPr>
            <sz val="8"/>
            <color indexed="81"/>
            <rFont val="Segoe UI"/>
            <family val="2"/>
          </rPr>
          <t xml:space="preserve">
[wzr2hi, 27.11.17] If CRQ 0277 is implemented, SAF/AUS cannot be delivered in one device. -&gt; Decision: SAF is served via DA2. AUS is not served with this FCID.</t>
        </r>
      </text>
    </comment>
    <comment ref="O150" authorId="0" shapeId="0" xr:uid="{00000000-0006-0000-0000-000059000000}">
      <text>
        <r>
          <rPr>
            <b/>
            <sz val="8"/>
            <color indexed="81"/>
            <rFont val="Segoe UI"/>
            <family val="2"/>
          </rPr>
          <t>wzr2hi:</t>
        </r>
        <r>
          <rPr>
            <sz val="8"/>
            <color indexed="81"/>
            <rFont val="Segoe UI"/>
            <family val="2"/>
          </rPr>
          <t xml:space="preserve">
[wzr2hi, 14.11.17] Was LAC_SDB but device has only 512MB RAM so SDB does not work and was set to No_SDB in VM.</t>
        </r>
      </text>
    </comment>
    <comment ref="O154" authorId="0" shapeId="0" xr:uid="{00000000-0006-0000-0000-00005A000000}">
      <text>
        <r>
          <rPr>
            <b/>
            <sz val="8"/>
            <color indexed="81"/>
            <rFont val="Segoe UI"/>
            <family val="2"/>
          </rPr>
          <t>wzr2hi:</t>
        </r>
        <r>
          <rPr>
            <sz val="8"/>
            <color indexed="81"/>
            <rFont val="Segoe UI"/>
            <family val="2"/>
          </rPr>
          <t xml:space="preserve">
EUR_SDB does not fit into 8GB eMMC
</t>
        </r>
      </text>
    </comment>
    <comment ref="D155" authorId="0" shapeId="0" xr:uid="{00000000-0006-0000-0000-00005B000000}">
      <text>
        <r>
          <rPr>
            <b/>
            <sz val="8"/>
            <color indexed="81"/>
            <rFont val="Segoe UI"/>
            <family val="2"/>
          </rPr>
          <t>wzr2hi:</t>
        </r>
        <r>
          <rPr>
            <sz val="8"/>
            <color indexed="81"/>
            <rFont val="Segoe UI"/>
            <family val="2"/>
          </rPr>
          <t xml:space="preserve">
24.10.2017: Board-ID was changed from 0x0699 (DL) to 0694 (DL) on behalf of PM and HW.
Goal was to fix an error in electrical part list, 1GB RAM to 2GB RAM.
According to PM only 12 devices has been distributed so far, those are re-collected and changed to. The ohter targets are still at MFI and will be re-worked there.</t>
        </r>
      </text>
    </comment>
    <comment ref="D156" authorId="0" shapeId="0" xr:uid="{00000000-0006-0000-0000-00005C000000}">
      <text>
        <r>
          <rPr>
            <b/>
            <sz val="8"/>
            <color indexed="81"/>
            <rFont val="Segoe UI"/>
            <family val="2"/>
          </rPr>
          <t>wzr2hi:</t>
        </r>
        <r>
          <rPr>
            <sz val="8"/>
            <color indexed="81"/>
            <rFont val="Segoe UI"/>
            <family val="2"/>
          </rPr>
          <t xml:space="preserve">
24.10.2017: Board-ID was changed from 0x0699 (DL) to 0694 (DL) on behalf of PM and HW.
Goal was to fix an error in electrical part list, 1GB RAM to 2GB RAM.
According to PM only 12 devices has been distributed so far, those are re-collected and changed to. The ohter targets are still at MFI and will be re-worked there.</t>
        </r>
      </text>
    </comment>
    <comment ref="AD157" authorId="0" shapeId="0" xr:uid="{00000000-0006-0000-0000-00005D000000}">
      <text>
        <r>
          <rPr>
            <b/>
            <sz val="8"/>
            <color indexed="81"/>
            <rFont val="Segoe UI"/>
            <family val="2"/>
          </rPr>
          <t>wzr2hi:</t>
        </r>
        <r>
          <rPr>
            <sz val="8"/>
            <color indexed="81"/>
            <rFont val="Segoe UI"/>
            <family val="2"/>
          </rPr>
          <t xml:space="preserve">
[wzr2hi, 30.08.18] This are the only two Renault HW which were built up w/o Teseo. This is against Renault-Spec. VDS/PV setup cannot support those devices.</t>
        </r>
      </text>
    </comment>
    <comment ref="AD159" authorId="0" shapeId="0" xr:uid="{00000000-0006-0000-0000-00005E000000}">
      <text>
        <r>
          <rPr>
            <b/>
            <sz val="8"/>
            <color indexed="81"/>
            <rFont val="Segoe UI"/>
            <family val="2"/>
          </rPr>
          <t>wzr2hi:</t>
        </r>
        <r>
          <rPr>
            <sz val="8"/>
            <color indexed="81"/>
            <rFont val="Segoe UI"/>
            <family val="2"/>
          </rPr>
          <t xml:space="preserve">
[wzr2hi, 25.03.2019]
Nissan PIVI does not exist on ST2.0</t>
        </r>
      </text>
    </comment>
    <comment ref="X160" authorId="0" shapeId="0" xr:uid="{00000000-0006-0000-0000-00005F000000}">
      <text>
        <r>
          <rPr>
            <b/>
            <sz val="8"/>
            <color indexed="81"/>
            <rFont val="Segoe UI"/>
            <family val="2"/>
          </rPr>
          <t>wzr2hi:</t>
        </r>
        <r>
          <rPr>
            <sz val="8"/>
            <color indexed="81"/>
            <rFont val="Segoe UI"/>
            <family val="2"/>
          </rPr>
          <t xml:space="preserve">
External DTV-Box via LVDS</t>
        </r>
      </text>
    </comment>
    <comment ref="AD160" authorId="0" shapeId="0" xr:uid="{00000000-0006-0000-0000-000060000000}">
      <text>
        <r>
          <rPr>
            <b/>
            <sz val="8"/>
            <color indexed="81"/>
            <rFont val="Segoe UI"/>
            <family val="2"/>
          </rPr>
          <t>wzr2hi:</t>
        </r>
        <r>
          <rPr>
            <sz val="8"/>
            <color indexed="81"/>
            <rFont val="Segoe UI"/>
            <family val="2"/>
          </rPr>
          <t xml:space="preserve">
[wzr2hi, 25.03.2019]
Nissan PIVI does not exist on ST2.0</t>
        </r>
      </text>
    </comment>
    <comment ref="AD161" authorId="0" shapeId="0" xr:uid="{00000000-0006-0000-0000-000061000000}">
      <text>
        <r>
          <rPr>
            <b/>
            <sz val="8"/>
            <color indexed="81"/>
            <rFont val="Segoe UI"/>
            <family val="2"/>
          </rPr>
          <t>wzr2hi:</t>
        </r>
        <r>
          <rPr>
            <sz val="8"/>
            <color indexed="81"/>
            <rFont val="Segoe UI"/>
            <family val="2"/>
          </rPr>
          <t xml:space="preserve">
[wzr2hi, 25.03.2019]
Nissan PIVI does not exist on ST2.0</t>
        </r>
      </text>
    </comment>
    <comment ref="AD162" authorId="0" shapeId="0" xr:uid="{00000000-0006-0000-0000-000062000000}">
      <text>
        <r>
          <rPr>
            <b/>
            <sz val="8"/>
            <color indexed="81"/>
            <rFont val="Segoe UI"/>
            <family val="2"/>
          </rPr>
          <t>wzr2hi:</t>
        </r>
        <r>
          <rPr>
            <sz val="8"/>
            <color indexed="81"/>
            <rFont val="Segoe UI"/>
            <family val="2"/>
          </rPr>
          <t xml:space="preserve">
[wzr2hi, 25.03.2019]
Nissan PIVI does not exist on ST2.0</t>
        </r>
      </text>
    </comment>
    <comment ref="AD163" authorId="0" shapeId="0" xr:uid="{00000000-0006-0000-0000-000063000000}">
      <text>
        <r>
          <rPr>
            <b/>
            <sz val="8"/>
            <color indexed="81"/>
            <rFont val="Segoe UI"/>
            <family val="2"/>
          </rPr>
          <t>wzr2hi:</t>
        </r>
        <r>
          <rPr>
            <sz val="8"/>
            <color indexed="81"/>
            <rFont val="Segoe UI"/>
            <family val="2"/>
          </rPr>
          <t xml:space="preserve">
[wzr2hi, 25.03.2019]
Nissan PIVI does not exist on ST2.0</t>
        </r>
      </text>
    </comment>
    <comment ref="AD164" authorId="0" shapeId="0" xr:uid="{00000000-0006-0000-0000-000064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X165" authorId="0" shapeId="0" xr:uid="{00000000-0006-0000-0000-000065000000}">
      <text>
        <r>
          <rPr>
            <b/>
            <sz val="8"/>
            <color indexed="81"/>
            <rFont val="Segoe UI"/>
            <family val="2"/>
          </rPr>
          <t>wzr2hi:</t>
        </r>
        <r>
          <rPr>
            <sz val="8"/>
            <color indexed="81"/>
            <rFont val="Segoe UI"/>
            <family val="2"/>
          </rPr>
          <t xml:space="preserve">
External DTV-Box via LVDS</t>
        </r>
      </text>
    </comment>
    <comment ref="AD165" authorId="0" shapeId="0" xr:uid="{00000000-0006-0000-0000-000066000000}">
      <text>
        <r>
          <rPr>
            <b/>
            <sz val="8"/>
            <color indexed="81"/>
            <rFont val="Segoe UI"/>
            <family val="2"/>
          </rPr>
          <t>wzr2hi:</t>
        </r>
        <r>
          <rPr>
            <sz val="8"/>
            <color indexed="81"/>
            <rFont val="Segoe UI"/>
            <family val="2"/>
          </rPr>
          <t xml:space="preserve">
[wzr2hi, 25.03.2019]
Nissan PIVI does not exist on ST2.0</t>
        </r>
      </text>
    </comment>
    <comment ref="AD169" authorId="0" shapeId="0" xr:uid="{00000000-0006-0000-0000-000067000000}">
      <text>
        <r>
          <rPr>
            <b/>
            <sz val="8"/>
            <color indexed="81"/>
            <rFont val="Segoe UI"/>
            <family val="2"/>
          </rPr>
          <t>wzr2hi:</t>
        </r>
        <r>
          <rPr>
            <sz val="8"/>
            <color indexed="81"/>
            <rFont val="Segoe UI"/>
            <family val="2"/>
          </rPr>
          <t xml:space="preserve">
[wzr2hi, 14.06.2018]
JPN-Navigation is not available in ST2.0</t>
        </r>
      </text>
    </comment>
    <comment ref="X170" authorId="0" shapeId="0" xr:uid="{00000000-0006-0000-0000-000068000000}">
      <text>
        <r>
          <rPr>
            <b/>
            <sz val="8"/>
            <color indexed="81"/>
            <rFont val="Segoe UI"/>
            <family val="2"/>
          </rPr>
          <t>wzr2hi:</t>
        </r>
        <r>
          <rPr>
            <sz val="8"/>
            <color indexed="81"/>
            <rFont val="Segoe UI"/>
            <family val="2"/>
          </rPr>
          <t xml:space="preserve">
CPLD on Fascia</t>
        </r>
      </text>
    </comment>
    <comment ref="X171" authorId="0" shapeId="0" xr:uid="{00000000-0006-0000-0000-000069000000}">
      <text>
        <r>
          <rPr>
            <b/>
            <sz val="8"/>
            <color indexed="81"/>
            <rFont val="Segoe UI"/>
            <family val="2"/>
          </rPr>
          <t>wzr2hi:</t>
        </r>
        <r>
          <rPr>
            <sz val="8"/>
            <color indexed="81"/>
            <rFont val="Segoe UI"/>
            <family val="2"/>
          </rPr>
          <t xml:space="preserve">
CPLD on Fascia</t>
        </r>
      </text>
    </comment>
    <comment ref="X172" authorId="0" shapeId="0" xr:uid="{00000000-0006-0000-0000-00006A000000}">
      <text>
        <r>
          <rPr>
            <b/>
            <sz val="8"/>
            <color indexed="81"/>
            <rFont val="Segoe UI"/>
            <family val="2"/>
          </rPr>
          <t>wzr2hi:</t>
        </r>
        <r>
          <rPr>
            <sz val="8"/>
            <color indexed="81"/>
            <rFont val="Segoe UI"/>
            <family val="2"/>
          </rPr>
          <t xml:space="preserve">
CPLD on Fascia</t>
        </r>
      </text>
    </comment>
    <comment ref="X173" authorId="0" shapeId="0" xr:uid="{00000000-0006-0000-0000-00006B000000}">
      <text>
        <r>
          <rPr>
            <b/>
            <sz val="8"/>
            <color indexed="81"/>
            <rFont val="Segoe UI"/>
            <family val="2"/>
          </rPr>
          <t>wzr2hi:</t>
        </r>
        <r>
          <rPr>
            <sz val="8"/>
            <color indexed="81"/>
            <rFont val="Segoe UI"/>
            <family val="2"/>
          </rPr>
          <t xml:space="preserve">
CPLD on Fascia</t>
        </r>
      </text>
    </comment>
    <comment ref="X174" authorId="0" shapeId="0" xr:uid="{00000000-0006-0000-0000-00006C000000}">
      <text>
        <r>
          <rPr>
            <b/>
            <sz val="8"/>
            <color indexed="81"/>
            <rFont val="Segoe UI"/>
            <family val="2"/>
          </rPr>
          <t>wzr2hi:</t>
        </r>
        <r>
          <rPr>
            <sz val="8"/>
            <color indexed="81"/>
            <rFont val="Segoe UI"/>
            <family val="2"/>
          </rPr>
          <t xml:space="preserve">
CPLD on Fascia</t>
        </r>
      </text>
    </comment>
    <comment ref="X175" authorId="0" shapeId="0" xr:uid="{00000000-0006-0000-0000-00006D000000}">
      <text>
        <r>
          <rPr>
            <b/>
            <sz val="8"/>
            <color indexed="81"/>
            <rFont val="Segoe UI"/>
            <family val="2"/>
          </rPr>
          <t>wzr2hi:</t>
        </r>
        <r>
          <rPr>
            <sz val="8"/>
            <color indexed="81"/>
            <rFont val="Segoe UI"/>
            <family val="2"/>
          </rPr>
          <t xml:space="preserve">
CPLD on Fascia</t>
        </r>
      </text>
    </comment>
    <comment ref="O177" authorId="0" shapeId="0" xr:uid="{00000000-0006-0000-0000-00006E000000}">
      <text>
        <r>
          <rPr>
            <b/>
            <sz val="8"/>
            <color indexed="81"/>
            <rFont val="Segoe UI"/>
            <family val="2"/>
          </rPr>
          <t>wzr2hi:</t>
        </r>
        <r>
          <rPr>
            <sz val="8"/>
            <color indexed="81"/>
            <rFont val="Segoe UI"/>
            <family val="2"/>
          </rPr>
          <t xml:space="preserve">
EUR_SDB does not fit into 8GB eMMC
</t>
        </r>
      </text>
    </comment>
    <comment ref="AH177" authorId="0" shapeId="0" xr:uid="{00000000-0006-0000-0000-00006F000000}">
      <text>
        <r>
          <rPr>
            <b/>
            <sz val="8"/>
            <color indexed="81"/>
            <rFont val="Segoe UI"/>
            <family val="2"/>
          </rPr>
          <t>wzr2hi:</t>
        </r>
        <r>
          <rPr>
            <sz val="8"/>
            <color indexed="81"/>
            <rFont val="Segoe UI"/>
            <family val="2"/>
          </rPr>
          <t xml:space="preserve">
See Partition Scheme and SDB Data for review finding.</t>
        </r>
      </text>
    </comment>
    <comment ref="AH178" authorId="0" shapeId="0" xr:uid="{00000000-0006-0000-0000-000070000000}">
      <text>
        <r>
          <rPr>
            <b/>
            <sz val="8"/>
            <color indexed="81"/>
            <rFont val="Segoe UI"/>
            <family val="2"/>
          </rPr>
          <t>wzr2hi:</t>
        </r>
        <r>
          <rPr>
            <sz val="8"/>
            <color indexed="81"/>
            <rFont val="Segoe UI"/>
            <family val="2"/>
          </rPr>
          <t xml:space="preserve">
Physical 7.515.750.822-01 has Quad, 32GB eMMC, SXM and Teseo.
[wzr2hi, 23.11.17] 7.500.750.849-01 seems to be a strange mix of GCC/MEX/ASEAN according to VM. Currenly ASEAN is ignored, future setting will likely DA2_SDB.</t>
        </r>
      </text>
    </comment>
    <comment ref="K179" authorId="0" shapeId="0" xr:uid="{00000000-0006-0000-0000-000071000000}">
      <text>
        <r>
          <rPr>
            <b/>
            <sz val="8"/>
            <color indexed="81"/>
            <rFont val="Segoe UI"/>
            <family val="2"/>
          </rPr>
          <t>wzr2hi:</t>
        </r>
        <r>
          <rPr>
            <sz val="8"/>
            <color indexed="81"/>
            <rFont val="Segoe UI"/>
            <family val="2"/>
          </rPr>
          <t xml:space="preserve">
7.503.750.814-01 :  DA-Affordable
</t>
        </r>
      </text>
    </comment>
    <comment ref="D181" authorId="0" shapeId="0" xr:uid="{00000000-0006-0000-0000-000072000000}">
      <text>
        <r>
          <rPr>
            <b/>
            <sz val="8"/>
            <color indexed="81"/>
            <rFont val="Segoe UI"/>
            <family val="2"/>
          </rPr>
          <t>wzr2hi:</t>
        </r>
        <r>
          <rPr>
            <sz val="8"/>
            <color indexed="81"/>
            <rFont val="Segoe UI"/>
            <family val="2"/>
          </rPr>
          <t xml:space="preserve">
Late change of Board-ID for Renault-Core-Nav according to Renault-VM 173
</t>
        </r>
      </text>
    </comment>
    <comment ref="H181" authorId="1" shapeId="0" xr:uid="{00000000-0006-0000-0000-000073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181" authorId="0" shapeId="0" xr:uid="{00000000-0006-0000-0000-000074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D182" authorId="0" shapeId="0" xr:uid="{00000000-0006-0000-0000-000075000000}">
      <text>
        <r>
          <rPr>
            <b/>
            <sz val="8"/>
            <color indexed="81"/>
            <rFont val="Segoe UI"/>
            <family val="2"/>
          </rPr>
          <t>wzr2hi:</t>
        </r>
        <r>
          <rPr>
            <sz val="8"/>
            <color indexed="81"/>
            <rFont val="Segoe UI"/>
            <family val="2"/>
          </rPr>
          <t xml:space="preserve">
Late change of Board-ID for Renault-Core-Nav according to Renault-VM 173
</t>
        </r>
      </text>
    </comment>
    <comment ref="D183" authorId="0" shapeId="0" xr:uid="{00000000-0006-0000-0000-000076000000}">
      <text>
        <r>
          <rPr>
            <b/>
            <sz val="8"/>
            <color indexed="81"/>
            <rFont val="Segoe UI"/>
            <family val="2"/>
          </rPr>
          <t>wzr2hi:</t>
        </r>
        <r>
          <rPr>
            <sz val="8"/>
            <color indexed="81"/>
            <rFont val="Segoe UI"/>
            <family val="2"/>
          </rPr>
          <t xml:space="preserve">
Late change of Board-ID for Renault-Core-Nav according to Renault-VM 173
</t>
        </r>
      </text>
    </comment>
    <comment ref="R183" authorId="0" shapeId="0" xr:uid="{00000000-0006-0000-0000-000077000000}">
      <text>
        <r>
          <rPr>
            <b/>
            <sz val="8"/>
            <color indexed="81"/>
            <rFont val="Segoe UI"/>
            <family val="2"/>
          </rPr>
          <t>wzr2hi:</t>
        </r>
        <r>
          <rPr>
            <sz val="8"/>
            <color indexed="81"/>
            <rFont val="Segoe UI"/>
            <family val="2"/>
          </rPr>
          <t xml:space="preserve">
[wzr2hi, 11.04.2018] According to VM the PNs are mixed "ESE" and "Non-ESE". But this is no problem for HD and DAB ADR.</t>
        </r>
      </text>
    </comment>
    <comment ref="D184" authorId="0" shapeId="0" xr:uid="{00000000-0006-0000-0000-000078000000}">
      <text>
        <r>
          <rPr>
            <b/>
            <sz val="8"/>
            <color indexed="81"/>
            <rFont val="Segoe UI"/>
            <family val="2"/>
          </rPr>
          <t>wzr2hi:</t>
        </r>
        <r>
          <rPr>
            <sz val="8"/>
            <color indexed="81"/>
            <rFont val="Segoe UI"/>
            <family val="2"/>
          </rPr>
          <t xml:space="preserve">
Late change of Board-ID for Renault-Core-Nav according to Renault-VM 173
</t>
        </r>
      </text>
    </comment>
    <comment ref="R185" authorId="0" shapeId="0" xr:uid="{00000000-0006-0000-0000-000079000000}">
      <text>
        <r>
          <rPr>
            <b/>
            <sz val="8"/>
            <color indexed="81"/>
            <rFont val="Segoe UI"/>
            <family val="2"/>
          </rPr>
          <t>wzr2hi:</t>
        </r>
        <r>
          <rPr>
            <sz val="8"/>
            <color indexed="81"/>
            <rFont val="Segoe UI"/>
            <family val="2"/>
          </rPr>
          <t xml:space="preserve">
[wzr2hi, 11.04.2018] According to VM the PNs are mixed "ESE" and "Non-ESE". But this is no problem for HD and DAB ADR.</t>
        </r>
      </text>
    </comment>
    <comment ref="D186" authorId="0" shapeId="0" xr:uid="{00000000-0006-0000-0000-00007A000000}">
      <text>
        <r>
          <rPr>
            <b/>
            <sz val="8"/>
            <color indexed="81"/>
            <rFont val="Segoe UI"/>
            <family val="2"/>
          </rPr>
          <t>wzr2hi:</t>
        </r>
        <r>
          <rPr>
            <sz val="8"/>
            <color indexed="81"/>
            <rFont val="Segoe UI"/>
            <family val="2"/>
          </rPr>
          <t xml:space="preserve">
Late change of Board-ID for Renault-Core-Nav according to Renault-VM 173
</t>
        </r>
      </text>
    </comment>
    <comment ref="D187" authorId="0" shapeId="0" xr:uid="{00000000-0006-0000-0000-00007B000000}">
      <text>
        <r>
          <rPr>
            <b/>
            <sz val="8"/>
            <color indexed="81"/>
            <rFont val="Segoe UI"/>
            <family val="2"/>
          </rPr>
          <t>wzr2hi:</t>
        </r>
        <r>
          <rPr>
            <sz val="8"/>
            <color indexed="81"/>
            <rFont val="Segoe UI"/>
            <family val="2"/>
          </rPr>
          <t xml:space="preserve">
Late change of Board-ID for Renault-Core-Nav according to Renault-VM 173
</t>
        </r>
      </text>
    </comment>
    <comment ref="D188" authorId="0" shapeId="0" xr:uid="{00000000-0006-0000-0000-00007C000000}">
      <text>
        <r>
          <rPr>
            <b/>
            <sz val="8"/>
            <color indexed="81"/>
            <rFont val="Segoe UI"/>
            <family val="2"/>
          </rPr>
          <t>wzr2hi:</t>
        </r>
        <r>
          <rPr>
            <sz val="8"/>
            <color indexed="81"/>
            <rFont val="Segoe UI"/>
            <family val="2"/>
          </rPr>
          <t xml:space="preserve">
Late change of Board-ID for Renault-Core-Nav according to Renault-VM 173
</t>
        </r>
      </text>
    </comment>
    <comment ref="D189" authorId="0" shapeId="0" xr:uid="{00000000-0006-0000-0000-00007D000000}">
      <text>
        <r>
          <rPr>
            <b/>
            <sz val="8"/>
            <color indexed="81"/>
            <rFont val="Segoe UI"/>
            <family val="2"/>
          </rPr>
          <t>wzr2hi:</t>
        </r>
        <r>
          <rPr>
            <sz val="8"/>
            <color indexed="81"/>
            <rFont val="Segoe UI"/>
            <family val="2"/>
          </rPr>
          <t xml:space="preserve">
Late change of Board-ID for Renault-Core-Nav according to Renault-VM 173
</t>
        </r>
      </text>
    </comment>
    <comment ref="D190" authorId="0" shapeId="0" xr:uid="{00000000-0006-0000-0000-00007E000000}">
      <text>
        <r>
          <rPr>
            <b/>
            <sz val="8"/>
            <color indexed="81"/>
            <rFont val="Segoe UI"/>
            <family val="2"/>
          </rPr>
          <t>wzr2hi:</t>
        </r>
        <r>
          <rPr>
            <sz val="8"/>
            <color indexed="81"/>
            <rFont val="Segoe UI"/>
            <family val="2"/>
          </rPr>
          <t xml:space="preserve">
Late change of Board-ID for Renault-Core-Nav according to Renault-VM 173
</t>
        </r>
      </text>
    </comment>
    <comment ref="D191" authorId="0" shapeId="0" xr:uid="{00000000-0006-0000-0000-00007F000000}">
      <text>
        <r>
          <rPr>
            <b/>
            <sz val="8"/>
            <color indexed="81"/>
            <rFont val="Segoe UI"/>
            <family val="2"/>
          </rPr>
          <t>wzr2hi:</t>
        </r>
        <r>
          <rPr>
            <sz val="8"/>
            <color indexed="81"/>
            <rFont val="Segoe UI"/>
            <family val="2"/>
          </rPr>
          <t xml:space="preserve">
Late change of Board-ID for Renault-Core-Nav according to Renault-VM 173
</t>
        </r>
      </text>
    </comment>
    <comment ref="D192" authorId="0" shapeId="0" xr:uid="{00000000-0006-0000-0000-000080000000}">
      <text>
        <r>
          <rPr>
            <b/>
            <sz val="8"/>
            <color indexed="81"/>
            <rFont val="Segoe UI"/>
            <family val="2"/>
          </rPr>
          <t>wzr2hi:</t>
        </r>
        <r>
          <rPr>
            <sz val="8"/>
            <color indexed="81"/>
            <rFont val="Segoe UI"/>
            <family val="2"/>
          </rPr>
          <t xml:space="preserve">
Late change of Board-ID for Renault-Core-Nav according to Renault-VM 173
</t>
        </r>
      </text>
    </comment>
    <comment ref="D193" authorId="0" shapeId="0" xr:uid="{00000000-0006-0000-0000-000081000000}">
      <text>
        <r>
          <rPr>
            <b/>
            <sz val="8"/>
            <color indexed="81"/>
            <rFont val="Segoe UI"/>
            <family val="2"/>
          </rPr>
          <t>wzr2hi:</t>
        </r>
        <r>
          <rPr>
            <sz val="8"/>
            <color indexed="81"/>
            <rFont val="Segoe UI"/>
            <family val="2"/>
          </rPr>
          <t xml:space="preserve">
Late change of Board-ID for Renault-Core-Nav according to Renault-VM 173
</t>
        </r>
      </text>
    </comment>
    <comment ref="V193" authorId="0" shapeId="0" xr:uid="{00000000-0006-0000-0000-000082000000}">
      <text>
        <r>
          <rPr>
            <b/>
            <sz val="8"/>
            <color indexed="81"/>
            <rFont val="Segoe UI"/>
            <family val="2"/>
          </rPr>
          <t>wzr2hi:</t>
        </r>
        <r>
          <rPr>
            <sz val="8"/>
            <color indexed="81"/>
            <rFont val="Segoe UI"/>
            <family val="2"/>
          </rPr>
          <t xml:space="preserve">
[wzr2hi, 17.10.2018] DC canceled acc. to Andree Quoos (v23.6).</t>
        </r>
      </text>
    </comment>
    <comment ref="D194" authorId="0" shapeId="0" xr:uid="{00000000-0006-0000-0000-000083000000}">
      <text>
        <r>
          <rPr>
            <b/>
            <sz val="8"/>
            <color indexed="81"/>
            <rFont val="Segoe UI"/>
            <family val="2"/>
          </rPr>
          <t>wzr2hi:</t>
        </r>
        <r>
          <rPr>
            <sz val="8"/>
            <color indexed="81"/>
            <rFont val="Segoe UI"/>
            <family val="2"/>
          </rPr>
          <t xml:space="preserve">
Late change of Board-ID for Renault-Core-Nav according to Renault-VM 173
</t>
        </r>
      </text>
    </comment>
    <comment ref="D195" authorId="0" shapeId="0" xr:uid="{00000000-0006-0000-0000-000084000000}">
      <text>
        <r>
          <rPr>
            <b/>
            <sz val="8"/>
            <color indexed="81"/>
            <rFont val="Segoe UI"/>
            <family val="2"/>
          </rPr>
          <t>wzr2hi:</t>
        </r>
        <r>
          <rPr>
            <sz val="8"/>
            <color indexed="81"/>
            <rFont val="Segoe UI"/>
            <family val="2"/>
          </rPr>
          <t xml:space="preserve">
Late change of Board-ID for Renault-Core-Nav according to Renault-VM 173
</t>
        </r>
      </text>
    </comment>
    <comment ref="O195" authorId="0" shapeId="0" xr:uid="{00000000-0006-0000-0000-000085000000}">
      <text>
        <r>
          <rPr>
            <b/>
            <sz val="8"/>
            <color indexed="81"/>
            <rFont val="Segoe UI"/>
            <family val="2"/>
          </rPr>
          <t>wzr2hi:</t>
        </r>
        <r>
          <rPr>
            <sz val="8"/>
            <color indexed="81"/>
            <rFont val="Segoe UI"/>
            <family val="2"/>
          </rPr>
          <t xml:space="preserve">
Not confirmed, since there are  ASR,  PRC and GOM assigned to Map-Cut APAC
But Non-DAB Feature points to either PRC or GOM, the latter containing only THA/VNM
=&gt;for now selected SDB_PRC</t>
        </r>
      </text>
    </comment>
    <comment ref="D196" authorId="0" shapeId="0" xr:uid="{00000000-0006-0000-0000-000086000000}">
      <text>
        <r>
          <rPr>
            <b/>
            <sz val="8"/>
            <color indexed="81"/>
            <rFont val="Segoe UI"/>
            <family val="2"/>
          </rPr>
          <t>wzr2hi:</t>
        </r>
        <r>
          <rPr>
            <sz val="8"/>
            <color indexed="81"/>
            <rFont val="Segoe UI"/>
            <family val="2"/>
          </rPr>
          <t xml:space="preserve">
Late change of Board-ID for Renault-Core-Nav according to Renault-VM 173
</t>
        </r>
      </text>
    </comment>
    <comment ref="O196" authorId="0" shapeId="0" xr:uid="{00000000-0006-0000-0000-000087000000}">
      <text>
        <r>
          <rPr>
            <b/>
            <sz val="8"/>
            <color indexed="81"/>
            <rFont val="Segoe UI"/>
            <family val="2"/>
          </rPr>
          <t>wzr2hi:</t>
        </r>
        <r>
          <rPr>
            <sz val="8"/>
            <color indexed="81"/>
            <rFont val="Segoe UI"/>
            <family val="2"/>
          </rPr>
          <t xml:space="preserve">
Not confirmed, since there are ASR,  PRC and GOM assigned to Map-Cut APAC
But DAB Feature points to Australia / New Zealand
=&gt;for now selected SDB_ASR</t>
        </r>
      </text>
    </comment>
    <comment ref="D197" authorId="0" shapeId="0" xr:uid="{00000000-0006-0000-0000-000088000000}">
      <text>
        <r>
          <rPr>
            <b/>
            <sz val="8"/>
            <color indexed="81"/>
            <rFont val="Segoe UI"/>
            <family val="2"/>
          </rPr>
          <t>wzr2hi:</t>
        </r>
        <r>
          <rPr>
            <sz val="8"/>
            <color indexed="81"/>
            <rFont val="Segoe UI"/>
            <family val="2"/>
          </rPr>
          <t xml:space="preserve">
Late change of Board-ID for Renault-Core-Nav according to Renault-VM 173
</t>
        </r>
      </text>
    </comment>
    <comment ref="V199" authorId="2" shapeId="0" xr:uid="{00000000-0006-0000-0000-000089000000}">
      <text>
        <r>
          <rPr>
            <b/>
            <sz val="9"/>
            <color indexed="81"/>
            <rFont val="Segoe UI"/>
            <family val="2"/>
          </rPr>
          <t>Hans-Joachim André:</t>
        </r>
        <r>
          <rPr>
            <sz val="9"/>
            <color indexed="81"/>
            <rFont val="Segoe UI"/>
            <family val="2"/>
          </rPr>
          <t xml:space="preserve">
[29.08.2018] No Renault-Mid map for MEX available!
[wzr2hi, 18.10.2018] According to Burkhard Kern. Full-Nav MEX will get MEX_ST2.1_R_ENTRY Data Carrier since there is no MEX_ST2.1_R_MID Data Carrier.</t>
        </r>
      </text>
    </comment>
    <comment ref="I200" authorId="0" shapeId="0" xr:uid="{00000000-0006-0000-0000-00008A000000}">
      <text>
        <r>
          <rPr>
            <b/>
            <sz val="8"/>
            <color indexed="81"/>
            <rFont val="Segoe UI"/>
            <family val="2"/>
          </rPr>
          <t>wzr2hi:</t>
        </r>
        <r>
          <rPr>
            <sz val="8"/>
            <color indexed="81"/>
            <rFont val="Segoe UI"/>
            <family val="2"/>
          </rPr>
          <t xml:space="preserve">
There is no JPN-Navigation for Renault (yet).</t>
        </r>
      </text>
    </comment>
    <comment ref="V201" authorId="0" shapeId="0" xr:uid="{00000000-0006-0000-0000-00008B000000}">
      <text>
        <r>
          <rPr>
            <b/>
            <sz val="8"/>
            <color indexed="81"/>
            <rFont val="Segoe UI"/>
            <family val="2"/>
          </rPr>
          <t>wzr2hi:</t>
        </r>
        <r>
          <rPr>
            <sz val="8"/>
            <color indexed="81"/>
            <rFont val="Segoe UI"/>
            <family val="2"/>
          </rPr>
          <t xml:space="preserve">
Map-Data for Korea will never be available outside of Korea.</t>
        </r>
      </text>
    </comment>
    <comment ref="AD201" authorId="0" shapeId="0" xr:uid="{00000000-0006-0000-0000-00008C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208" authorId="0" shapeId="0" xr:uid="{00000000-0006-0000-0000-00008D000000}">
      <text>
        <r>
          <rPr>
            <b/>
            <sz val="8"/>
            <color indexed="81"/>
            <rFont val="Segoe UI"/>
            <family val="2"/>
          </rPr>
          <t>wzr2hi:</t>
        </r>
        <r>
          <rPr>
            <sz val="8"/>
            <color indexed="81"/>
            <rFont val="Segoe UI"/>
            <family val="2"/>
          </rPr>
          <t xml:space="preserve">
[wzr2hi, 17.10.2018] DC canceled acc. to Andree Quoos (v23.6).</t>
        </r>
      </text>
    </comment>
    <comment ref="O210" authorId="0" shapeId="0" xr:uid="{00000000-0006-0000-0000-00008E000000}">
      <text>
        <r>
          <rPr>
            <b/>
            <sz val="8"/>
            <color indexed="81"/>
            <rFont val="Segoe UI"/>
            <family val="2"/>
          </rPr>
          <t>wzr2hi:</t>
        </r>
        <r>
          <rPr>
            <sz val="8"/>
            <color indexed="81"/>
            <rFont val="Segoe UI"/>
            <family val="2"/>
          </rPr>
          <t xml:space="preserve">
Not confirmed, since there are  ASR,  PRC and GOM assigned to Map-Cut APAC
But Non-DAB Feature points to either PRC or GOM, the latter containing only THA/VNM
=&gt;for now selected SDB_PRC</t>
        </r>
      </text>
    </comment>
    <comment ref="O211" authorId="0" shapeId="0" xr:uid="{00000000-0006-0000-0000-00008F000000}">
      <text>
        <r>
          <rPr>
            <b/>
            <sz val="8"/>
            <color indexed="81"/>
            <rFont val="Segoe UI"/>
            <family val="2"/>
          </rPr>
          <t>wzr2hi:</t>
        </r>
        <r>
          <rPr>
            <sz val="8"/>
            <color indexed="81"/>
            <rFont val="Segoe UI"/>
            <family val="2"/>
          </rPr>
          <t xml:space="preserve">
Not confirmed, since there are ASR,  PRC and GOM assigned to Map-Cut APAC
But DAB Feature points to Australia / New Zealand
=&gt;for now selected SDB_ASR</t>
        </r>
      </text>
    </comment>
    <comment ref="H213" authorId="1" shapeId="0" xr:uid="{00000000-0006-0000-0000-000090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213" authorId="0" shapeId="0" xr:uid="{00000000-0006-0000-0000-000091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F214" authorId="0" shapeId="0" xr:uid="{00000000-0006-0000-0000-000092000000}">
      <text>
        <r>
          <rPr>
            <b/>
            <sz val="8"/>
            <color indexed="81"/>
            <rFont val="Segoe UI"/>
            <family val="2"/>
          </rPr>
          <t>wzr2hi:</t>
        </r>
        <r>
          <rPr>
            <sz val="8"/>
            <color indexed="81"/>
            <rFont val="Segoe UI"/>
            <family val="2"/>
          </rPr>
          <t xml:space="preserve">
Korea Navigation is for ST3.0 Developement within ST2.1</t>
        </r>
      </text>
    </comment>
    <comment ref="L214" authorId="0" shapeId="0" xr:uid="{00000000-0006-0000-0000-000093000000}">
      <text>
        <r>
          <rPr>
            <b/>
            <sz val="8"/>
            <color indexed="81"/>
            <rFont val="Segoe UI"/>
            <family val="2"/>
          </rPr>
          <t>wzr2hi:</t>
        </r>
        <r>
          <rPr>
            <sz val="8"/>
            <color indexed="81"/>
            <rFont val="Segoe UI"/>
            <family val="2"/>
          </rPr>
          <t xml:space="preserve">
[wzr2hi, 12.06.2018]
There is/was no Korea target specified within ST2.1.
So this target was setup within ST2.1 to make development for ST3.0 possible.
Not sure if and how long the ST2.1 branch still supports this target. However it should be possible to serve the target from the ST3.0 branch.</t>
        </r>
      </text>
    </comment>
    <comment ref="R214" authorId="0" shapeId="0" xr:uid="{00000000-0006-0000-0000-00009400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214" authorId="0" shapeId="0" xr:uid="{00000000-0006-0000-0000-000095000000}">
      <text>
        <r>
          <rPr>
            <b/>
            <sz val="8"/>
            <color indexed="81"/>
            <rFont val="Segoe UI"/>
            <family val="2"/>
          </rPr>
          <t>wzr2hi:</t>
        </r>
        <r>
          <rPr>
            <sz val="8"/>
            <color indexed="81"/>
            <rFont val="Segoe UI"/>
            <family val="2"/>
          </rPr>
          <t xml:space="preserve">
Map-Data for Korea will never be available outside of Korea.</t>
        </r>
      </text>
    </comment>
    <comment ref="AD214" authorId="0" shapeId="0" xr:uid="{00000000-0006-0000-0000-000096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I222" authorId="0" shapeId="0" xr:uid="{00000000-0006-0000-0000-000097000000}">
      <text>
        <r>
          <rPr>
            <b/>
            <sz val="8"/>
            <color indexed="81"/>
            <rFont val="Segoe UI"/>
            <family val="2"/>
          </rPr>
          <t>wzr2hi:</t>
        </r>
        <r>
          <rPr>
            <sz val="8"/>
            <color indexed="81"/>
            <rFont val="Segoe UI"/>
            <family val="2"/>
          </rPr>
          <t xml:space="preserve">
There is no JPN-Navigation for Renault (yet).</t>
        </r>
      </text>
    </comment>
    <comment ref="C223" authorId="0" shapeId="0" xr:uid="{00000000-0006-0000-0000-000098000000}">
      <text>
        <r>
          <rPr>
            <b/>
            <sz val="8"/>
            <color indexed="81"/>
            <rFont val="Segoe UI"/>
            <family val="2"/>
          </rPr>
          <t>wzr2hi:</t>
        </r>
        <r>
          <rPr>
            <sz val="8"/>
            <color indexed="81"/>
            <rFont val="Segoe UI"/>
            <family val="2"/>
          </rPr>
          <t xml:space="preserve">
Order is ST2.0 with DVD, where the latter is only supported for ST2.1</t>
        </r>
      </text>
    </comment>
    <comment ref="L223" authorId="0" shapeId="0" xr:uid="{00000000-0006-0000-0000-000099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
</t>
        </r>
      </text>
    </comment>
    <comment ref="V223" authorId="0" shapeId="0" xr:uid="{00000000-0006-0000-0000-00009A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t>
        </r>
      </text>
    </comment>
    <comment ref="C224" authorId="0" shapeId="0" xr:uid="{00000000-0006-0000-0000-00009B000000}">
      <text>
        <r>
          <rPr>
            <b/>
            <sz val="8"/>
            <color indexed="81"/>
            <rFont val="Segoe UI"/>
            <family val="2"/>
          </rPr>
          <t>wzr2hi:</t>
        </r>
        <r>
          <rPr>
            <sz val="8"/>
            <color indexed="81"/>
            <rFont val="Segoe UI"/>
            <family val="2"/>
          </rPr>
          <t xml:space="preserve">
Order is ST2.0 with DVD, where the latter is only supported for ST2.1</t>
        </r>
      </text>
    </comment>
    <comment ref="L224" authorId="0" shapeId="0" xr:uid="{00000000-0006-0000-0000-00009C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
</t>
        </r>
      </text>
    </comment>
    <comment ref="V224" authorId="0" shapeId="0" xr:uid="{00000000-0006-0000-0000-00009D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t>
        </r>
      </text>
    </comment>
    <comment ref="C225" authorId="0" shapeId="0" xr:uid="{00000000-0006-0000-0000-00009E000000}">
      <text>
        <r>
          <rPr>
            <b/>
            <sz val="8"/>
            <color indexed="81"/>
            <rFont val="Segoe UI"/>
            <family val="2"/>
          </rPr>
          <t>wzr2hi:</t>
        </r>
        <r>
          <rPr>
            <sz val="8"/>
            <color indexed="81"/>
            <rFont val="Segoe UI"/>
            <family val="2"/>
          </rPr>
          <t xml:space="preserve">
Order is ST2.0 with DVD, where the latter is only supported for ST2.1</t>
        </r>
      </text>
    </comment>
    <comment ref="L225" authorId="0" shapeId="0" xr:uid="{00000000-0006-0000-0000-00009F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
</t>
        </r>
      </text>
    </comment>
    <comment ref="C226" authorId="0" shapeId="0" xr:uid="{00000000-0006-0000-0000-0000A0000000}">
      <text>
        <r>
          <rPr>
            <b/>
            <sz val="8"/>
            <color indexed="81"/>
            <rFont val="Segoe UI"/>
            <family val="2"/>
          </rPr>
          <t>wzr2hi:</t>
        </r>
        <r>
          <rPr>
            <sz val="8"/>
            <color indexed="81"/>
            <rFont val="Segoe UI"/>
            <family val="2"/>
          </rPr>
          <t xml:space="preserve">
Order is ST2.0 with DVD, where the latter is only supported for ST2.1</t>
        </r>
      </text>
    </comment>
    <comment ref="L226" authorId="0" shapeId="0" xr:uid="{00000000-0006-0000-0000-0000A1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
</t>
        </r>
      </text>
    </comment>
    <comment ref="C227" authorId="0" shapeId="0" xr:uid="{00000000-0006-0000-0000-0000A2000000}">
      <text>
        <r>
          <rPr>
            <b/>
            <sz val="8"/>
            <color indexed="81"/>
            <rFont val="Segoe UI"/>
            <family val="2"/>
          </rPr>
          <t>wzr2hi:</t>
        </r>
        <r>
          <rPr>
            <sz val="8"/>
            <color indexed="81"/>
            <rFont val="Segoe UI"/>
            <family val="2"/>
          </rPr>
          <t xml:space="preserve">
Fake Device</t>
        </r>
      </text>
    </comment>
    <comment ref="C228" authorId="0" shapeId="0" xr:uid="{00000000-0006-0000-0000-0000A3000000}">
      <text>
        <r>
          <rPr>
            <b/>
            <sz val="8"/>
            <color indexed="81"/>
            <rFont val="Segoe UI"/>
            <family val="2"/>
          </rPr>
          <t>wzr2hi:</t>
        </r>
        <r>
          <rPr>
            <sz val="8"/>
            <color indexed="81"/>
            <rFont val="Segoe UI"/>
            <family val="2"/>
          </rPr>
          <t xml:space="preserve">
Fake Device</t>
        </r>
      </text>
    </comment>
    <comment ref="O237" authorId="0" shapeId="0" xr:uid="{00000000-0006-0000-0000-0000A4000000}">
      <text>
        <r>
          <rPr>
            <b/>
            <sz val="8"/>
            <color indexed="81"/>
            <rFont val="Segoe UI"/>
            <family val="2"/>
          </rPr>
          <t>wzr2hi:</t>
        </r>
        <r>
          <rPr>
            <sz val="8"/>
            <color indexed="81"/>
            <rFont val="Segoe UI"/>
            <family val="2"/>
          </rPr>
          <t xml:space="preserve">
Not confirmed, since there are  ASR,  PRC and GOM assigned to Map-Cut APAC
But Non-DAB Feature points to either PRC or GOM, the latter containing only THA/VNM
=&gt;for now selected SDB_PRC</t>
        </r>
      </text>
    </comment>
    <comment ref="V238" authorId="0" shapeId="0" xr:uid="{00000000-0006-0000-0000-0000A5000000}">
      <text>
        <r>
          <rPr>
            <b/>
            <sz val="8"/>
            <color indexed="81"/>
            <rFont val="Segoe UI"/>
            <family val="2"/>
          </rPr>
          <t>wzr2hi:</t>
        </r>
        <r>
          <rPr>
            <sz val="8"/>
            <color indexed="81"/>
            <rFont val="Segoe UI"/>
            <family val="2"/>
          </rPr>
          <t xml:space="preserve">
[wzr2hi, 17.10.2018] DC canceled acc. to Andree Quoos (v23.6).</t>
        </r>
      </text>
    </comment>
    <comment ref="X246" authorId="0" shapeId="0" xr:uid="{00000000-0006-0000-0000-0000A6000000}">
      <text>
        <r>
          <rPr>
            <b/>
            <sz val="8"/>
            <color indexed="81"/>
            <rFont val="Segoe UI"/>
            <family val="2"/>
          </rPr>
          <t>wzr2hi:</t>
        </r>
        <r>
          <rPr>
            <sz val="8"/>
            <color indexed="81"/>
            <rFont val="Segoe UI"/>
            <family val="2"/>
          </rPr>
          <t xml:space="preserve">
CPLD on Fascia</t>
        </r>
      </text>
    </comment>
    <comment ref="X247" authorId="0" shapeId="0" xr:uid="{00000000-0006-0000-0000-0000A7000000}">
      <text>
        <r>
          <rPr>
            <b/>
            <sz val="8"/>
            <color indexed="81"/>
            <rFont val="Segoe UI"/>
            <family val="2"/>
          </rPr>
          <t>wzr2hi:</t>
        </r>
        <r>
          <rPr>
            <sz val="8"/>
            <color indexed="81"/>
            <rFont val="Segoe UI"/>
            <family val="2"/>
          </rPr>
          <t xml:space="preserve">
CPLD on Fascia</t>
        </r>
      </text>
    </comment>
    <comment ref="V248" authorId="1" shapeId="0" xr:uid="{00000000-0006-0000-0000-0000A8000000}">
      <text>
        <r>
          <rPr>
            <b/>
            <sz val="9"/>
            <color indexed="81"/>
            <rFont val="Segoe UI"/>
            <family val="2"/>
          </rPr>
          <t>Welz Ralph (CM-CI1/ERN1-ESW):</t>
        </r>
        <r>
          <rPr>
            <sz val="9"/>
            <color indexed="81"/>
            <rFont val="Segoe UI"/>
            <family val="2"/>
          </rPr>
          <t xml:space="preserve">
[wzr2hi, 27.06.2019] RUS_ST2.1_N_MID is going to need a 32GB eMMC. If this  is silently introduced, this FCID will break and then need to be blocked.</t>
        </r>
      </text>
    </comment>
    <comment ref="X248" authorId="0" shapeId="0" xr:uid="{00000000-0006-0000-0000-0000A9000000}">
      <text>
        <r>
          <rPr>
            <b/>
            <sz val="8"/>
            <color indexed="81"/>
            <rFont val="Segoe UI"/>
            <family val="2"/>
          </rPr>
          <t>wzr2hi:</t>
        </r>
        <r>
          <rPr>
            <sz val="8"/>
            <color indexed="81"/>
            <rFont val="Segoe UI"/>
            <family val="2"/>
          </rPr>
          <t xml:space="preserve">
CPLD on Fascia</t>
        </r>
      </text>
    </comment>
    <comment ref="X249" authorId="0" shapeId="0" xr:uid="{00000000-0006-0000-0000-0000AA000000}">
      <text>
        <r>
          <rPr>
            <b/>
            <sz val="8"/>
            <color indexed="81"/>
            <rFont val="Segoe UI"/>
            <family val="2"/>
          </rPr>
          <t>wzr2hi:</t>
        </r>
        <r>
          <rPr>
            <sz val="8"/>
            <color indexed="81"/>
            <rFont val="Segoe UI"/>
            <family val="2"/>
          </rPr>
          <t xml:space="preserve">
CPLD on Fascia</t>
        </r>
      </text>
    </comment>
    <comment ref="R252" authorId="0" shapeId="0" xr:uid="{00000000-0006-0000-0000-0000AB000000}">
      <text>
        <r>
          <rPr>
            <b/>
            <sz val="8"/>
            <color indexed="81"/>
            <rFont val="Segoe UI"/>
            <family val="2"/>
          </rPr>
          <t>wzr2hi:</t>
        </r>
        <r>
          <rPr>
            <sz val="8"/>
            <color indexed="81"/>
            <rFont val="Segoe UI"/>
            <family val="2"/>
          </rPr>
          <t xml:space="preserve">
Sales by Mail: "In future" also Navigations for CAN shall have HD-ADR - of cause HW must support HD.
[wzr2hi, 12.06.2020] There is a new decision. US/CAN also might have AM/FM.</t>
        </r>
      </text>
    </comment>
    <comment ref="X264" authorId="0" shapeId="0" xr:uid="{00000000-0006-0000-0000-0000AC000000}">
      <text>
        <r>
          <rPr>
            <b/>
            <sz val="8"/>
            <color indexed="81"/>
            <rFont val="Segoe UI"/>
            <family val="2"/>
          </rPr>
          <t>wzr2hi:</t>
        </r>
        <r>
          <rPr>
            <sz val="8"/>
            <color indexed="81"/>
            <rFont val="Segoe UI"/>
            <family val="2"/>
          </rPr>
          <t xml:space="preserve">
CPLD on Fascia</t>
        </r>
      </text>
    </comment>
    <comment ref="AD265" authorId="0" shapeId="0" xr:uid="{00000000-0006-0000-0000-0000AD000000}">
      <text>
        <r>
          <rPr>
            <b/>
            <sz val="8"/>
            <color indexed="81"/>
            <rFont val="Segoe UI"/>
            <family val="2"/>
          </rPr>
          <t>wzr2hi:</t>
        </r>
        <r>
          <rPr>
            <sz val="8"/>
            <color indexed="81"/>
            <rFont val="Segoe UI"/>
            <family val="2"/>
          </rPr>
          <t xml:space="preserve">
[wzr2hi, 25.03.2019]
Nissan PIVI does not exist on ST2.0</t>
        </r>
      </text>
    </comment>
    <comment ref="R266" authorId="0" shapeId="0" xr:uid="{00000000-0006-0000-0000-0000AE000000}">
      <text>
        <r>
          <rPr>
            <b/>
            <sz val="8"/>
            <color indexed="81"/>
            <rFont val="Segoe UI"/>
            <family val="2"/>
          </rPr>
          <t>wzr2hi:</t>
        </r>
        <r>
          <rPr>
            <sz val="8"/>
            <color indexed="81"/>
            <rFont val="Segoe UI"/>
            <family val="2"/>
          </rPr>
          <t xml:space="preserve">
[wzr2hi, 05.04.2018] According to Auke Nauta there is a CRQ pendingl: "In future, also Navigations for CAN shall have HD-ADR."
But for current sample builds it is still FM.
[wzr2hi, 12.09.2018] According to Auke Nauta the CRQ is confirmed. All CAN devices have HD-ADR.</t>
        </r>
      </text>
    </comment>
    <comment ref="AD266" authorId="0" shapeId="0" xr:uid="{00000000-0006-0000-0000-0000AF000000}">
      <text>
        <r>
          <rPr>
            <b/>
            <sz val="8"/>
            <color indexed="81"/>
            <rFont val="Segoe UI"/>
            <family val="2"/>
          </rPr>
          <t>wzr2hi:</t>
        </r>
        <r>
          <rPr>
            <sz val="8"/>
            <color indexed="81"/>
            <rFont val="Segoe UI"/>
            <family val="2"/>
          </rPr>
          <t xml:space="preserve">
[wzr2hi, 25.03.2019]
Nissan PIVI does not exist on ST2.0</t>
        </r>
      </text>
    </comment>
    <comment ref="AD267" authorId="0" shapeId="0" xr:uid="{00000000-0006-0000-0000-0000B0000000}">
      <text>
        <r>
          <rPr>
            <b/>
            <sz val="8"/>
            <color indexed="81"/>
            <rFont val="Segoe UI"/>
            <family val="2"/>
          </rPr>
          <t>wzr2hi:</t>
        </r>
        <r>
          <rPr>
            <sz val="8"/>
            <color indexed="81"/>
            <rFont val="Segoe UI"/>
            <family val="2"/>
          </rPr>
          <t xml:space="preserve">
[wzr2hi, 25.03.2019]
Nissan PIVI does not exist on ST2.0</t>
        </r>
      </text>
    </comment>
    <comment ref="X268" authorId="0" shapeId="0" xr:uid="{00000000-0006-0000-0000-0000B1000000}">
      <text>
        <r>
          <rPr>
            <b/>
            <sz val="8"/>
            <color indexed="81"/>
            <rFont val="Segoe UI"/>
            <family val="2"/>
          </rPr>
          <t>wzr2hi:</t>
        </r>
        <r>
          <rPr>
            <sz val="8"/>
            <color indexed="81"/>
            <rFont val="Segoe UI"/>
            <family val="2"/>
          </rPr>
          <t xml:space="preserve">
External DTV-Box via LVDS</t>
        </r>
      </text>
    </comment>
    <comment ref="AD268" authorId="0" shapeId="0" xr:uid="{00000000-0006-0000-0000-0000B2000000}">
      <text>
        <r>
          <rPr>
            <b/>
            <sz val="8"/>
            <color indexed="81"/>
            <rFont val="Segoe UI"/>
            <family val="2"/>
          </rPr>
          <t>wzr2hi:</t>
        </r>
        <r>
          <rPr>
            <sz val="8"/>
            <color indexed="81"/>
            <rFont val="Segoe UI"/>
            <family val="2"/>
          </rPr>
          <t xml:space="preserve">
[wzr2hi, 25.03.2019]
Nissan PIVI does not exist on ST2.0</t>
        </r>
      </text>
    </comment>
    <comment ref="AD269" authorId="0" shapeId="0" xr:uid="{00000000-0006-0000-0000-0000B3000000}">
      <text>
        <r>
          <rPr>
            <b/>
            <sz val="8"/>
            <color indexed="81"/>
            <rFont val="Segoe UI"/>
            <family val="2"/>
          </rPr>
          <t>wzr2hi:</t>
        </r>
        <r>
          <rPr>
            <sz val="8"/>
            <color indexed="81"/>
            <rFont val="Segoe UI"/>
            <family val="2"/>
          </rPr>
          <t xml:space="preserve">
[wzr2hi, 25.03.2019]
Nissan PIVI does not exist on ST2.0</t>
        </r>
      </text>
    </comment>
    <comment ref="AD270" authorId="0" shapeId="0" xr:uid="{00000000-0006-0000-0000-0000B4000000}">
      <text>
        <r>
          <rPr>
            <b/>
            <sz val="8"/>
            <color indexed="81"/>
            <rFont val="Segoe UI"/>
            <family val="2"/>
          </rPr>
          <t>wzr2hi:</t>
        </r>
        <r>
          <rPr>
            <sz val="8"/>
            <color indexed="81"/>
            <rFont val="Segoe UI"/>
            <family val="2"/>
          </rPr>
          <t xml:space="preserve">
[wzr2hi, 25.03.2019]
Nissan PIVI does not exist on ST2.0</t>
        </r>
      </text>
    </comment>
    <comment ref="AD271" authorId="0" shapeId="0" xr:uid="{00000000-0006-0000-0000-0000B5000000}">
      <text>
        <r>
          <rPr>
            <b/>
            <sz val="8"/>
            <color indexed="81"/>
            <rFont val="Segoe UI"/>
            <family val="2"/>
          </rPr>
          <t>wzr2hi:</t>
        </r>
        <r>
          <rPr>
            <sz val="8"/>
            <color indexed="81"/>
            <rFont val="Segoe UI"/>
            <family val="2"/>
          </rPr>
          <t xml:space="preserve">
[wzr2hi, 25.03.2019]
Nissan PIVI does not exist on ST2.0</t>
        </r>
      </text>
    </comment>
    <comment ref="H272" authorId="1" shapeId="0" xr:uid="{00000000-0006-0000-0000-0000B6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272" authorId="0" shapeId="0" xr:uid="{00000000-0006-0000-0000-0000B7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V272" authorId="0" shapeId="0" xr:uid="{00000000-0006-0000-0000-0000B8000000}">
      <text>
        <r>
          <rPr>
            <b/>
            <sz val="8"/>
            <color indexed="81"/>
            <rFont val="Segoe UI"/>
            <family val="2"/>
          </rPr>
          <t>wzr2hi:</t>
        </r>
        <r>
          <rPr>
            <sz val="8"/>
            <color indexed="81"/>
            <rFont val="Segoe UI"/>
            <family val="2"/>
          </rPr>
          <t xml:space="preserve">
Not maintained anymore.</t>
        </r>
      </text>
    </comment>
    <comment ref="AD272" authorId="0" shapeId="0" xr:uid="{00000000-0006-0000-0000-0000B9000000}">
      <text>
        <r>
          <rPr>
            <b/>
            <sz val="8"/>
            <color indexed="81"/>
            <rFont val="Segoe UI"/>
            <family val="2"/>
          </rPr>
          <t>wzr2hi:</t>
        </r>
        <r>
          <rPr>
            <sz val="8"/>
            <color indexed="81"/>
            <rFont val="Segoe UI"/>
            <family val="2"/>
          </rPr>
          <t xml:space="preserve">
[wzr2hi, 25.03.2019]
Nissan PIVI does not exist on ST2.0</t>
        </r>
      </text>
    </comment>
    <comment ref="AD273" authorId="0" shapeId="0" xr:uid="{00000000-0006-0000-0000-0000BA000000}">
      <text>
        <r>
          <rPr>
            <b/>
            <sz val="8"/>
            <color indexed="81"/>
            <rFont val="Segoe UI"/>
            <family val="2"/>
          </rPr>
          <t>wzr2hi:</t>
        </r>
        <r>
          <rPr>
            <sz val="8"/>
            <color indexed="81"/>
            <rFont val="Segoe UI"/>
            <family val="2"/>
          </rPr>
          <t xml:space="preserve">
[wzr2hi, 25.03.2019]
Nissan PIVI does not exist on ST2.0</t>
        </r>
      </text>
    </comment>
    <comment ref="AD274" authorId="0" shapeId="0" xr:uid="{00000000-0006-0000-0000-0000BB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AD275" authorId="0" shapeId="0" xr:uid="{00000000-0006-0000-0000-0000BC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R276" authorId="0" shapeId="0" xr:uid="{00000000-0006-0000-0000-0000BD00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AD276" authorId="0" shapeId="0" xr:uid="{00000000-0006-0000-0000-0000BE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277" authorId="0" shapeId="0" xr:uid="{00000000-0006-0000-0000-0000BF00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277" authorId="0" shapeId="0" xr:uid="{00000000-0006-0000-0000-0000C0000000}">
      <text>
        <r>
          <rPr>
            <b/>
            <sz val="8"/>
            <color indexed="81"/>
            <rFont val="Segoe UI"/>
            <family val="2"/>
          </rPr>
          <t>wzr2hi:</t>
        </r>
        <r>
          <rPr>
            <sz val="8"/>
            <color indexed="81"/>
            <rFont val="Segoe UI"/>
            <family val="2"/>
          </rPr>
          <t xml:space="preserve">
Map-Data for Korea will never be available outside of Korea.</t>
        </r>
      </text>
    </comment>
    <comment ref="AD277" authorId="0" shapeId="0" xr:uid="{00000000-0006-0000-0000-0000C1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K281" authorId="0" shapeId="0" xr:uid="{00000000-0006-0000-0000-0000C2000000}">
      <text>
        <r>
          <rPr>
            <b/>
            <sz val="8"/>
            <color indexed="81"/>
            <rFont val="Segoe UI"/>
            <family val="2"/>
          </rPr>
          <t>wzr2hi:</t>
        </r>
        <r>
          <rPr>
            <sz val="8"/>
            <color indexed="81"/>
            <rFont val="Segoe UI"/>
            <family val="2"/>
          </rPr>
          <t xml:space="preserve">
This is somehow half a DA-Mid ...</t>
        </r>
      </text>
    </comment>
    <comment ref="D283" authorId="0" shapeId="0" xr:uid="{00000000-0006-0000-0000-0000C3000000}">
      <text>
        <r>
          <rPr>
            <b/>
            <sz val="8"/>
            <color indexed="81"/>
            <rFont val="Segoe UI"/>
            <family val="2"/>
          </rPr>
          <t>wzr2hi:</t>
        </r>
        <r>
          <rPr>
            <sz val="8"/>
            <color indexed="81"/>
            <rFont val="Segoe UI"/>
            <family val="2"/>
          </rPr>
          <t xml:space="preserve">
See comment: Main PCB has depricated 0x06A1 (legacy).</t>
        </r>
      </text>
    </comment>
    <comment ref="R283" authorId="0" shapeId="0" xr:uid="{00000000-0006-0000-0000-0000C4000000}">
      <text>
        <r>
          <rPr>
            <b/>
            <sz val="8"/>
            <color indexed="81"/>
            <rFont val="Segoe UI"/>
            <family val="2"/>
          </rPr>
          <t>wzr2hi:</t>
        </r>
        <r>
          <rPr>
            <sz val="8"/>
            <color indexed="81"/>
            <rFont val="Segoe UI"/>
            <family val="2"/>
          </rPr>
          <t xml:space="preserve">
See comment: Main PCB does not have SXM (but DARC which is irrelevant in the US).</t>
        </r>
      </text>
    </comment>
    <comment ref="T283" authorId="0" shapeId="0" xr:uid="{00000000-0006-0000-0000-0000C5000000}">
      <text>
        <r>
          <rPr>
            <b/>
            <sz val="8"/>
            <color indexed="81"/>
            <rFont val="Segoe UI"/>
            <family val="2"/>
          </rPr>
          <t>wzr2hi:</t>
        </r>
        <r>
          <rPr>
            <sz val="8"/>
            <color indexed="81"/>
            <rFont val="Segoe UI"/>
            <family val="2"/>
          </rPr>
          <t xml:space="preserve">
See Comment: Main PCB does not have SXM.</t>
        </r>
      </text>
    </comment>
    <comment ref="X283" authorId="0" shapeId="0" xr:uid="{00000000-0006-0000-0000-0000C6000000}">
      <text>
        <r>
          <rPr>
            <b/>
            <sz val="8"/>
            <color indexed="81"/>
            <rFont val="Segoe UI"/>
            <family val="2"/>
          </rPr>
          <t>wzr2hi:</t>
        </r>
        <r>
          <rPr>
            <sz val="8"/>
            <color indexed="81"/>
            <rFont val="Segoe UI"/>
            <family val="2"/>
          </rPr>
          <t xml:space="preserve">
See comment: There is a Sub-PCB but not TV nor DVD do not do any FPGA update.</t>
        </r>
      </text>
    </comment>
    <comment ref="AD283" authorId="0" shapeId="0" xr:uid="{00000000-0006-0000-0000-0000C7000000}">
      <text>
        <r>
          <rPr>
            <b/>
            <sz val="8"/>
            <color indexed="81"/>
            <rFont val="Segoe UI"/>
            <family val="2"/>
          </rPr>
          <t>wzr2hi:</t>
        </r>
        <r>
          <rPr>
            <sz val="8"/>
            <color indexed="81"/>
            <rFont val="Segoe UI"/>
            <family val="2"/>
          </rPr>
          <t xml:space="preserve">
[wzr2hi, 07.06.2018] rfs_nav_high is not available/usable in ST2.0 targets.</t>
        </r>
      </text>
    </comment>
    <comment ref="AD284" authorId="0" shapeId="0" xr:uid="{00000000-0006-0000-0000-0000C8000000}">
      <text>
        <r>
          <rPr>
            <b/>
            <sz val="8"/>
            <color indexed="81"/>
            <rFont val="Segoe UI"/>
            <family val="2"/>
          </rPr>
          <t>wzr2hi:</t>
        </r>
        <r>
          <rPr>
            <sz val="8"/>
            <color indexed="81"/>
            <rFont val="Segoe UI"/>
            <family val="2"/>
          </rPr>
          <t xml:space="preserve">
[wzr2hi, 07.06.2018] rfs_nav_high is not available/usable in ST2.0 targets.</t>
        </r>
      </text>
    </comment>
    <comment ref="V286" authorId="1" shapeId="0" xr:uid="{00000000-0006-0000-0000-0000C9000000}">
      <text>
        <r>
          <rPr>
            <b/>
            <sz val="9"/>
            <color indexed="81"/>
            <rFont val="Segoe UI"/>
            <family val="2"/>
          </rPr>
          <t>Welz Ralph (CM-CI1/ERN1-ESW):</t>
        </r>
        <r>
          <rPr>
            <sz val="9"/>
            <color indexed="81"/>
            <rFont val="Segoe UI"/>
            <family val="2"/>
          </rPr>
          <t xml:space="preserve">
[wzr2hi, 27.06.2019] RUS_ST2.1_N_MID is going to need a 32GB eMMC. If this  is silently introduced, this FCID will break and then need to be blocked.</t>
        </r>
      </text>
    </comment>
    <comment ref="AD291" authorId="0" shapeId="0" xr:uid="{00000000-0006-0000-0000-0000CA000000}">
      <text>
        <r>
          <rPr>
            <b/>
            <sz val="8"/>
            <color indexed="81"/>
            <rFont val="Segoe UI"/>
            <family val="2"/>
          </rPr>
          <t>wzr2hi:</t>
        </r>
        <r>
          <rPr>
            <sz val="8"/>
            <color indexed="81"/>
            <rFont val="Segoe UI"/>
            <family val="2"/>
          </rPr>
          <t xml:space="preserve">
[wzr2hi, 14.06.2018]
JPN-Navigation is not available in ST2.0</t>
        </r>
      </text>
    </comment>
    <comment ref="L292" authorId="0" shapeId="0" xr:uid="{00000000-0006-0000-0000-0000CB000000}">
      <text>
        <r>
          <rPr>
            <b/>
            <sz val="8"/>
            <color indexed="81"/>
            <rFont val="Segoe UI"/>
            <family val="2"/>
          </rPr>
          <t>wzr2hi:</t>
        </r>
        <r>
          <rPr>
            <sz val="8"/>
            <color indexed="81"/>
            <rFont val="Segoe UI"/>
            <family val="2"/>
          </rPr>
          <t xml:space="preserve">
Variantmatrix DS v945 still says SC2.0
Variantmatrix DS v1079 still says SC2.0</t>
        </r>
      </text>
    </comment>
    <comment ref="AD296" authorId="0" shapeId="0" xr:uid="{00000000-0006-0000-0000-0000CC000000}">
      <text>
        <r>
          <rPr>
            <b/>
            <sz val="8"/>
            <color indexed="81"/>
            <rFont val="Segoe UI"/>
            <family val="2"/>
          </rPr>
          <t>wzr2hi:</t>
        </r>
        <r>
          <rPr>
            <sz val="8"/>
            <color indexed="81"/>
            <rFont val="Segoe UI"/>
            <family val="2"/>
          </rPr>
          <t xml:space="preserve">
[wzr2hi, 25.03.2019]
Nissan PIVI does not exist on ST2.0</t>
        </r>
      </text>
    </comment>
    <comment ref="AD297" authorId="0" shapeId="0" xr:uid="{00000000-0006-0000-0000-0000CD000000}">
      <text>
        <r>
          <rPr>
            <b/>
            <sz val="8"/>
            <color indexed="81"/>
            <rFont val="Segoe UI"/>
            <family val="2"/>
          </rPr>
          <t>wzr2hi:</t>
        </r>
        <r>
          <rPr>
            <sz val="8"/>
            <color indexed="81"/>
            <rFont val="Segoe UI"/>
            <family val="2"/>
          </rPr>
          <t xml:space="preserve">
[wzr2hi, 25.03.2019]
Nissan PIVI does not exist on ST2.0</t>
        </r>
      </text>
    </comment>
    <comment ref="AD298" authorId="0" shapeId="0" xr:uid="{00000000-0006-0000-0000-0000CE000000}">
      <text>
        <r>
          <rPr>
            <b/>
            <sz val="8"/>
            <color indexed="81"/>
            <rFont val="Segoe UI"/>
            <family val="2"/>
          </rPr>
          <t>wzr2hi:</t>
        </r>
        <r>
          <rPr>
            <sz val="8"/>
            <color indexed="81"/>
            <rFont val="Segoe UI"/>
            <family val="2"/>
          </rPr>
          <t xml:space="preserve">
[wzr2hi, 25.03.2019]
Nissan PIVI does not exist on ST2.0</t>
        </r>
      </text>
    </comment>
    <comment ref="AH301" authorId="0" shapeId="0" xr:uid="{00000000-0006-0000-0000-0000CF000000}">
      <text>
        <r>
          <rPr>
            <b/>
            <sz val="8"/>
            <color indexed="81"/>
            <rFont val="Segoe UI"/>
            <family val="2"/>
          </rPr>
          <t>wzr2hi:</t>
        </r>
        <r>
          <rPr>
            <sz val="8"/>
            <color indexed="81"/>
            <rFont val="Segoe UI"/>
            <family val="2"/>
          </rPr>
          <t xml:space="preserve">
New dedicated FCID to solve the collision of 0x00AA for the future.</t>
        </r>
      </text>
    </comment>
    <comment ref="AH302" authorId="0" shapeId="0" xr:uid="{00000000-0006-0000-0000-0000D0000000}">
      <text>
        <r>
          <rPr>
            <b/>
            <sz val="8"/>
            <color indexed="81"/>
            <rFont val="Segoe UI"/>
            <family val="2"/>
          </rPr>
          <t>wzr2hi:</t>
        </r>
        <r>
          <rPr>
            <sz val="8"/>
            <color indexed="81"/>
            <rFont val="Segoe UI"/>
            <family val="2"/>
          </rPr>
          <t xml:space="preserve">
New dedicated FCID to solve the collision of 0x00AA for the future.</t>
        </r>
      </text>
    </comment>
    <comment ref="V303" authorId="0" shapeId="0" xr:uid="{00000000-0006-0000-0000-0000D1000000}">
      <text>
        <r>
          <rPr>
            <b/>
            <sz val="8"/>
            <color indexed="81"/>
            <rFont val="Segoe UI"/>
            <family val="2"/>
          </rPr>
          <t>wzr2hi:</t>
        </r>
        <r>
          <rPr>
            <sz val="8"/>
            <color indexed="81"/>
            <rFont val="Segoe UI"/>
            <family val="2"/>
          </rPr>
          <t xml:space="preserve">
[wzr2hi, 17.10.2018] DC canceled acc. to Andree Quoos (v23.6).</t>
        </r>
      </text>
    </comment>
    <comment ref="F304" authorId="0" shapeId="0" xr:uid="{00000000-0006-0000-0000-0000D200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304" authorId="0" shapeId="0" xr:uid="{00000000-0006-0000-0000-0000D300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AD304" authorId="0" shapeId="0" xr:uid="{00000000-0006-0000-0000-0000D4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305" authorId="0" shapeId="0" xr:uid="{00000000-0006-0000-0000-0000D5000000}">
      <text>
        <r>
          <rPr>
            <b/>
            <sz val="8"/>
            <color indexed="81"/>
            <rFont val="Segoe UI"/>
            <family val="2"/>
          </rPr>
          <t>wzr2hi:</t>
        </r>
        <r>
          <rPr>
            <sz val="8"/>
            <color indexed="81"/>
            <rFont val="Segoe UI"/>
            <family val="2"/>
          </rPr>
          <t xml:space="preserve">
Map-Data for Korea will never be available outside of Korea.</t>
        </r>
      </text>
    </comment>
    <comment ref="V306" authorId="0" shapeId="0" xr:uid="{00000000-0006-0000-0000-0000D6000000}">
      <text>
        <r>
          <rPr>
            <b/>
            <sz val="8"/>
            <color indexed="81"/>
            <rFont val="Segoe UI"/>
            <family val="2"/>
          </rPr>
          <t>wzr2hi:</t>
        </r>
        <r>
          <rPr>
            <sz val="8"/>
            <color indexed="81"/>
            <rFont val="Segoe UI"/>
            <family val="2"/>
          </rPr>
          <t xml:space="preserve">
[wzr2hi, 17.10.2018] DC canceled acc. to Andree Quoos (v23.6).</t>
        </r>
      </text>
    </comment>
    <comment ref="R307" authorId="0" shapeId="0" xr:uid="{00000000-0006-0000-0000-0000D7000000}">
      <text>
        <r>
          <rPr>
            <b/>
            <sz val="8"/>
            <color indexed="81"/>
            <rFont val="Segoe UI"/>
            <family val="2"/>
          </rPr>
          <t>wzr2hi:</t>
        </r>
        <r>
          <rPr>
            <sz val="8"/>
            <color indexed="81"/>
            <rFont val="Segoe UI"/>
            <family val="2"/>
          </rPr>
          <t xml:space="preserve">
Ralph Welz -&gt; Ingo Petersen -&gt; GHU:
United Arabic Emirates still asks for DAB. (we try to reduce the diversity, but for the moment we keep it.  FM &amp; DAB for MEA map)</t>
        </r>
      </text>
    </comment>
    <comment ref="X308" authorId="0" shapeId="0" xr:uid="{00000000-0006-0000-0000-0000D8000000}">
      <text>
        <r>
          <rPr>
            <b/>
            <sz val="8"/>
            <color indexed="81"/>
            <rFont val="Segoe UI"/>
            <family val="2"/>
          </rPr>
          <t>wzr2hi:</t>
        </r>
        <r>
          <rPr>
            <sz val="8"/>
            <color indexed="81"/>
            <rFont val="Segoe UI"/>
            <family val="2"/>
          </rPr>
          <t xml:space="preserve">
CPLD on Fascia</t>
        </r>
      </text>
    </comment>
    <comment ref="X309" authorId="0" shapeId="0" xr:uid="{00000000-0006-0000-0000-0000D9000000}">
      <text>
        <r>
          <rPr>
            <b/>
            <sz val="8"/>
            <color indexed="81"/>
            <rFont val="Segoe UI"/>
            <family val="2"/>
          </rPr>
          <t>wzr2hi:</t>
        </r>
        <r>
          <rPr>
            <sz val="8"/>
            <color indexed="81"/>
            <rFont val="Segoe UI"/>
            <family val="2"/>
          </rPr>
          <t xml:space="preserve">
CPLD on Fascia</t>
        </r>
      </text>
    </comment>
    <comment ref="X310" authorId="0" shapeId="0" xr:uid="{00000000-0006-0000-0000-0000DA000000}">
      <text>
        <r>
          <rPr>
            <b/>
            <sz val="8"/>
            <color indexed="81"/>
            <rFont val="Segoe UI"/>
            <family val="2"/>
          </rPr>
          <t>wzr2hi:</t>
        </r>
        <r>
          <rPr>
            <sz val="8"/>
            <color indexed="81"/>
            <rFont val="Segoe UI"/>
            <family val="2"/>
          </rPr>
          <t xml:space="preserve">
CPLD on Fascia</t>
        </r>
      </text>
    </comment>
    <comment ref="X311" authorId="0" shapeId="0" xr:uid="{00000000-0006-0000-0000-0000DB000000}">
      <text>
        <r>
          <rPr>
            <b/>
            <sz val="8"/>
            <color indexed="81"/>
            <rFont val="Segoe UI"/>
            <family val="2"/>
          </rPr>
          <t>wzr2hi:</t>
        </r>
        <r>
          <rPr>
            <sz val="8"/>
            <color indexed="81"/>
            <rFont val="Segoe UI"/>
            <family val="2"/>
          </rPr>
          <t xml:space="preserve">
CPLD on Fascia</t>
        </r>
      </text>
    </comment>
    <comment ref="X312" authorId="0" shapeId="0" xr:uid="{00000000-0006-0000-0000-0000DC000000}">
      <text>
        <r>
          <rPr>
            <b/>
            <sz val="8"/>
            <color indexed="81"/>
            <rFont val="Segoe UI"/>
            <family val="2"/>
          </rPr>
          <t>wzr2hi:</t>
        </r>
        <r>
          <rPr>
            <sz val="8"/>
            <color indexed="81"/>
            <rFont val="Segoe UI"/>
            <family val="2"/>
          </rPr>
          <t xml:space="preserve">
CPLD on Fascia</t>
        </r>
      </text>
    </comment>
    <comment ref="X313" authorId="0" shapeId="0" xr:uid="{00000000-0006-0000-0000-0000DD000000}">
      <text>
        <r>
          <rPr>
            <b/>
            <sz val="8"/>
            <color indexed="81"/>
            <rFont val="Segoe UI"/>
            <family val="2"/>
          </rPr>
          <t>wzr2hi:</t>
        </r>
        <r>
          <rPr>
            <sz val="8"/>
            <color indexed="81"/>
            <rFont val="Segoe UI"/>
            <family val="2"/>
          </rPr>
          <t xml:space="preserve">
CPLD on Fascia</t>
        </r>
      </text>
    </comment>
    <comment ref="C319" authorId="0" shapeId="0" xr:uid="{00000000-0006-0000-0000-0000DE000000}">
      <text>
        <r>
          <rPr>
            <b/>
            <sz val="8"/>
            <color indexed="81"/>
            <rFont val="Segoe UI"/>
            <family val="2"/>
          </rPr>
          <t>wzr2hi:</t>
        </r>
        <r>
          <rPr>
            <sz val="8"/>
            <color indexed="81"/>
            <rFont val="Segoe UI"/>
            <family val="2"/>
          </rPr>
          <t xml:space="preserve">
SDL say DA, but has PN and Index of NAV</t>
        </r>
      </text>
    </comment>
    <comment ref="AD320" authorId="0" shapeId="0" xr:uid="{00000000-0006-0000-0000-0000DF000000}">
      <text>
        <r>
          <rPr>
            <b/>
            <sz val="8"/>
            <color indexed="81"/>
            <rFont val="Segoe UI"/>
            <family val="2"/>
          </rPr>
          <t>wzr2hi:</t>
        </r>
        <r>
          <rPr>
            <sz val="8"/>
            <color indexed="81"/>
            <rFont val="Segoe UI"/>
            <family val="2"/>
          </rPr>
          <t xml:space="preserve">
[wzr2hi, 25.03.2019]
Nissan PIVI does not exist on ST2.0</t>
        </r>
      </text>
    </comment>
    <comment ref="AD321" authorId="0" shapeId="0" xr:uid="{00000000-0006-0000-0000-0000E0000000}">
      <text>
        <r>
          <rPr>
            <b/>
            <sz val="8"/>
            <color indexed="81"/>
            <rFont val="Segoe UI"/>
            <family val="2"/>
          </rPr>
          <t>wzr2hi:</t>
        </r>
        <r>
          <rPr>
            <sz val="8"/>
            <color indexed="81"/>
            <rFont val="Segoe UI"/>
            <family val="2"/>
          </rPr>
          <t xml:space="preserve">
[wzr2hi, 25.03.2019]
Nissan PIVI does not exist on ST2.0</t>
        </r>
      </text>
    </comment>
    <comment ref="AD322" authorId="0" shapeId="0" xr:uid="{00000000-0006-0000-0000-0000E1000000}">
      <text>
        <r>
          <rPr>
            <b/>
            <sz val="8"/>
            <color indexed="81"/>
            <rFont val="Segoe UI"/>
            <family val="2"/>
          </rPr>
          <t>wzr2hi:</t>
        </r>
        <r>
          <rPr>
            <sz val="8"/>
            <color indexed="81"/>
            <rFont val="Segoe UI"/>
            <family val="2"/>
          </rPr>
          <t xml:space="preserve">
[wzr2hi, 25.03.2019]
Nissan PIVI does not exist on ST2.0</t>
        </r>
      </text>
    </comment>
    <comment ref="R323" authorId="0" shapeId="0" xr:uid="{00000000-0006-0000-0000-0000E2000000}">
      <text>
        <r>
          <rPr>
            <b/>
            <sz val="8"/>
            <color indexed="81"/>
            <rFont val="Segoe UI"/>
            <family val="2"/>
          </rPr>
          <t>wzr2hi:</t>
        </r>
        <r>
          <rPr>
            <sz val="8"/>
            <color indexed="81"/>
            <rFont val="Segoe UI"/>
            <family val="2"/>
          </rPr>
          <t xml:space="preserve">
[wzr2hi, 05.04.2018] According to Auke Nauta there is a CRQ pendingl: "In future, also Navigations for CAN shall have HD-ADR."
But for current sample builds it is still FM.
[wzr2hi, 12.09.2018] According to Auke Nauta the CRQ is confirmed. All CAN devices have HD-ADR.</t>
        </r>
      </text>
    </comment>
    <comment ref="AD323" authorId="0" shapeId="0" xr:uid="{00000000-0006-0000-0000-0000E3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O324" authorId="0" shapeId="0" xr:uid="{00000000-0006-0000-0000-0000E4000000}">
      <text>
        <r>
          <rPr>
            <b/>
            <sz val="8"/>
            <color indexed="81"/>
            <rFont val="Segoe UI"/>
            <family val="2"/>
          </rPr>
          <t>wzr2hi:</t>
        </r>
        <r>
          <rPr>
            <sz val="8"/>
            <color indexed="81"/>
            <rFont val="Segoe UI"/>
            <family val="2"/>
          </rPr>
          <t xml:space="preserve">
According to Auke Nauta: PIVI DA follows AIVI DA (even if data would fit into 32GB)</t>
        </r>
      </text>
    </comment>
    <comment ref="AD324" authorId="0" shapeId="0" xr:uid="{00000000-0006-0000-0000-0000E5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O325" authorId="0" shapeId="0" xr:uid="{00000000-0006-0000-0000-0000E6000000}">
      <text>
        <r>
          <rPr>
            <b/>
            <sz val="8"/>
            <color indexed="81"/>
            <rFont val="Segoe UI"/>
            <family val="2"/>
          </rPr>
          <t>wzr2hi:</t>
        </r>
        <r>
          <rPr>
            <sz val="8"/>
            <color indexed="81"/>
            <rFont val="Segoe UI"/>
            <family val="2"/>
          </rPr>
          <t xml:space="preserve">
According to Auke Nauta: PIVI DA follows AIVI DA (even if data would fit into 32GB)</t>
        </r>
      </text>
    </comment>
    <comment ref="AD325" authorId="0" shapeId="0" xr:uid="{00000000-0006-0000-0000-0000E7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AD326" authorId="0" shapeId="0" xr:uid="{00000000-0006-0000-0000-0000E8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AD327" authorId="0" shapeId="0" xr:uid="{00000000-0006-0000-0000-0000E9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AD328" authorId="0" shapeId="0" xr:uid="{00000000-0006-0000-0000-0000EA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I329" authorId="0" shapeId="0" xr:uid="{00000000-0006-0000-0000-0000EB000000}">
      <text>
        <r>
          <rPr>
            <b/>
            <sz val="8"/>
            <color indexed="81"/>
            <rFont val="Segoe UI"/>
            <family val="2"/>
          </rPr>
          <t>wzr2hi:</t>
        </r>
        <r>
          <rPr>
            <sz val="8"/>
            <color indexed="81"/>
            <rFont val="Segoe UI"/>
            <family val="2"/>
          </rPr>
          <t xml:space="preserve">
There is no JPN-Navigation for Renault (yet).</t>
        </r>
      </text>
    </comment>
    <comment ref="AD329" authorId="0" shapeId="0" xr:uid="{00000000-0006-0000-0000-0000EC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0" authorId="0" shapeId="0" xr:uid="{00000000-0006-0000-0000-0000ED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1" authorId="0" shapeId="0" xr:uid="{00000000-0006-0000-0000-0000EE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332" authorId="0" shapeId="0" xr:uid="{00000000-0006-0000-0000-0000EF000000}">
      <text>
        <r>
          <rPr>
            <b/>
            <sz val="8"/>
            <color indexed="81"/>
            <rFont val="Segoe UI"/>
            <family val="2"/>
          </rPr>
          <t>wzr2hi:</t>
        </r>
        <r>
          <rPr>
            <sz val="8"/>
            <color indexed="81"/>
            <rFont val="Segoe UI"/>
            <family val="2"/>
          </rPr>
          <t xml:space="preserve">
[wzr2hi, 17.10.2018] DC canceled acc. to Andree Quoos (v23.6).</t>
        </r>
      </text>
    </comment>
    <comment ref="AD332" authorId="0" shapeId="0" xr:uid="{00000000-0006-0000-0000-0000F0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3" authorId="0" shapeId="0" xr:uid="{00000000-0006-0000-0000-0000F1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4" authorId="0" shapeId="0" xr:uid="{00000000-0006-0000-0000-0000F2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F335" authorId="0" shapeId="0" xr:uid="{00000000-0006-0000-0000-0000F300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335" authorId="0" shapeId="0" xr:uid="{00000000-0006-0000-0000-0000F400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AD335" authorId="0" shapeId="0" xr:uid="{00000000-0006-0000-0000-0000F5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6" authorId="0" shapeId="0" xr:uid="{00000000-0006-0000-0000-0000F6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337" authorId="0" shapeId="0" xr:uid="{00000000-0006-0000-0000-0000F700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AD337" authorId="0" shapeId="0" xr:uid="{00000000-0006-0000-0000-0000F8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8" authorId="0" shapeId="0" xr:uid="{00000000-0006-0000-0000-0000F9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9" authorId="0" shapeId="0" xr:uid="{00000000-0006-0000-0000-0000FA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40" authorId="0" shapeId="0" xr:uid="{00000000-0006-0000-0000-0000FB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48" authorId="0" shapeId="0" xr:uid="{00000000-0006-0000-0000-0000FC000000}">
      <text>
        <r>
          <rPr>
            <b/>
            <sz val="8"/>
            <color indexed="81"/>
            <rFont val="Segoe UI"/>
            <family val="2"/>
          </rPr>
          <t>wzr2hi:</t>
        </r>
        <r>
          <rPr>
            <sz val="8"/>
            <color indexed="81"/>
            <rFont val="Segoe UI"/>
            <family val="2"/>
          </rPr>
          <t xml:space="preserve">
[wzr2hi, 07.06.2018] Samples are defined according to early specification and have a Quad.
According to Gerald Busse the specificaton has changed (no Obigo in DA). So the next samples will get only a DualLite.</t>
        </r>
      </text>
    </comment>
    <comment ref="M348" authorId="0" shapeId="0" xr:uid="{00000000-0006-0000-0000-0000FD000000}">
      <text>
        <r>
          <rPr>
            <b/>
            <sz val="8"/>
            <color indexed="81"/>
            <rFont val="Segoe UI"/>
            <family val="2"/>
          </rPr>
          <t>wzr2hi:</t>
        </r>
        <r>
          <rPr>
            <sz val="8"/>
            <color indexed="81"/>
            <rFont val="Segoe UI"/>
            <family val="2"/>
          </rPr>
          <t xml:space="preserve">
[wzr2hi, 07.06.2018] Samples are defined according to early specification and have 32GB physical eMMC.
According to Gerald Busse the specificaton has changed (no Obigo in DA). So the next samples will get only 8GB eMMC.</t>
        </r>
      </text>
    </comment>
    <comment ref="D349" authorId="0" shapeId="0" xr:uid="{00000000-0006-0000-0000-0000FE000000}">
      <text>
        <r>
          <rPr>
            <b/>
            <sz val="8"/>
            <color indexed="81"/>
            <rFont val="Segoe UI"/>
            <family val="2"/>
          </rPr>
          <t>wzr2hi:</t>
        </r>
        <r>
          <rPr>
            <sz val="8"/>
            <color indexed="81"/>
            <rFont val="Segoe UI"/>
            <family val="2"/>
          </rPr>
          <t xml:space="preserve">
[wzr2hi, 07.06.2018] Samples are defined according to early specification and have a Quad.
According to Gerald Busse the specificaton has changed (no Obigo in DA). So the next samples will get only a DualLite.</t>
        </r>
      </text>
    </comment>
    <comment ref="M349" authorId="0" shapeId="0" xr:uid="{00000000-0006-0000-0000-0000FF000000}">
      <text>
        <r>
          <rPr>
            <b/>
            <sz val="8"/>
            <color indexed="81"/>
            <rFont val="Segoe UI"/>
            <family val="2"/>
          </rPr>
          <t>wzr2hi:</t>
        </r>
        <r>
          <rPr>
            <sz val="8"/>
            <color indexed="81"/>
            <rFont val="Segoe UI"/>
            <family val="2"/>
          </rPr>
          <t xml:space="preserve">
[wzr2hi, 07.06.2018] Samples are defined according to early specification and have 32GB physical eMMC.
According to Gerald Busse the specificaton has changed (no Obigo in DA).
According to Jürgen Boes the specification has changes also w.r.t. to SDB (EUR-SDB instead of EUL-SDB)
So the next samples will get only 16GB eMMC.</t>
        </r>
      </text>
    </comment>
    <comment ref="AD349" authorId="0" shapeId="0" xr:uid="{00000000-0006-0000-0000-000000010000}">
      <text>
        <r>
          <rPr>
            <b/>
            <sz val="8"/>
            <color indexed="81"/>
            <rFont val="Segoe UI"/>
            <family val="2"/>
          </rPr>
          <t>wzr2hi:</t>
        </r>
        <r>
          <rPr>
            <sz val="8"/>
            <color indexed="81"/>
            <rFont val="Segoe UI"/>
            <family val="2"/>
          </rPr>
          <t xml:space="preserve">
[wzr2hi, 02.09.2019] Partition Schema PARTITION_SCHEMA16__DA does not exist in ST2.0.</t>
        </r>
      </text>
    </comment>
    <comment ref="AD350" authorId="0" shapeId="0" xr:uid="{00000000-0006-0000-0000-000001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351" authorId="0" shapeId="0" xr:uid="{00000000-0006-0000-0000-000002010000}">
      <text>
        <r>
          <rPr>
            <b/>
            <sz val="8"/>
            <color indexed="81"/>
            <rFont val="Segoe UI"/>
            <family val="2"/>
          </rPr>
          <t>wzr2hi:</t>
        </r>
        <r>
          <rPr>
            <sz val="8"/>
            <color indexed="81"/>
            <rFont val="Segoe UI"/>
            <family val="2"/>
          </rPr>
          <t xml:space="preserve">
[wzr2hi, 07.06.2018] 0x06a4 and rfs_nav_high is not available/usable in ST2.0 targets.</t>
        </r>
      </text>
    </comment>
    <comment ref="I352" authorId="0" shapeId="0" xr:uid="{00000000-0006-0000-0000-000003010000}">
      <text>
        <r>
          <rPr>
            <b/>
            <sz val="8"/>
            <color indexed="81"/>
            <rFont val="Segoe UI"/>
            <family val="2"/>
          </rPr>
          <t>wzr2hi:</t>
        </r>
        <r>
          <rPr>
            <sz val="8"/>
            <color indexed="81"/>
            <rFont val="Segoe UI"/>
            <family val="2"/>
          </rPr>
          <t xml:space="preserve">
[wzr2hi, 19.09.2018] There is no JPN-Navigation for ST3.x (yet).
[wzr2hi, 30.04.2019] JPN-Navigation is now also availabel for ST3.x.</t>
        </r>
      </text>
    </comment>
    <comment ref="AD352" authorId="0" shapeId="0" xr:uid="{00000000-0006-0000-0000-000004010000}">
      <text>
        <r>
          <rPr>
            <b/>
            <sz val="8"/>
            <color indexed="81"/>
            <rFont val="Segoe UI"/>
            <family val="2"/>
          </rPr>
          <t>wzr2hi:</t>
        </r>
        <r>
          <rPr>
            <sz val="8"/>
            <color indexed="81"/>
            <rFont val="Segoe UI"/>
            <family val="2"/>
          </rPr>
          <t xml:space="preserve">
[wzr2hi, 07.06.2018] 0x06a4 and rfs_nav_jpn is not available/usable in ST2.0 targets.</t>
        </r>
      </text>
    </comment>
    <comment ref="R353" authorId="0" shapeId="0" xr:uid="{00000000-0006-0000-0000-000005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AD353" authorId="0" shapeId="0" xr:uid="{00000000-0006-0000-0000-00000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354" authorId="0" shapeId="0" xr:uid="{00000000-0006-0000-0000-000007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354" authorId="0" shapeId="0" xr:uid="{00000000-0006-0000-0000-000008010000}">
      <text>
        <r>
          <rPr>
            <b/>
            <sz val="8"/>
            <color indexed="81"/>
            <rFont val="Segoe UI"/>
            <family val="2"/>
          </rPr>
          <t>wzr2hi:</t>
        </r>
        <r>
          <rPr>
            <sz val="8"/>
            <color indexed="81"/>
            <rFont val="Segoe UI"/>
            <family val="2"/>
          </rPr>
          <t xml:space="preserve">
[wzr2hi, 17.10.2018] DC canceled acc. to Andree Quoos (v23.6).</t>
        </r>
      </text>
    </comment>
    <comment ref="AD354" authorId="0" shapeId="0" xr:uid="{00000000-0006-0000-0000-00000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355" authorId="0" shapeId="0" xr:uid="{00000000-0006-0000-0000-00000A010000}">
      <text>
        <r>
          <rPr>
            <b/>
            <sz val="8"/>
            <color indexed="81"/>
            <rFont val="Segoe UI"/>
            <family val="2"/>
          </rPr>
          <t>wzr2hi:</t>
        </r>
        <r>
          <rPr>
            <sz val="8"/>
            <color indexed="81"/>
            <rFont val="Segoe UI"/>
            <family val="2"/>
          </rPr>
          <t xml:space="preserve">
[wzr2hi, xx.xx.2018] Ralph Welz -&gt; Ingo Petersen -&gt; GHU:
United Arabic Emirates still asks for DAB. (we try to reduce the diversity, but for the moment we keep it.  FM &amp; DAB for MEA map)
[wzr2hi, 12.06.2018] Ralph Welz -&gt; Burkhard Kern -&gt; Renault -&gt; "All ETH targets also get DAB"
</t>
        </r>
      </text>
    </comment>
    <comment ref="AD355" authorId="0" shapeId="0" xr:uid="{00000000-0006-0000-0000-00000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H356" authorId="0" shapeId="0" xr:uid="{00000000-0006-0000-0000-00000C010000}">
      <text>
        <r>
          <rPr>
            <b/>
            <sz val="8"/>
            <color indexed="81"/>
            <rFont val="Segoe UI"/>
            <family val="2"/>
          </rPr>
          <t>wzr2hi:</t>
        </r>
        <r>
          <rPr>
            <sz val="8"/>
            <color indexed="81"/>
            <rFont val="Segoe UI"/>
            <family val="2"/>
          </rPr>
          <t xml:space="preserve">
New dedicated FCID to solve the collision of 0x00AA for the future.</t>
        </r>
      </text>
    </comment>
    <comment ref="R359" authorId="0" shapeId="0" xr:uid="{00000000-0006-0000-0000-00000D010000}">
      <text>
        <r>
          <rPr>
            <b/>
            <sz val="8"/>
            <color indexed="81"/>
            <rFont val="Segoe UI"/>
            <family val="2"/>
          </rPr>
          <t>wzr2hi:</t>
        </r>
        <r>
          <rPr>
            <sz val="8"/>
            <color indexed="81"/>
            <rFont val="Segoe UI"/>
            <family val="2"/>
          </rPr>
          <t xml:space="preserve">
Ralph Welz -&gt; Ingo Petersen -&gt; GHU:
United Arabic Emirates still asks for DAB. (we try to reduce the diversity, but for the moment we keep it.  FM &amp; DAB for MEA map)</t>
        </r>
      </text>
    </comment>
    <comment ref="O360" authorId="3" shapeId="0" xr:uid="{00000000-0006-0000-0000-00000E010000}">
      <text>
        <r>
          <rPr>
            <b/>
            <sz val="9"/>
            <color indexed="81"/>
            <rFont val="Segoe UI"/>
            <family val="2"/>
          </rPr>
          <t>Markus Krämer (12.07.2018):</t>
        </r>
        <r>
          <rPr>
            <sz val="9"/>
            <color indexed="81"/>
            <rFont val="Segoe UI"/>
            <family val="2"/>
          </rPr>
          <t xml:space="preserve">
As Hindi is only available in CAS - SDB (index “F”) we have to select it for this DA-device even if index “F” is mainly defined for Nav systems.</t>
        </r>
      </text>
    </comment>
    <comment ref="AD361" authorId="0" shapeId="0" xr:uid="{00000000-0006-0000-0000-00000F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2" authorId="0" shapeId="0" xr:uid="{00000000-0006-0000-0000-000010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3" authorId="0" shapeId="0" xr:uid="{00000000-0006-0000-0000-000011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4" authorId="0" shapeId="0" xr:uid="{00000000-0006-0000-0000-000012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5" authorId="0" shapeId="0" xr:uid="{00000000-0006-0000-0000-000013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6" authorId="0" shapeId="0" xr:uid="{00000000-0006-0000-0000-000014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7" authorId="0" shapeId="0" xr:uid="{00000000-0006-0000-0000-000015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368" authorId="0" shapeId="0" xr:uid="{00000000-0006-0000-0000-000016010000}">
      <text>
        <r>
          <rPr>
            <b/>
            <sz val="8"/>
            <color indexed="81"/>
            <rFont val="Segoe UI"/>
            <family val="2"/>
          </rPr>
          <t>wzr2hi:</t>
        </r>
        <r>
          <rPr>
            <sz val="8"/>
            <color indexed="81"/>
            <rFont val="Segoe UI"/>
            <family val="2"/>
          </rPr>
          <t xml:space="preserve">
[wzr2hi, 13.09.2018] According to Andree Quoos there TomTom is not sourced for IND DC. Therefore no such DC exists.</t>
        </r>
      </text>
    </comment>
    <comment ref="AD368" authorId="0" shapeId="0" xr:uid="{00000000-0006-0000-0000-000017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9" authorId="0" shapeId="0" xr:uid="{00000000-0006-0000-0000-00001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0" authorId="0" shapeId="0" xr:uid="{00000000-0006-0000-0000-00001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1" authorId="0" shapeId="0" xr:uid="{00000000-0006-0000-0000-00001A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2" authorId="0" shapeId="0" xr:uid="{00000000-0006-0000-0000-00001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3" authorId="0" shapeId="0" xr:uid="{00000000-0006-0000-0000-00001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4" authorId="0" shapeId="0" xr:uid="{00000000-0006-0000-0000-00001D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5" authorId="0" shapeId="0" xr:uid="{00000000-0006-0000-0000-00001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376" authorId="0" shapeId="0" xr:uid="{00000000-0006-0000-0000-00001F010000}">
      <text>
        <r>
          <rPr>
            <b/>
            <sz val="8"/>
            <color indexed="81"/>
            <rFont val="Segoe UI"/>
            <family val="2"/>
          </rPr>
          <t>wzr2hi:</t>
        </r>
        <r>
          <rPr>
            <sz val="8"/>
            <color indexed="81"/>
            <rFont val="Segoe UI"/>
            <family val="2"/>
          </rPr>
          <t xml:space="preserve">
[wzr2hi, 17.10.2018] DC canceled acc. to Andree Quoos (v23.6).</t>
        </r>
      </text>
    </comment>
    <comment ref="X377" authorId="0" shapeId="0" xr:uid="{00000000-0006-0000-0000-000020010000}">
      <text>
        <r>
          <rPr>
            <b/>
            <sz val="8"/>
            <color indexed="81"/>
            <rFont val="Segoe UI"/>
            <family val="2"/>
          </rPr>
          <t>wzr2hi:</t>
        </r>
        <r>
          <rPr>
            <sz val="8"/>
            <color indexed="81"/>
            <rFont val="Segoe UI"/>
            <family val="2"/>
          </rPr>
          <t xml:space="preserve">
CPLD on Fascia</t>
        </r>
      </text>
    </comment>
    <comment ref="X378" authorId="0" shapeId="0" xr:uid="{00000000-0006-0000-0000-000021010000}">
      <text>
        <r>
          <rPr>
            <b/>
            <sz val="8"/>
            <color indexed="81"/>
            <rFont val="Segoe UI"/>
            <family val="2"/>
          </rPr>
          <t>wzr2hi:</t>
        </r>
        <r>
          <rPr>
            <sz val="8"/>
            <color indexed="81"/>
            <rFont val="Segoe UI"/>
            <family val="2"/>
          </rPr>
          <t xml:space="preserve">
CPLD on Fascia</t>
        </r>
      </text>
    </comment>
    <comment ref="X379" authorId="0" shapeId="0" xr:uid="{00000000-0006-0000-0000-000022010000}">
      <text>
        <r>
          <rPr>
            <b/>
            <sz val="8"/>
            <color indexed="81"/>
            <rFont val="Segoe UI"/>
            <family val="2"/>
          </rPr>
          <t>wzr2hi:</t>
        </r>
        <r>
          <rPr>
            <sz val="8"/>
            <color indexed="81"/>
            <rFont val="Segoe UI"/>
            <family val="2"/>
          </rPr>
          <t xml:space="preserve">
CPLD on Fascia</t>
        </r>
      </text>
    </comment>
    <comment ref="O382" authorId="0" shapeId="0" xr:uid="{00000000-0006-0000-0000-000023010000}">
      <text>
        <r>
          <rPr>
            <b/>
            <sz val="8"/>
            <color indexed="81"/>
            <rFont val="Segoe UI"/>
            <family val="2"/>
          </rPr>
          <t>wzr2hi:</t>
        </r>
        <r>
          <rPr>
            <sz val="8"/>
            <color indexed="81"/>
            <rFont val="Segoe UI"/>
            <family val="2"/>
          </rPr>
          <t xml:space="preserve">
EUR_SDB does not fit into 8GB eMMC
</t>
        </r>
      </text>
    </comment>
    <comment ref="AD384" authorId="0" shapeId="0" xr:uid="{00000000-0006-0000-0000-000024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385" authorId="0" shapeId="0" xr:uid="{00000000-0006-0000-0000-000025010000}">
      <text>
        <r>
          <rPr>
            <b/>
            <sz val="8"/>
            <color indexed="81"/>
            <rFont val="Segoe UI"/>
            <family val="2"/>
          </rPr>
          <t>wzr2hi:</t>
        </r>
        <r>
          <rPr>
            <sz val="8"/>
            <color indexed="81"/>
            <rFont val="Segoe UI"/>
            <family val="2"/>
          </rPr>
          <t xml:space="preserve">
Ralph Welz -&gt; Ingo Petersen -&gt; GHU:
United Arabic Emirates still asks for DAB. (we try to reduce the diversity, but for the moment we keep it.  FM &amp; DAB for MEA map)</t>
        </r>
      </text>
    </comment>
    <comment ref="AD385" authorId="0" shapeId="0" xr:uid="{00000000-0006-0000-0000-00002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86" authorId="0" shapeId="0" xr:uid="{00000000-0006-0000-0000-000027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87" authorId="0" shapeId="0" xr:uid="{00000000-0006-0000-0000-00002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88" authorId="0" shapeId="0" xr:uid="{00000000-0006-0000-0000-00002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89" authorId="0" shapeId="0" xr:uid="{00000000-0006-0000-0000-00002A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0" authorId="0" shapeId="0" xr:uid="{00000000-0006-0000-0000-00002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1" authorId="0" shapeId="0" xr:uid="{00000000-0006-0000-0000-00002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2" authorId="0" shapeId="0" xr:uid="{00000000-0006-0000-0000-00002D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3" authorId="0" shapeId="0" xr:uid="{00000000-0006-0000-0000-00002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4" authorId="0" shapeId="0" xr:uid="{00000000-0006-0000-0000-00002F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5" authorId="0" shapeId="0" xr:uid="{00000000-0006-0000-0000-000030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5" authorId="0" shapeId="0" xr:uid="{00000000-0006-0000-0000-000031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AD395" authorId="0" shapeId="0" xr:uid="{00000000-0006-0000-0000-000032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6" authorId="0" shapeId="0" xr:uid="{00000000-0006-0000-0000-000033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6" authorId="0" shapeId="0" xr:uid="{00000000-0006-0000-0000-000034010000}">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396" authorId="0" shapeId="0" xr:uid="{00000000-0006-0000-0000-000035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7" authorId="0" shapeId="0" xr:uid="{00000000-0006-0000-0000-000036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7" authorId="0" shapeId="0" xr:uid="{00000000-0006-0000-0000-000037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397" authorId="0" shapeId="0" xr:uid="{00000000-0006-0000-0000-000038010000}">
      <text>
        <r>
          <rPr>
            <b/>
            <sz val="8"/>
            <color indexed="81"/>
            <rFont val="Segoe UI"/>
            <family val="2"/>
          </rPr>
          <t>wzr2hi:</t>
        </r>
        <r>
          <rPr>
            <sz val="8"/>
            <color indexed="81"/>
            <rFont val="Segoe UI"/>
            <family val="2"/>
          </rPr>
          <t xml:space="preserve">
[wzr2hi, 17.10.2018] DC canceled acc. to Andree Quoos (v23.6).</t>
        </r>
      </text>
    </comment>
    <comment ref="AD397" authorId="0" shapeId="0" xr:uid="{00000000-0006-0000-0000-00003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8" authorId="0" shapeId="0" xr:uid="{00000000-0006-0000-0000-00003A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8" authorId="0" shapeId="0" xr:uid="{00000000-0006-0000-0000-00003B010000}">
      <text>
        <r>
          <rPr>
            <b/>
            <sz val="8"/>
            <color indexed="81"/>
            <rFont val="Segoe UI"/>
            <family val="2"/>
          </rPr>
          <t>wzr2hi:</t>
        </r>
        <r>
          <rPr>
            <sz val="8"/>
            <color indexed="81"/>
            <rFont val="Segoe UI"/>
            <family val="2"/>
          </rPr>
          <t xml:space="preserve">
[wzr2hi, xx.xx.2018] Ralph Welz -&gt; Ingo Petersen -&gt; GHU:
United Arabic Emirates still asks for DAB. (we try to reduce the diversity, but for the moment we keep it.  FM &amp; DAB for MEA map)
[wzr2hi, 12.06.2018] Ralph Welz -&gt; Burkhard Kern -&gt; Renault -&gt; "All ETH targets also get DAB"
</t>
        </r>
      </text>
    </comment>
    <comment ref="AD398" authorId="0" shapeId="0" xr:uid="{00000000-0006-0000-0000-00003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9" authorId="0" shapeId="0" xr:uid="{00000000-0006-0000-0000-00003D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9" authorId="0" shapeId="0" xr:uid="{00000000-0006-0000-0000-00003E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399" authorId="0" shapeId="0" xr:uid="{00000000-0006-0000-0000-00003F010000}">
      <text>
        <r>
          <rPr>
            <b/>
            <sz val="8"/>
            <color indexed="81"/>
            <rFont val="Segoe UI"/>
            <family val="2"/>
          </rPr>
          <t>wzr2hi:</t>
        </r>
        <r>
          <rPr>
            <sz val="8"/>
            <color indexed="81"/>
            <rFont val="Segoe UI"/>
            <family val="2"/>
          </rPr>
          <t xml:space="preserve">
Map-Data for Korea will never be available outside of Korea.</t>
        </r>
      </text>
    </comment>
    <comment ref="AD399" authorId="0" shapeId="0" xr:uid="{00000000-0006-0000-0000-000040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0" authorId="0" shapeId="0" xr:uid="{00000000-0006-0000-0000-000041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1" authorId="0" shapeId="0" xr:uid="{00000000-0006-0000-0000-000042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2" authorId="0" shapeId="0" xr:uid="{00000000-0006-0000-0000-000043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3" authorId="0" shapeId="0" xr:uid="{00000000-0006-0000-0000-000044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6" authorId="0" shapeId="0" xr:uid="{00000000-0006-0000-0000-000045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07" authorId="0" shapeId="0" xr:uid="{00000000-0006-0000-0000-000046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0" authorId="0" shapeId="0" xr:uid="{00000000-0006-0000-0000-000047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1" authorId="0" shapeId="0" xr:uid="{00000000-0006-0000-0000-000048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2" authorId="0" shapeId="0" xr:uid="{00000000-0006-0000-0000-000049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3" authorId="0" shapeId="0" xr:uid="{00000000-0006-0000-0000-00004A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4" authorId="0" shapeId="0" xr:uid="{00000000-0006-0000-0000-00004B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5" authorId="0" shapeId="0" xr:uid="{00000000-0006-0000-0000-00004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416" authorId="0" shapeId="0" xr:uid="{00000000-0006-0000-0000-00004D010000}">
      <text>
        <r>
          <rPr>
            <b/>
            <sz val="8"/>
            <color indexed="81"/>
            <rFont val="Segoe UI"/>
            <family val="2"/>
          </rPr>
          <t>wzr2hi:</t>
        </r>
        <r>
          <rPr>
            <sz val="8"/>
            <color indexed="81"/>
            <rFont val="Segoe UI"/>
            <family val="2"/>
          </rPr>
          <t xml:space="preserve">
[wzr2hi, 17.10.2018] DC canceled acc. to Andree Quoos (v23.6).</t>
        </r>
      </text>
    </comment>
    <comment ref="AD416" authorId="0" shapeId="0" xr:uid="{00000000-0006-0000-0000-00004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17" authorId="0" shapeId="0" xr:uid="{00000000-0006-0000-0000-00004F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18" authorId="0" shapeId="0" xr:uid="{00000000-0006-0000-0000-000050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421" authorId="0" shapeId="0" xr:uid="{00000000-0006-0000-0000-000051010000}">
      <text>
        <r>
          <rPr>
            <b/>
            <sz val="8"/>
            <color indexed="81"/>
            <rFont val="Segoe UI"/>
            <family val="2"/>
          </rPr>
          <t>wzr2hi:</t>
        </r>
        <r>
          <rPr>
            <sz val="8"/>
            <color indexed="81"/>
            <rFont val="Segoe UI"/>
            <family val="2"/>
          </rPr>
          <t xml:space="preserve">
[wzr2hi, 04.12.2018] This fake device does not have JPN-specific Tuner-HW and also no VICS. So it can only be AM/FM.
This should not be a problem, since the fake device is mainly for display test.</t>
        </r>
      </text>
    </comment>
    <comment ref="AD421" authorId="0" shapeId="0" xr:uid="{00000000-0006-0000-0000-000052010000}">
      <text>
        <r>
          <rPr>
            <b/>
            <sz val="8"/>
            <color indexed="81"/>
            <rFont val="Segoe UI"/>
            <family val="2"/>
          </rPr>
          <t>wzr2hi:</t>
        </r>
        <r>
          <rPr>
            <sz val="8"/>
            <color indexed="81"/>
            <rFont val="Segoe UI"/>
            <family val="2"/>
          </rPr>
          <t xml:space="preserve">
[wzr2hi, 14.06.2018]
JPN-Navigation is not available in ST2.0</t>
        </r>
      </text>
    </comment>
    <comment ref="F422" authorId="0" shapeId="0" xr:uid="{00000000-0006-0000-0000-00005301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422" authorId="0" shapeId="0" xr:uid="{00000000-0006-0000-0000-00005401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R422" authorId="0" shapeId="0" xr:uid="{00000000-0006-0000-0000-000055010000}">
      <text>
        <r>
          <rPr>
            <b/>
            <sz val="8"/>
            <color indexed="81"/>
            <rFont val="Segoe UI"/>
            <family val="2"/>
          </rPr>
          <t>wzr2hi:</t>
        </r>
        <r>
          <rPr>
            <sz val="8"/>
            <color indexed="81"/>
            <rFont val="Segoe UI"/>
            <family val="2"/>
          </rPr>
          <t xml:space="preserve">
[wzr2hi, 09.11.2018] According to Burkhard Kern the Customer requires DAB-HW and DAB-ADR, but want so "see" only AMFM.</t>
        </r>
      </text>
    </comment>
    <comment ref="AD422" authorId="0" shapeId="0" xr:uid="{00000000-0006-0000-0000-00005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423" authorId="0" shapeId="0" xr:uid="{00000000-0006-0000-0000-000057010000}">
      <text>
        <r>
          <rPr>
            <b/>
            <sz val="8"/>
            <color indexed="81"/>
            <rFont val="Segoe UI"/>
            <family val="2"/>
          </rPr>
          <t>wzr2hi:</t>
        </r>
        <r>
          <rPr>
            <sz val="8"/>
            <color indexed="81"/>
            <rFont val="Segoe UI"/>
            <family val="2"/>
          </rPr>
          <t xml:space="preserve">
[wzr2hi, 20.11.2018] NAM DC is deprecated according to VM.</t>
        </r>
      </text>
    </comment>
    <comment ref="AD423" authorId="0" shapeId="0" xr:uid="{00000000-0006-0000-0000-00005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C430" authorId="0" shapeId="0" xr:uid="{00000000-0006-0000-0000-000059010000}">
      <text>
        <r>
          <rPr>
            <b/>
            <sz val="8"/>
            <color indexed="81"/>
            <rFont val="Segoe UI"/>
            <family val="2"/>
          </rPr>
          <t>wzr2hi:</t>
        </r>
        <r>
          <rPr>
            <sz val="8"/>
            <color indexed="81"/>
            <rFont val="Segoe UI"/>
            <family val="2"/>
          </rPr>
          <t xml:space="preserve">
SDL say DA, but has PN and Index of NAV</t>
        </r>
      </text>
    </comment>
    <comment ref="V431" authorId="2" shapeId="0" xr:uid="{00000000-0006-0000-0000-00005A010000}">
      <text>
        <r>
          <rPr>
            <b/>
            <sz val="9"/>
            <color indexed="81"/>
            <rFont val="Segoe UI"/>
            <family val="2"/>
          </rPr>
          <t>Hans-Joachim André:</t>
        </r>
        <r>
          <rPr>
            <sz val="9"/>
            <color indexed="81"/>
            <rFont val="Segoe UI"/>
            <family val="2"/>
          </rPr>
          <t xml:space="preserve">
[29.08.2018] No Renault-Mid map for MEX available!
[wzr2hi, 18.10.2018] According to Burkhard Kern. Full-Nav MEX will get MEX_ST2.1_R_ENTRY Data Carrier since there is no MEX_ST2.1_R_MID Data Carrier.</t>
        </r>
      </text>
    </comment>
    <comment ref="AD431" authorId="0" shapeId="0" xr:uid="{00000000-0006-0000-0000-00005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I432" authorId="0" shapeId="0" xr:uid="{00000000-0006-0000-0000-00005C010000}">
      <text>
        <r>
          <rPr>
            <b/>
            <sz val="8"/>
            <color indexed="81"/>
            <rFont val="Segoe UI"/>
            <family val="2"/>
          </rPr>
          <t>wzr2hi:</t>
        </r>
        <r>
          <rPr>
            <sz val="8"/>
            <color indexed="81"/>
            <rFont val="Segoe UI"/>
            <family val="2"/>
          </rPr>
          <t xml:space="preserve">
[wzr2hi, 19.09.2018] There is no JPN-Navigation for ST3.x (yet).
[wzr2hi, 30.04.2019] JPN-Navigation is now also availabel for ST3.x.</t>
        </r>
      </text>
    </comment>
    <comment ref="J432" authorId="0" shapeId="0" xr:uid="{00000000-0006-0000-0000-00005D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2" authorId="0" shapeId="0" xr:uid="{00000000-0006-0000-0000-00005E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3" authorId="0" shapeId="0" xr:uid="{00000000-0006-0000-0000-00005F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3" authorId="0" shapeId="0" xr:uid="{00000000-0006-0000-0000-000060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4" authorId="0" shapeId="0" xr:uid="{00000000-0006-0000-0000-000061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4" authorId="0" shapeId="0" xr:uid="{00000000-0006-0000-0000-000062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5" authorId="0" shapeId="0" xr:uid="{00000000-0006-0000-0000-000063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5" authorId="0" shapeId="0" xr:uid="{00000000-0006-0000-0000-000064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6" authorId="0" shapeId="0" xr:uid="{00000000-0006-0000-0000-000065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6" authorId="0" shapeId="0" xr:uid="{00000000-0006-0000-0000-000066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7" authorId="0" shapeId="0" xr:uid="{00000000-0006-0000-0000-000067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7" authorId="0" shapeId="0" xr:uid="{00000000-0006-0000-0000-000068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8" authorId="0" shapeId="0" xr:uid="{00000000-0006-0000-0000-000069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8" authorId="0" shapeId="0" xr:uid="{00000000-0006-0000-0000-00006A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9" authorId="0" shapeId="0" xr:uid="{00000000-0006-0000-0000-00006B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9" authorId="0" shapeId="0" xr:uid="{00000000-0006-0000-0000-00006C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0" authorId="0" shapeId="0" xr:uid="{00000000-0006-0000-0000-00006D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0" authorId="0" shapeId="0" xr:uid="{00000000-0006-0000-0000-00006E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1" authorId="0" shapeId="0" xr:uid="{00000000-0006-0000-0000-00006F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1" authorId="0" shapeId="0" xr:uid="{00000000-0006-0000-0000-000070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2" authorId="0" shapeId="0" xr:uid="{00000000-0006-0000-0000-000071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2" authorId="0" shapeId="0" xr:uid="{00000000-0006-0000-0000-000072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3" authorId="0" shapeId="0" xr:uid="{00000000-0006-0000-0000-000073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3" authorId="0" shapeId="0" xr:uid="{00000000-0006-0000-0000-000074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4" authorId="0" shapeId="0" xr:uid="{00000000-0006-0000-0000-000075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4" authorId="0" shapeId="0" xr:uid="{00000000-0006-0000-0000-000076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5" authorId="0" shapeId="0" xr:uid="{00000000-0006-0000-0000-000077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5" authorId="0" shapeId="0" xr:uid="{00000000-0006-0000-0000-000078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6" authorId="0" shapeId="0" xr:uid="{00000000-0006-0000-0000-000079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6" authorId="0" shapeId="0" xr:uid="{00000000-0006-0000-0000-00007A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7" authorId="0" shapeId="0" xr:uid="{00000000-0006-0000-0000-00007B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7" authorId="0" shapeId="0" xr:uid="{00000000-0006-0000-0000-00007C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8" authorId="0" shapeId="0" xr:uid="{00000000-0006-0000-0000-00007D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8" authorId="0" shapeId="0" xr:uid="{00000000-0006-0000-0000-00007E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9" authorId="0" shapeId="0" xr:uid="{00000000-0006-0000-0000-00007F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9" authorId="0" shapeId="0" xr:uid="{00000000-0006-0000-0000-000080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50" authorId="0" shapeId="0" xr:uid="{00000000-0006-0000-0000-000081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50" authorId="0" shapeId="0" xr:uid="{00000000-0006-0000-0000-000082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51" authorId="0" shapeId="0" xr:uid="{00000000-0006-0000-0000-000083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51" authorId="0" shapeId="0" xr:uid="{00000000-0006-0000-0000-000084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452" authorId="0" shapeId="0" xr:uid="{00000000-0006-0000-0000-000085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O456" authorId="0" shapeId="0" xr:uid="{00000000-0006-0000-0000-000086010000}">
      <text>
        <r>
          <rPr>
            <b/>
            <sz val="8"/>
            <color indexed="81"/>
            <rFont val="Segoe UI"/>
            <family val="2"/>
          </rPr>
          <t>wzr2hi:</t>
        </r>
        <r>
          <rPr>
            <sz val="8"/>
            <color indexed="81"/>
            <rFont val="Segoe UI"/>
            <family val="2"/>
          </rPr>
          <t xml:space="preserve">
EUR_SDB does not fit into 8GB eMMC
</t>
        </r>
      </text>
    </comment>
    <comment ref="AD457" authorId="0" shapeId="0" xr:uid="{00000000-0006-0000-0000-000087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58" authorId="0" shapeId="0" xr:uid="{00000000-0006-0000-0000-000088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59" authorId="0" shapeId="0" xr:uid="{00000000-0006-0000-0000-000089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61" authorId="0" shapeId="0" xr:uid="{00000000-0006-0000-0000-00008A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62" authorId="0" shapeId="0" xr:uid="{00000000-0006-0000-0000-00008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463" authorId="0" shapeId="0" xr:uid="{00000000-0006-0000-0000-00008C010000}">
      <text>
        <r>
          <rPr>
            <b/>
            <sz val="8"/>
            <color indexed="81"/>
            <rFont val="Segoe UI"/>
            <family val="2"/>
          </rPr>
          <t>wzr2hi:</t>
        </r>
        <r>
          <rPr>
            <sz val="8"/>
            <color indexed="81"/>
            <rFont val="Segoe UI"/>
            <family val="2"/>
          </rPr>
          <t xml:space="preserve">
[wzr2hi, 17.10.2018] DC canceled acc. to Andree Quoos (v23.6).</t>
        </r>
      </text>
    </comment>
    <comment ref="AD463" authorId="0" shapeId="0" xr:uid="{00000000-0006-0000-0000-00008D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64" authorId="0" shapeId="0" xr:uid="{00000000-0006-0000-0000-00008E010000}">
      <text>
        <r>
          <rPr>
            <b/>
            <sz val="8"/>
            <color indexed="81"/>
            <rFont val="Segoe UI"/>
            <family val="2"/>
          </rPr>
          <t>wzr2hi:</t>
        </r>
        <r>
          <rPr>
            <sz val="8"/>
            <color indexed="81"/>
            <rFont val="Segoe UI"/>
            <family val="2"/>
          </rPr>
          <t xml:space="preserve">
[wzr2hi, 25.03.2019]
Nissan PIVI does not exist on ST2.0</t>
        </r>
      </text>
    </comment>
    <comment ref="AD465" authorId="0" shapeId="0" xr:uid="{00000000-0006-0000-0000-00008F01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O466" authorId="0" shapeId="0" xr:uid="{00000000-0006-0000-0000-000090010000}">
      <text>
        <r>
          <rPr>
            <b/>
            <sz val="8"/>
            <color indexed="81"/>
            <rFont val="Segoe UI"/>
            <family val="2"/>
          </rPr>
          <t>wzr2hi:</t>
        </r>
        <r>
          <rPr>
            <sz val="8"/>
            <color indexed="81"/>
            <rFont val="Segoe UI"/>
            <family val="2"/>
          </rPr>
          <t xml:space="preserve">
EUR_SDB does not fit into 8GB eMMC
</t>
        </r>
      </text>
    </comment>
    <comment ref="AH466" authorId="0" shapeId="0" xr:uid="{00000000-0006-0000-0000-000091010000}">
      <text>
        <r>
          <rPr>
            <b/>
            <sz val="8"/>
            <color indexed="81"/>
            <rFont val="Segoe UI"/>
            <family val="2"/>
          </rPr>
          <t>wzr2hi:</t>
        </r>
        <r>
          <rPr>
            <sz val="8"/>
            <color indexed="81"/>
            <rFont val="Segoe UI"/>
            <family val="2"/>
          </rPr>
          <t xml:space="preserve">
See Partition Scheme and SDB Data for review finding.</t>
        </r>
      </text>
    </comment>
    <comment ref="AD472" authorId="0" shapeId="0" xr:uid="{00000000-0006-0000-0000-000092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73" authorId="0" shapeId="0" xr:uid="{00000000-0006-0000-0000-000093010000}">
      <text>
        <r>
          <rPr>
            <b/>
            <sz val="8"/>
            <color indexed="81"/>
            <rFont val="Segoe UI"/>
            <family val="2"/>
          </rPr>
          <t>wzr2hi:</t>
        </r>
        <r>
          <rPr>
            <sz val="8"/>
            <color indexed="81"/>
            <rFont val="Segoe UI"/>
            <family val="2"/>
          </rPr>
          <t xml:space="preserve">
[wzr2hi, 07.06.2018] 0x06a4 and rfs_nav_high is not available/usable in ST2.0 targets.</t>
        </r>
      </text>
    </comment>
    <comment ref="C474" authorId="1" shapeId="0" xr:uid="{00000000-0006-0000-0000-000094010000}">
      <text>
        <r>
          <rPr>
            <b/>
            <sz val="9"/>
            <color indexed="81"/>
            <rFont val="Segoe UI"/>
            <family val="2"/>
          </rPr>
          <t>Welz Ralph (CM-CI1/ERN1-ESW):</t>
        </r>
        <r>
          <rPr>
            <sz val="9"/>
            <color indexed="81"/>
            <rFont val="Segoe UI"/>
            <family val="2"/>
          </rPr>
          <t xml:space="preserve">
[wzr2hi, 27.06.2019] Dummy Device. See column 'Comment'.
</t>
        </r>
      </text>
    </comment>
    <comment ref="X474" authorId="0" shapeId="0" xr:uid="{00000000-0006-0000-0000-000095010000}">
      <text>
        <r>
          <rPr>
            <b/>
            <sz val="8"/>
            <color indexed="81"/>
            <rFont val="Segoe UI"/>
            <family val="2"/>
          </rPr>
          <t>wzr2hi:</t>
        </r>
        <r>
          <rPr>
            <sz val="8"/>
            <color indexed="81"/>
            <rFont val="Segoe UI"/>
            <family val="2"/>
          </rPr>
          <t xml:space="preserve">
CPLD on Fascia</t>
        </r>
      </text>
    </comment>
    <comment ref="X477" authorId="0" shapeId="0" xr:uid="{00000000-0006-0000-0000-000096010000}">
      <text>
        <r>
          <rPr>
            <b/>
            <sz val="8"/>
            <color indexed="81"/>
            <rFont val="Segoe UI"/>
            <family val="2"/>
          </rPr>
          <t>wzr2hi:</t>
        </r>
        <r>
          <rPr>
            <sz val="8"/>
            <color indexed="81"/>
            <rFont val="Segoe UI"/>
            <family val="2"/>
          </rPr>
          <t xml:space="preserve">
CPLD on Fascia</t>
        </r>
      </text>
    </comment>
    <comment ref="X479" authorId="0" shapeId="0" xr:uid="{00000000-0006-0000-0000-000097010000}">
      <text>
        <r>
          <rPr>
            <b/>
            <sz val="8"/>
            <color indexed="81"/>
            <rFont val="Segoe UI"/>
            <family val="2"/>
          </rPr>
          <t>wzr2hi:</t>
        </r>
        <r>
          <rPr>
            <sz val="8"/>
            <color indexed="81"/>
            <rFont val="Segoe UI"/>
            <family val="2"/>
          </rPr>
          <t xml:space="preserve">
CPLD on Fascia</t>
        </r>
      </text>
    </comment>
    <comment ref="X480" authorId="0" shapeId="0" xr:uid="{00000000-0006-0000-0000-000098010000}">
      <text>
        <r>
          <rPr>
            <b/>
            <sz val="8"/>
            <color indexed="81"/>
            <rFont val="Segoe UI"/>
            <family val="2"/>
          </rPr>
          <t>wzr2hi:</t>
        </r>
        <r>
          <rPr>
            <sz val="8"/>
            <color indexed="81"/>
            <rFont val="Segoe UI"/>
            <family val="2"/>
          </rPr>
          <t xml:space="preserve">
CPLD on Fascia</t>
        </r>
      </text>
    </comment>
    <comment ref="F481" authorId="0" shapeId="0" xr:uid="{00000000-0006-0000-0000-00009901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481" authorId="0" shapeId="0" xr:uid="{00000000-0006-0000-0000-00009A01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AD481" authorId="0" shapeId="0" xr:uid="{00000000-0006-0000-0000-00009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F482" authorId="0" shapeId="0" xr:uid="{00000000-0006-0000-0000-00009C01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482" authorId="0" shapeId="0" xr:uid="{00000000-0006-0000-0000-00009D01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AD482" authorId="0" shapeId="0" xr:uid="{00000000-0006-0000-0000-00009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F483" authorId="0" shapeId="0" xr:uid="{00000000-0006-0000-0000-00009F01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483" authorId="0" shapeId="0" xr:uid="{00000000-0006-0000-0000-0000A001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R483" authorId="0" shapeId="0" xr:uid="{00000000-0006-0000-0000-0000A1010000}">
      <text>
        <r>
          <rPr>
            <b/>
            <sz val="8"/>
            <color indexed="81"/>
            <rFont val="Segoe UI"/>
            <family val="2"/>
          </rPr>
          <t>wzr2hi:</t>
        </r>
        <r>
          <rPr>
            <sz val="8"/>
            <color indexed="81"/>
            <rFont val="Segoe UI"/>
            <family val="2"/>
          </rPr>
          <t xml:space="preserve">
[wzr2hi, 09.11.2018] According to Burkhard Kern the Customer requires DAB-HW and DAB-ADR, but want so "see" only AMFM.</t>
        </r>
      </text>
    </comment>
    <comment ref="AD483" authorId="0" shapeId="0" xr:uid="{00000000-0006-0000-0000-0000A2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J486" authorId="0" shapeId="0" xr:uid="{00000000-0006-0000-0000-0000A3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O486" authorId="0" shapeId="0" xr:uid="{00000000-0006-0000-0000-0000A4010000}">
      <text>
        <r>
          <rPr>
            <b/>
            <sz val="8"/>
            <color indexed="81"/>
            <rFont val="Segoe UI"/>
            <family val="2"/>
          </rPr>
          <t>wzr2hi:</t>
        </r>
        <r>
          <rPr>
            <sz val="8"/>
            <color indexed="81"/>
            <rFont val="Segoe UI"/>
            <family val="2"/>
          </rPr>
          <t xml:space="preserve">
EUR_SDB does not fit into 8GB eMMC
</t>
        </r>
      </text>
    </comment>
    <comment ref="AD486" authorId="0" shapeId="0" xr:uid="{00000000-0006-0000-0000-0000A5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489" authorId="0" shapeId="0" xr:uid="{00000000-0006-0000-0000-0000A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0" authorId="0" shapeId="0" xr:uid="{00000000-0006-0000-0000-0000A7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1" authorId="0" shapeId="0" xr:uid="{00000000-0006-0000-0000-0000A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2" authorId="0" shapeId="0" xr:uid="{00000000-0006-0000-0000-0000A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3" authorId="0" shapeId="0" xr:uid="{00000000-0006-0000-0000-0000AA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4" authorId="0" shapeId="0" xr:uid="{00000000-0006-0000-0000-0000A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5" authorId="0" shapeId="0" xr:uid="{00000000-0006-0000-0000-0000A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6" authorId="0" shapeId="0" xr:uid="{00000000-0006-0000-0000-0000AD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7" authorId="0" shapeId="0" xr:uid="{00000000-0006-0000-0000-0000A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8" authorId="0" shapeId="0" xr:uid="{00000000-0006-0000-0000-0000AF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9" authorId="0" shapeId="0" xr:uid="{00000000-0006-0000-0000-0000B0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0" authorId="0" shapeId="0" xr:uid="{00000000-0006-0000-0000-0000B1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1" authorId="0" shapeId="0" xr:uid="{00000000-0006-0000-0000-0000B2010000}">
      <text>
        <r>
          <rPr>
            <b/>
            <sz val="8"/>
            <color indexed="81"/>
            <rFont val="Segoe UI"/>
            <family val="2"/>
          </rPr>
          <t>wzr2hi:</t>
        </r>
        <r>
          <rPr>
            <sz val="8"/>
            <color indexed="81"/>
            <rFont val="Segoe UI"/>
            <family val="2"/>
          </rPr>
          <t xml:space="preserve">
[wzr2hi, 07.06.2018] 0x06a4 and rfs_nav_high is not available/usable in ST2.0 targets.</t>
        </r>
      </text>
    </comment>
    <comment ref="T502" authorId="1" shapeId="0" xr:uid="{00000000-0006-0000-0000-0000B301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502" authorId="0" shapeId="0" xr:uid="{00000000-0006-0000-0000-0000B4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503" authorId="0" shapeId="0" xr:uid="{00000000-0006-0000-0000-0000B5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505" authorId="0" shapeId="0" xr:uid="{00000000-0006-0000-0000-0000B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6" authorId="0" shapeId="0" xr:uid="{00000000-0006-0000-0000-0000B7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7" authorId="0" shapeId="0" xr:uid="{00000000-0006-0000-0000-0000B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8" authorId="0" shapeId="0" xr:uid="{00000000-0006-0000-0000-0000B9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509" authorId="0" shapeId="0" xr:uid="{00000000-0006-0000-0000-0000BA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510" authorId="0" shapeId="0" xr:uid="{00000000-0006-0000-0000-0000BB010000}">
      <text>
        <r>
          <rPr>
            <b/>
            <sz val="8"/>
            <color indexed="81"/>
            <rFont val="Segoe UI"/>
            <family val="2"/>
          </rPr>
          <t>wzr2hi:</t>
        </r>
        <r>
          <rPr>
            <sz val="8"/>
            <color indexed="81"/>
            <rFont val="Segoe UI"/>
            <family val="2"/>
          </rPr>
          <t xml:space="preserve">
[wzr2hi, 07.06.2018] 0x06a4 and rfs_nav_high is not available/usable in ST2.0 targets.</t>
        </r>
      </text>
    </comment>
    <comment ref="L511" authorId="1" shapeId="0" xr:uid="{00000000-0006-0000-0000-0000BC010000}">
      <text>
        <r>
          <rPr>
            <b/>
            <sz val="9"/>
            <color indexed="81"/>
            <rFont val="Segoe UI"/>
            <family val="2"/>
          </rPr>
          <t>Welz Ralph (CM-CI1/ERN1-ESW):</t>
        </r>
        <r>
          <rPr>
            <sz val="9"/>
            <color indexed="81"/>
            <rFont val="Segoe UI"/>
            <family val="2"/>
          </rPr>
          <t xml:space="preserve">
[wzr2hi, 21.04.2020] Special HMI for Resp.</t>
        </r>
      </text>
    </comment>
    <comment ref="Q511" authorId="1" shapeId="0" xr:uid="{00000000-0006-0000-0000-0000BD010000}">
      <text>
        <r>
          <rPr>
            <b/>
            <sz val="9"/>
            <color indexed="81"/>
            <rFont val="Segoe UI"/>
            <family val="2"/>
          </rPr>
          <t>Welz Ralph (CM-CI1/ERN1-ESW):</t>
        </r>
        <r>
          <rPr>
            <sz val="9"/>
            <color indexed="81"/>
            <rFont val="Segoe UI"/>
            <family val="2"/>
          </rPr>
          <t xml:space="preserve">
[wzr2hi, 21.04.2020] Special V850 for Resp.</t>
        </r>
      </text>
    </comment>
    <comment ref="AD511" authorId="1" shapeId="0" xr:uid="{00000000-0006-0000-0000-0000BE010000}">
      <text>
        <r>
          <rPr>
            <b/>
            <sz val="9"/>
            <color indexed="81"/>
            <rFont val="Segoe UI"/>
            <family val="2"/>
          </rPr>
          <t>Welz Ralph (CM-CI1/ERN1-ESW):</t>
        </r>
        <r>
          <rPr>
            <sz val="9"/>
            <color indexed="81"/>
            <rFont val="Segoe UI"/>
            <family val="2"/>
          </rPr>
          <t xml:space="preserve">
[wzr2hi, 17.06.2020] SW shall not be downloadable to Ventilator.</t>
        </r>
      </text>
    </comment>
    <comment ref="AH511" authorId="0" shapeId="0" xr:uid="{00000000-0006-0000-0000-0000BF010000}">
      <text>
        <r>
          <rPr>
            <b/>
            <sz val="8"/>
            <color indexed="81"/>
            <rFont val="Segoe UI"/>
            <family val="2"/>
          </rPr>
          <t>wzr2hi:</t>
        </r>
        <r>
          <rPr>
            <sz val="8"/>
            <color indexed="81"/>
            <rFont val="Segoe UI"/>
            <family val="2"/>
          </rPr>
          <t xml:space="preserve">
See Partition Scheme and SDB Data for review finding.</t>
        </r>
      </text>
    </comment>
    <comment ref="T512" authorId="1" shapeId="0" xr:uid="{00000000-0006-0000-0000-0000C001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X512" authorId="0" shapeId="0" xr:uid="{00000000-0006-0000-0000-0000C1010000}">
      <text>
        <r>
          <rPr>
            <b/>
            <sz val="8"/>
            <color indexed="81"/>
            <rFont val="Segoe UI"/>
            <family val="2"/>
          </rPr>
          <t>wzr2hi:</t>
        </r>
        <r>
          <rPr>
            <sz val="8"/>
            <color indexed="81"/>
            <rFont val="Segoe UI"/>
            <family val="2"/>
          </rPr>
          <t xml:space="preserve">
CPLD on Fascia</t>
        </r>
      </text>
    </comment>
    <comment ref="X514" authorId="0" shapeId="0" xr:uid="{00000000-0006-0000-0000-0000C2010000}">
      <text>
        <r>
          <rPr>
            <b/>
            <sz val="8"/>
            <color indexed="81"/>
            <rFont val="Segoe UI"/>
            <family val="2"/>
          </rPr>
          <t>wzr2hi:</t>
        </r>
        <r>
          <rPr>
            <sz val="8"/>
            <color indexed="81"/>
            <rFont val="Segoe UI"/>
            <family val="2"/>
          </rPr>
          <t xml:space="preserve">
CPLD on Fascia</t>
        </r>
      </text>
    </comment>
    <comment ref="X516" authorId="0" shapeId="0" xr:uid="{00000000-0006-0000-0000-0000C3010000}">
      <text>
        <r>
          <rPr>
            <b/>
            <sz val="8"/>
            <color indexed="81"/>
            <rFont val="Segoe UI"/>
            <family val="2"/>
          </rPr>
          <t>wzr2hi:</t>
        </r>
        <r>
          <rPr>
            <sz val="8"/>
            <color indexed="81"/>
            <rFont val="Segoe UI"/>
            <family val="2"/>
          </rPr>
          <t xml:space="preserve">
CPLD on Fascia</t>
        </r>
      </text>
    </comment>
    <comment ref="AD517" authorId="0" shapeId="0" xr:uid="{00000000-0006-0000-0000-0000C4010000}">
      <text>
        <r>
          <rPr>
            <b/>
            <sz val="8"/>
            <color indexed="81"/>
            <rFont val="Segoe UI"/>
            <family val="2"/>
          </rPr>
          <t>wzr2hi:</t>
        </r>
        <r>
          <rPr>
            <sz val="8"/>
            <color indexed="81"/>
            <rFont val="Segoe UI"/>
            <family val="2"/>
          </rPr>
          <t xml:space="preserve">
[wzr2hi, 04.02.2021] 0x06a9  is not available in ST2.1  targets.</t>
        </r>
      </text>
    </comment>
    <comment ref="AD518" authorId="0" shapeId="0" xr:uid="{00000000-0006-0000-0000-0000C5010000}">
      <text>
        <r>
          <rPr>
            <b/>
            <sz val="8"/>
            <color indexed="81"/>
            <rFont val="Segoe UI"/>
            <family val="2"/>
          </rPr>
          <t>wzr2hi:</t>
        </r>
        <r>
          <rPr>
            <sz val="8"/>
            <color indexed="81"/>
            <rFont val="Segoe UI"/>
            <family val="2"/>
          </rPr>
          <t xml:space="preserve">
[wzr2hi, 04.02.2021] 0x06a9  is not available in ST2.1  targets.</t>
        </r>
      </text>
    </comment>
    <comment ref="AD519" authorId="0" shapeId="0" xr:uid="{00000000-0006-0000-0000-0000C6010000}">
      <text>
        <r>
          <rPr>
            <b/>
            <sz val="8"/>
            <color indexed="81"/>
            <rFont val="Segoe UI"/>
            <family val="2"/>
          </rPr>
          <t>wzr2hi:</t>
        </r>
        <r>
          <rPr>
            <sz val="8"/>
            <color indexed="81"/>
            <rFont val="Segoe UI"/>
            <family val="2"/>
          </rPr>
          <t xml:space="preserve">
[wzr2hi, 04.02.2021] 0x06a9  is not available in ST2.1  targets.</t>
        </r>
      </text>
    </comment>
    <comment ref="AD520" authorId="0" shapeId="0" xr:uid="{00000000-0006-0000-0000-0000C7010000}">
      <text>
        <r>
          <rPr>
            <b/>
            <sz val="8"/>
            <color indexed="81"/>
            <rFont val="Segoe UI"/>
            <family val="2"/>
          </rPr>
          <t>wzr2hi:</t>
        </r>
        <r>
          <rPr>
            <sz val="8"/>
            <color indexed="81"/>
            <rFont val="Segoe UI"/>
            <family val="2"/>
          </rPr>
          <t xml:space="preserve">
[wzr2hi, 04.02.2021] 0x06a9  is not available in ST2.1  targets.</t>
        </r>
      </text>
    </comment>
    <comment ref="AD521" authorId="0" shapeId="0" xr:uid="{00000000-0006-0000-0000-0000C8010000}">
      <text>
        <r>
          <rPr>
            <b/>
            <sz val="8"/>
            <color indexed="81"/>
            <rFont val="Segoe UI"/>
            <family val="2"/>
          </rPr>
          <t>wzr2hi:</t>
        </r>
        <r>
          <rPr>
            <sz val="8"/>
            <color indexed="81"/>
            <rFont val="Segoe UI"/>
            <family val="2"/>
          </rPr>
          <t xml:space="preserve">
[wzr2hi, 04.02.2021] 0x06a9  is not available in ST2.1  targets.</t>
        </r>
      </text>
    </comment>
    <comment ref="AD522" authorId="0" shapeId="0" xr:uid="{00000000-0006-0000-0000-0000C9010000}">
      <text>
        <r>
          <rPr>
            <b/>
            <sz val="8"/>
            <color indexed="81"/>
            <rFont val="Segoe UI"/>
            <family val="2"/>
          </rPr>
          <t>wzr2hi:</t>
        </r>
        <r>
          <rPr>
            <sz val="8"/>
            <color indexed="81"/>
            <rFont val="Segoe UI"/>
            <family val="2"/>
          </rPr>
          <t xml:space="preserve">
[wzr2hi, 04.02.2021] 0x06a9  is not available in ST2.1  targets.</t>
        </r>
      </text>
    </comment>
    <comment ref="AD523" authorId="0" shapeId="0" xr:uid="{00000000-0006-0000-0000-0000CA010000}">
      <text>
        <r>
          <rPr>
            <b/>
            <sz val="8"/>
            <color indexed="81"/>
            <rFont val="Segoe UI"/>
            <family val="2"/>
          </rPr>
          <t>wzr2hi:</t>
        </r>
        <r>
          <rPr>
            <sz val="8"/>
            <color indexed="81"/>
            <rFont val="Segoe UI"/>
            <family val="2"/>
          </rPr>
          <t xml:space="preserve">
[wzr2hi, 04.02.2021] 0x06a9  is not available in ST2.1  targets.</t>
        </r>
      </text>
    </comment>
    <comment ref="AD524" authorId="0" shapeId="0" xr:uid="{00000000-0006-0000-0000-0000CB010000}">
      <text>
        <r>
          <rPr>
            <b/>
            <sz val="8"/>
            <color indexed="81"/>
            <rFont val="Segoe UI"/>
            <family val="2"/>
          </rPr>
          <t>wzr2hi:</t>
        </r>
        <r>
          <rPr>
            <sz val="8"/>
            <color indexed="81"/>
            <rFont val="Segoe UI"/>
            <family val="2"/>
          </rPr>
          <t xml:space="preserve">
[wzr2hi, 04.02.2021] 0x06a9  is not available in ST2.1  targets.</t>
        </r>
      </text>
    </comment>
    <comment ref="AD525" authorId="0" shapeId="0" xr:uid="{00000000-0006-0000-0000-0000CC010000}">
      <text>
        <r>
          <rPr>
            <b/>
            <sz val="8"/>
            <color indexed="81"/>
            <rFont val="Segoe UI"/>
            <family val="2"/>
          </rPr>
          <t>wzr2hi:</t>
        </r>
        <r>
          <rPr>
            <sz val="8"/>
            <color indexed="81"/>
            <rFont val="Segoe UI"/>
            <family val="2"/>
          </rPr>
          <t xml:space="preserve">
[wzr2hi, 04.02.2021] 0x06a9  is not available in ST2.1  targets.</t>
        </r>
      </text>
    </comment>
    <comment ref="AD526" authorId="0" shapeId="0" xr:uid="{00000000-0006-0000-0000-0000CD010000}">
      <text>
        <r>
          <rPr>
            <b/>
            <sz val="8"/>
            <color indexed="81"/>
            <rFont val="Segoe UI"/>
            <family val="2"/>
          </rPr>
          <t>wzr2hi:</t>
        </r>
        <r>
          <rPr>
            <sz val="8"/>
            <color indexed="81"/>
            <rFont val="Segoe UI"/>
            <family val="2"/>
          </rPr>
          <t xml:space="preserve">
[wzr2hi, 04.02.2021] 0x06a9  is not available in ST2.1  targets.</t>
        </r>
      </text>
    </comment>
    <comment ref="R527" authorId="0" shapeId="0" xr:uid="{2A18346B-D4F8-46C4-B8CF-7E689199A61E}">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527" authorId="0" shapeId="0" xr:uid="{00000000-0006-0000-0000-0000CF010000}">
      <text>
        <r>
          <rPr>
            <b/>
            <sz val="8"/>
            <color indexed="81"/>
            <rFont val="Segoe UI"/>
            <family val="2"/>
          </rPr>
          <t>wzr2hi:</t>
        </r>
        <r>
          <rPr>
            <sz val="8"/>
            <color indexed="81"/>
            <rFont val="Segoe UI"/>
            <family val="2"/>
          </rPr>
          <t xml:space="preserve">
[wzr2hi, 20.07.2021] 0x06AA  is not available in ST2.1  targets.</t>
        </r>
      </text>
    </comment>
    <comment ref="R528" authorId="0" shapeId="0" xr:uid="{1427A0FF-B59D-4C16-B448-AD38AEE72BF6}">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528" authorId="0" shapeId="0" xr:uid="{00000000-0006-0000-0000-0000D1010000}">
      <text>
        <r>
          <rPr>
            <b/>
            <sz val="8"/>
            <color indexed="81"/>
            <rFont val="Segoe UI"/>
            <family val="2"/>
          </rPr>
          <t>wzr2hi:</t>
        </r>
        <r>
          <rPr>
            <sz val="8"/>
            <color indexed="81"/>
            <rFont val="Segoe UI"/>
            <family val="2"/>
          </rPr>
          <t xml:space="preserve">
[wzr2hi, 20.07.2021] 0x06AB  is not available in ST2.1  targets.</t>
        </r>
      </text>
    </comment>
    <comment ref="R529" authorId="0" shapeId="0" xr:uid="{00000000-0006-0000-0000-0000D2010000}">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529" authorId="0" shapeId="0" xr:uid="{00000000-0006-0000-0000-0000D3010000}">
      <text>
        <r>
          <rPr>
            <b/>
            <sz val="8"/>
            <color indexed="81"/>
            <rFont val="Segoe UI"/>
            <family val="2"/>
          </rPr>
          <t>wzr2hi:</t>
        </r>
        <r>
          <rPr>
            <sz val="8"/>
            <color indexed="81"/>
            <rFont val="Segoe UI"/>
            <family val="2"/>
          </rPr>
          <t xml:space="preserve">
[wzr2hi, 20.07.2021] 0x06AA  is not available in ST2.1  targets.</t>
        </r>
      </text>
    </comment>
    <comment ref="R530" authorId="0" shapeId="0" xr:uid="{7A5E6276-3DD6-4F0F-8A39-3907B090BA14}">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530" authorId="0" shapeId="0" xr:uid="{00000000-0006-0000-0000-0000D5010000}">
      <text>
        <r>
          <rPr>
            <b/>
            <sz val="8"/>
            <color indexed="81"/>
            <rFont val="Segoe UI"/>
            <family val="2"/>
          </rPr>
          <t>wzr2hi:</t>
        </r>
        <r>
          <rPr>
            <sz val="8"/>
            <color indexed="81"/>
            <rFont val="Segoe UI"/>
            <family val="2"/>
          </rPr>
          <t xml:space="preserve">
[wzr2hi, 20.07.2021] 0x06AA  is not available in ST2.1  targets.</t>
        </r>
      </text>
    </comment>
    <comment ref="R531" authorId="0" shapeId="0" xr:uid="{4DF5E0B9-1EF4-4EA2-BE5D-DDD4A05B1494}">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V531" authorId="0" shapeId="0" xr:uid="{00000000-0006-0000-0000-0000D7010000}">
      <text>
        <r>
          <rPr>
            <b/>
            <sz val="8"/>
            <color indexed="81"/>
            <rFont val="Segoe UI"/>
            <family val="2"/>
          </rPr>
          <t>wzr2hi:</t>
        </r>
        <r>
          <rPr>
            <sz val="8"/>
            <color indexed="81"/>
            <rFont val="Segoe UI"/>
            <family val="2"/>
          </rPr>
          <t xml:space="preserve">
Map-Data for Korea will never be available outside of Korea.</t>
        </r>
      </text>
    </comment>
    <comment ref="AD531" authorId="0" shapeId="0" xr:uid="{38D4A6DB-AF45-4AD8-9C8F-E4CB3AD066DF}">
      <text>
        <r>
          <rPr>
            <b/>
            <sz val="8"/>
            <color indexed="81"/>
            <rFont val="Segoe UI"/>
            <family val="2"/>
          </rPr>
          <t>wzr2hi:</t>
        </r>
        <r>
          <rPr>
            <sz val="8"/>
            <color indexed="81"/>
            <rFont val="Segoe UI"/>
            <family val="2"/>
          </rPr>
          <t xml:space="preserve">
[wzr2hi, 20.07.2021] 0x06AA  is not available in ST2.1  targets.</t>
        </r>
      </text>
    </comment>
    <comment ref="V532" authorId="0" shapeId="0" xr:uid="{00000000-0006-0000-0000-0000D9010000}">
      <text>
        <r>
          <rPr>
            <b/>
            <sz val="8"/>
            <color indexed="81"/>
            <rFont val="Segoe UI"/>
            <family val="2"/>
          </rPr>
          <t>wzr2hi:</t>
        </r>
        <r>
          <rPr>
            <sz val="8"/>
            <color indexed="81"/>
            <rFont val="Segoe UI"/>
            <family val="2"/>
          </rPr>
          <t xml:space="preserve">
Map-Data for Korea will never be available outside of Korea.</t>
        </r>
      </text>
    </comment>
    <comment ref="AD532" authorId="0" shapeId="0" xr:uid="{00000000-0006-0000-0000-0000DA010000}">
      <text>
        <r>
          <rPr>
            <b/>
            <sz val="8"/>
            <color indexed="81"/>
            <rFont val="Segoe UI"/>
            <family val="2"/>
          </rPr>
          <t>wzr2hi:</t>
        </r>
        <r>
          <rPr>
            <sz val="8"/>
            <color indexed="81"/>
            <rFont val="Segoe UI"/>
            <family val="2"/>
          </rPr>
          <t xml:space="preserve">
[wzr2hi, 20.07.2021] 0x06AB  is not available in ST2.1  targets.</t>
        </r>
      </text>
    </comment>
    <comment ref="AD533" authorId="0" shapeId="0" xr:uid="{00000000-0006-0000-0000-0000DB010000}">
      <text>
        <r>
          <rPr>
            <b/>
            <sz val="8"/>
            <color indexed="81"/>
            <rFont val="Segoe UI"/>
            <family val="2"/>
          </rPr>
          <t>wzr2hi:</t>
        </r>
        <r>
          <rPr>
            <sz val="8"/>
            <color indexed="81"/>
            <rFont val="Segoe UI"/>
            <family val="2"/>
          </rPr>
          <t xml:space="preserve">
[wzr2hi, 20.07.2021] 0x06AB  is not available in ST2.1  targets.</t>
        </r>
      </text>
    </comment>
    <comment ref="AD534" authorId="0" shapeId="0" xr:uid="{00000000-0006-0000-0000-0000DC010000}">
      <text>
        <r>
          <rPr>
            <b/>
            <sz val="8"/>
            <color indexed="81"/>
            <rFont val="Segoe UI"/>
            <family val="2"/>
          </rPr>
          <t>wzr2hi:</t>
        </r>
        <r>
          <rPr>
            <sz val="8"/>
            <color indexed="81"/>
            <rFont val="Segoe UI"/>
            <family val="2"/>
          </rPr>
          <t xml:space="preserve">
[wzr2hi, 20.07.2021] 0x06AB  is not available in ST2.1  targets.</t>
        </r>
      </text>
    </comment>
    <comment ref="AD535" authorId="0" shapeId="0" xr:uid="{00000000-0006-0000-0000-0000DD010000}">
      <text>
        <r>
          <rPr>
            <b/>
            <sz val="8"/>
            <color indexed="81"/>
            <rFont val="Segoe UI"/>
            <family val="2"/>
          </rPr>
          <t>wzr2hi:</t>
        </r>
        <r>
          <rPr>
            <sz val="8"/>
            <color indexed="81"/>
            <rFont val="Segoe UI"/>
            <family val="2"/>
          </rPr>
          <t xml:space="preserve">
[wzr2hi, 20.07.2021] 0x06AB  is not available in ST2.1  targets.</t>
        </r>
      </text>
    </comment>
    <comment ref="AD536" authorId="0" shapeId="0" xr:uid="{00000000-0006-0000-0000-0000DE010000}">
      <text>
        <r>
          <rPr>
            <b/>
            <sz val="8"/>
            <color indexed="81"/>
            <rFont val="Segoe UI"/>
            <family val="2"/>
          </rPr>
          <t>wzr2hi:</t>
        </r>
        <r>
          <rPr>
            <sz val="8"/>
            <color indexed="81"/>
            <rFont val="Segoe UI"/>
            <family val="2"/>
          </rPr>
          <t xml:space="preserve">
[wzr2hi, 20.07.2021] 0x06AB  is not available in ST2.1  targets.</t>
        </r>
      </text>
    </comment>
    <comment ref="AD537" authorId="0" shapeId="0" xr:uid="{00000000-0006-0000-0000-0000DF010000}">
      <text>
        <r>
          <rPr>
            <b/>
            <sz val="8"/>
            <color indexed="81"/>
            <rFont val="Segoe UI"/>
            <family val="2"/>
          </rPr>
          <t>wzr2hi:</t>
        </r>
        <r>
          <rPr>
            <sz val="8"/>
            <color indexed="81"/>
            <rFont val="Segoe UI"/>
            <family val="2"/>
          </rPr>
          <t xml:space="preserve">
[wzr2hi, 20.07.2021] 0x06AB  is not available in ST2.1  targets.</t>
        </r>
      </text>
    </comment>
    <comment ref="AD538" authorId="0" shapeId="0" xr:uid="{00000000-0006-0000-0000-0000E0010000}">
      <text>
        <r>
          <rPr>
            <b/>
            <sz val="8"/>
            <color indexed="81"/>
            <rFont val="Segoe UI"/>
            <family val="2"/>
          </rPr>
          <t>wzr2hi:</t>
        </r>
        <r>
          <rPr>
            <sz val="8"/>
            <color indexed="81"/>
            <rFont val="Segoe UI"/>
            <family val="2"/>
          </rPr>
          <t xml:space="preserve">
[wzr2hi, 20.07.2021] 0x06AB  is not available in ST2.1  targets.</t>
        </r>
      </text>
    </comment>
    <comment ref="AD539" authorId="0" shapeId="0" xr:uid="{00000000-0006-0000-0000-0000E1010000}">
      <text>
        <r>
          <rPr>
            <b/>
            <sz val="8"/>
            <color indexed="81"/>
            <rFont val="Segoe UI"/>
            <family val="2"/>
          </rPr>
          <t>wzr2hi:</t>
        </r>
        <r>
          <rPr>
            <sz val="8"/>
            <color indexed="81"/>
            <rFont val="Segoe UI"/>
            <family val="2"/>
          </rPr>
          <t xml:space="preserve">
[wzr2hi, 20.07.2021] 0x06AB  is not available in ST2.1  targets.</t>
        </r>
      </text>
    </comment>
    <comment ref="AD540" authorId="0" shapeId="0" xr:uid="{00000000-0006-0000-0000-0000E2010000}">
      <text>
        <r>
          <rPr>
            <b/>
            <sz val="8"/>
            <color indexed="81"/>
            <rFont val="Segoe UI"/>
            <family val="2"/>
          </rPr>
          <t>wzr2hi:</t>
        </r>
        <r>
          <rPr>
            <sz val="8"/>
            <color indexed="81"/>
            <rFont val="Segoe UI"/>
            <family val="2"/>
          </rPr>
          <t xml:space="preserve">
[wzr2hi, 20.07.2021] 0x06AB  is not available in ST2.1  targets.</t>
        </r>
      </text>
    </comment>
    <comment ref="V541" authorId="2" shapeId="0" xr:uid="{00000000-0006-0000-0000-0000E3010000}">
      <text>
        <r>
          <rPr>
            <b/>
            <sz val="9"/>
            <color indexed="81"/>
            <rFont val="Segoe UI"/>
            <family val="2"/>
          </rPr>
          <t>Hans-Joachim André:</t>
        </r>
        <r>
          <rPr>
            <sz val="9"/>
            <color indexed="81"/>
            <rFont val="Segoe UI"/>
            <family val="2"/>
          </rPr>
          <t xml:space="preserve">
[29.08.2018] No Renault-Mid map for MEX available!
[wzr2hi, 18.10.2018] According to Burkhard Kern. Full-Nav MEX will get MEX_ST2.1_R_ENTRY Data Carrier since there is no MEX_ST2.1_R_MID Data Carrier.</t>
        </r>
      </text>
    </comment>
    <comment ref="AD541" authorId="0" shapeId="0" xr:uid="{00000000-0006-0000-0000-0000E4010000}">
      <text>
        <r>
          <rPr>
            <b/>
            <sz val="8"/>
            <color indexed="81"/>
            <rFont val="Segoe UI"/>
            <family val="2"/>
          </rPr>
          <t>wzr2hi:</t>
        </r>
        <r>
          <rPr>
            <sz val="8"/>
            <color indexed="81"/>
            <rFont val="Segoe UI"/>
            <family val="2"/>
          </rPr>
          <t xml:space="preserve">
[wzr2hi, 20.07.2021] 0x06AB  is not available in ST2.1  targets.</t>
        </r>
      </text>
    </comment>
    <comment ref="AD542" authorId="0" shapeId="0" xr:uid="{00000000-0006-0000-0000-0000E5010000}">
      <text>
        <r>
          <rPr>
            <b/>
            <sz val="8"/>
            <color indexed="81"/>
            <rFont val="Segoe UI"/>
            <family val="2"/>
          </rPr>
          <t>wzr2hi:</t>
        </r>
        <r>
          <rPr>
            <sz val="8"/>
            <color indexed="81"/>
            <rFont val="Segoe UI"/>
            <family val="2"/>
          </rPr>
          <t xml:space="preserve">
[wzr2hi, 20.07.2021] 0x06AB  is not available in ST2.1  targets.</t>
        </r>
      </text>
    </comment>
    <comment ref="AD543" authorId="0" shapeId="0" xr:uid="{00000000-0006-0000-0000-0000E6010000}">
      <text>
        <r>
          <rPr>
            <b/>
            <sz val="8"/>
            <color indexed="81"/>
            <rFont val="Segoe UI"/>
            <family val="2"/>
          </rPr>
          <t>wzr2hi:</t>
        </r>
        <r>
          <rPr>
            <sz val="8"/>
            <color indexed="81"/>
            <rFont val="Segoe UI"/>
            <family val="2"/>
          </rPr>
          <t xml:space="preserve">
[wzr2hi, 20.07.2021] 0x06AB  is not available in ST2.1  targets.</t>
        </r>
      </text>
    </comment>
    <comment ref="AD544" authorId="0" shapeId="0" xr:uid="{00000000-0006-0000-0000-0000E8010000}">
      <text>
        <r>
          <rPr>
            <b/>
            <sz val="8"/>
            <color indexed="81"/>
            <rFont val="Segoe UI"/>
            <family val="2"/>
          </rPr>
          <t>wzr2hi:</t>
        </r>
        <r>
          <rPr>
            <sz val="8"/>
            <color indexed="81"/>
            <rFont val="Segoe UI"/>
            <family val="2"/>
          </rPr>
          <t xml:space="preserve">
[wzr2hi, 25.03.2019]
Nissan PIVI does not exist on ST2.0</t>
        </r>
      </text>
    </comment>
    <comment ref="AD545" authorId="0" shapeId="0" xr:uid="{00000000-0006-0000-0000-0000EA01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J546" authorId="0" shapeId="0" xr:uid="{00000000-0006-0000-0000-0000EB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546" authorId="0" shapeId="0" xr:uid="{00000000-0006-0000-0000-0000EC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547" authorId="0" shapeId="0" xr:uid="{00000000-0006-0000-0000-0000ED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547" authorId="0" shapeId="0" xr:uid="{00000000-0006-0000-0000-0000EE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551" authorId="0" shapeId="0" xr:uid="{47AB1EEF-314B-479E-84CD-2C7DC797B76A}">
      <text>
        <r>
          <rPr>
            <b/>
            <sz val="8"/>
            <color indexed="81"/>
            <rFont val="Segoe UI"/>
            <family val="2"/>
          </rPr>
          <t>wzr2hi:</t>
        </r>
        <r>
          <rPr>
            <sz val="8"/>
            <color indexed="81"/>
            <rFont val="Segoe UI"/>
            <family val="2"/>
          </rPr>
          <t xml:space="preserve">
[wzr2hi, 07.06.2018] 0x06a4 and rfs_nav_high is not available/usable in ST2.0 targets.</t>
        </r>
      </text>
    </comment>
    <comment ref="J552" authorId="0" shapeId="0" xr:uid="{95CF83A7-A28D-4BEA-885B-5186753D637F}">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552" authorId="0" shapeId="0" xr:uid="{B4631DA1-436B-4DC2-8AE9-DAEC6013C851}">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553" authorId="0" shapeId="0" xr:uid="{09500D22-9E8B-4269-AB13-209780CA08E6}">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553" authorId="0" shapeId="0" xr:uid="{098314CC-48EA-4374-B74C-304EB675213B}">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554" authorId="0" shapeId="0" xr:uid="{5D7E884C-00D6-42C6-AB47-D03E610CCC0D}">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5" authorId="0" shapeId="0" xr:uid="{9D3FA64F-3944-4AA5-943A-75ECC4D60D9F}">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6" authorId="0" shapeId="0" xr:uid="{BB62C742-5EB2-46F4-9510-1E01FED3CEB4}">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7" authorId="0" shapeId="0" xr:uid="{1796C0CF-D4B0-4251-AD8C-34F5050EF145}">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8" authorId="0" shapeId="0" xr:uid="{52E38D94-8197-40FA-9969-24D30D0123C4}">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9" authorId="0" shapeId="0" xr:uid="{21A34D06-1156-4A07-9170-A3D50E209FB8}">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60" authorId="0" shapeId="0" xr:uid="{58033E6B-6A7E-4250-844B-244504160017}">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61" authorId="0" shapeId="0" xr:uid="{D2FF5E00-52D2-4FB1-929D-86560BF7AD73}">
      <text>
        <r>
          <rPr>
            <b/>
            <sz val="8"/>
            <color indexed="81"/>
            <rFont val="Segoe UI"/>
            <family val="2"/>
          </rPr>
          <t>wzr2hi:</t>
        </r>
        <r>
          <rPr>
            <sz val="8"/>
            <color indexed="81"/>
            <rFont val="Segoe UI"/>
            <family val="2"/>
          </rPr>
          <t xml:space="preserve">
[wzr2hi, 04.02.2021] 0x06a9  is not available in ST2.1  targets.</t>
        </r>
      </text>
    </comment>
    <comment ref="AD562" authorId="0" shapeId="0" xr:uid="{6A211132-CCD9-4363-8291-881C59061A36}">
      <text>
        <r>
          <rPr>
            <b/>
            <sz val="8"/>
            <color indexed="81"/>
            <rFont val="Segoe UI"/>
            <family val="2"/>
          </rPr>
          <t>wzr2hi:</t>
        </r>
        <r>
          <rPr>
            <sz val="8"/>
            <color indexed="81"/>
            <rFont val="Segoe UI"/>
            <family val="2"/>
          </rPr>
          <t xml:space="preserve">
[wzr2hi, 04.02.2021] 0x06a9  is not available in ST2.1  targets.</t>
        </r>
      </text>
    </comment>
    <comment ref="AD563" authorId="0" shapeId="0" xr:uid="{96C9FFA1-82FB-4687-87F3-C78D6E4824D7}">
      <text>
        <r>
          <rPr>
            <b/>
            <sz val="8"/>
            <color indexed="81"/>
            <rFont val="Segoe UI"/>
            <family val="2"/>
          </rPr>
          <t>wzr2hi:</t>
        </r>
        <r>
          <rPr>
            <sz val="8"/>
            <color indexed="81"/>
            <rFont val="Segoe UI"/>
            <family val="2"/>
          </rPr>
          <t xml:space="preserve">
[wzr2hi, 04.02.2021] 0x06a9  is not available in ST2.1  targets.</t>
        </r>
      </text>
    </comment>
    <comment ref="AD564" authorId="0" shapeId="0" xr:uid="{D19E01EC-27CC-4D5C-B2F5-00D2A019B6A0}">
      <text>
        <r>
          <rPr>
            <b/>
            <sz val="8"/>
            <color indexed="81"/>
            <rFont val="Segoe UI"/>
            <family val="2"/>
          </rPr>
          <t>wzr2hi:</t>
        </r>
        <r>
          <rPr>
            <sz val="8"/>
            <color indexed="81"/>
            <rFont val="Segoe UI"/>
            <family val="2"/>
          </rPr>
          <t xml:space="preserve">
[wzr2hi, 04.02.2021] 0x06a9  is not available in ST2.1  targets.</t>
        </r>
      </text>
    </comment>
    <comment ref="AD565" authorId="0" shapeId="0" xr:uid="{F11553C4-0C81-4614-BF20-561134D0EE4E}">
      <text>
        <r>
          <rPr>
            <b/>
            <sz val="8"/>
            <color indexed="81"/>
            <rFont val="Segoe UI"/>
            <family val="2"/>
          </rPr>
          <t>wzr2hi:</t>
        </r>
        <r>
          <rPr>
            <sz val="8"/>
            <color indexed="81"/>
            <rFont val="Segoe UI"/>
            <family val="2"/>
          </rPr>
          <t xml:space="preserve">
[wzr2hi, 04.02.2021] 0x06a9  is not available in ST2.1  targets.</t>
        </r>
      </text>
    </comment>
    <comment ref="M566" authorId="0" shapeId="0" xr:uid="{00000000-0006-0000-0000-0000EF01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X566" authorId="1" shapeId="0" xr:uid="{00000000-0006-0000-0000-0000F0010000}">
      <text>
        <r>
          <rPr>
            <b/>
            <sz val="9"/>
            <color indexed="81"/>
            <rFont val="Segoe UI"/>
            <family val="2"/>
          </rPr>
          <t>Welz Ralph (CM-CI1/ERN1-ESW):</t>
        </r>
        <r>
          <rPr>
            <sz val="9"/>
            <color indexed="81"/>
            <rFont val="Segoe UI"/>
            <family val="2"/>
          </rPr>
          <t xml:space="preserve">
[wzr2hi, 09.07.2019] VM says FPGA for DTF is not updatable, but it also says that there is DTV.</t>
        </r>
      </text>
    </comment>
    <comment ref="Z566" authorId="1" shapeId="0" xr:uid="{00000000-0006-0000-0000-0000F101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66" authorId="0" shapeId="0" xr:uid="{00000000-0006-0000-0000-0000F2010000}">
      <text>
        <r>
          <rPr>
            <b/>
            <sz val="8"/>
            <color indexed="81"/>
            <rFont val="Segoe UI"/>
            <family val="2"/>
          </rPr>
          <t>wzr2hi:</t>
        </r>
        <r>
          <rPr>
            <sz val="8"/>
            <color indexed="81"/>
            <rFont val="Segoe UI"/>
            <family val="2"/>
          </rPr>
          <t xml:space="preserve">
[wzr2hi, 26.01.2018] Base-Unit was 7510750863-03 with FCID 0x0051</t>
        </r>
      </text>
    </comment>
    <comment ref="AD566" authorId="0" shapeId="0" xr:uid="{00000000-0006-0000-0000-0000F3010000}">
      <text>
        <r>
          <rPr>
            <b/>
            <sz val="8"/>
            <color indexed="81"/>
            <rFont val="Segoe UI"/>
            <family val="2"/>
          </rPr>
          <t>wzr2hi:</t>
        </r>
        <r>
          <rPr>
            <sz val="8"/>
            <color indexed="81"/>
            <rFont val="Segoe UI"/>
            <family val="2"/>
          </rPr>
          <t xml:space="preserve">
[wzr2hi, 21.06.2018]
RCAR-Enviroment is only available on ST3.x</t>
        </r>
      </text>
    </comment>
    <comment ref="M567" authorId="0" shapeId="0" xr:uid="{00000000-0006-0000-0000-0000F401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X567" authorId="1" shapeId="0" xr:uid="{00000000-0006-0000-0000-0000F5010000}">
      <text>
        <r>
          <rPr>
            <b/>
            <sz val="9"/>
            <color indexed="81"/>
            <rFont val="Segoe UI"/>
            <family val="2"/>
          </rPr>
          <t>Welz Ralph (CM-CI1/ERN1-ESW):</t>
        </r>
        <r>
          <rPr>
            <sz val="9"/>
            <color indexed="81"/>
            <rFont val="Segoe UI"/>
            <family val="2"/>
          </rPr>
          <t xml:space="preserve">
[wzr2hi, 09.07.2019] VM says FPGA for DTF is not updatable, but it also says that there is DTV.</t>
        </r>
      </text>
    </comment>
    <comment ref="Z567" authorId="1" shapeId="0" xr:uid="{00000000-0006-0000-0000-0000F601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67" authorId="0" shapeId="0" xr:uid="{00000000-0006-0000-0000-0000F7010000}">
      <text>
        <r>
          <rPr>
            <b/>
            <sz val="8"/>
            <color indexed="81"/>
            <rFont val="Segoe UI"/>
            <family val="2"/>
          </rPr>
          <t>wzr2hi:</t>
        </r>
        <r>
          <rPr>
            <sz val="8"/>
            <color indexed="81"/>
            <rFont val="Segoe UI"/>
            <family val="2"/>
          </rPr>
          <t xml:space="preserve">
[wzr2hi, 26.01.2018] Base-Unit was 7510750863-03 with FCID 0x0051</t>
        </r>
      </text>
    </comment>
    <comment ref="AD567" authorId="0" shapeId="0" xr:uid="{00000000-0006-0000-0000-0000F8010000}">
      <text>
        <r>
          <rPr>
            <b/>
            <sz val="8"/>
            <color indexed="81"/>
            <rFont val="Segoe UI"/>
            <family val="2"/>
          </rPr>
          <t>wzr2hi:</t>
        </r>
        <r>
          <rPr>
            <sz val="8"/>
            <color indexed="81"/>
            <rFont val="Segoe UI"/>
            <family val="2"/>
          </rPr>
          <t xml:space="preserve">
[wzr2hi, 21.06.2018]
RCAR-Enviroment is only available on ST3.x</t>
        </r>
      </text>
    </comment>
    <comment ref="T568" authorId="1" shapeId="0" xr:uid="{00000000-0006-0000-0000-0000F901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68" authorId="1" shapeId="0" xr:uid="{00000000-0006-0000-0000-0000FA01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68" authorId="0" shapeId="0" xr:uid="{00000000-0006-0000-0000-0000FB010000}">
      <text>
        <r>
          <rPr>
            <b/>
            <sz val="8"/>
            <color indexed="81"/>
            <rFont val="Segoe UI"/>
            <family val="2"/>
          </rPr>
          <t>wzr2hi:</t>
        </r>
        <r>
          <rPr>
            <sz val="8"/>
            <color indexed="81"/>
            <rFont val="Segoe UI"/>
            <family val="2"/>
          </rPr>
          <t xml:space="preserve">
[wzr2hi, 21.06.2018]
RCAR-Enviroment is only available on ST3.x</t>
        </r>
      </text>
    </comment>
    <comment ref="Z569" authorId="1" shapeId="0" xr:uid="{00000000-0006-0000-0000-0000FC01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69" authorId="0" shapeId="0" xr:uid="{00000000-0006-0000-0000-0000FD010000}">
      <text>
        <r>
          <rPr>
            <b/>
            <sz val="8"/>
            <color indexed="81"/>
            <rFont val="Segoe UI"/>
            <family val="2"/>
          </rPr>
          <t>wzr2hi:</t>
        </r>
        <r>
          <rPr>
            <sz val="8"/>
            <color indexed="81"/>
            <rFont val="Segoe UI"/>
            <family val="2"/>
          </rPr>
          <t xml:space="preserve">
[wzr2hi, 21.06.2018]
RCAR-Enviroment is only available on ST3.x</t>
        </r>
      </text>
    </comment>
    <comment ref="C570" authorId="4" shapeId="0" xr:uid="{00000000-0006-0000-0000-0000FE010000}">
      <text>
        <r>
          <rPr>
            <b/>
            <sz val="9"/>
            <color indexed="81"/>
            <rFont val="Segoe UI"/>
            <family val="2"/>
          </rPr>
          <t>wzr2hi:</t>
        </r>
        <r>
          <rPr>
            <sz val="9"/>
            <color indexed="81"/>
            <rFont val="Segoe UI"/>
            <family val="2"/>
          </rPr>
          <t xml:space="preserve">
[20.09.2018, wzr2hi] In A-IVI1 the internal Bosch-Navi for China was cancelled and DA used with external Box.
[20.09.2018, Willenborg]  In A-IVI2 we will have an internal 3rd-Party-Navi for China.</t>
        </r>
      </text>
    </comment>
    <comment ref="H570" authorId="0" shapeId="0" xr:uid="{00000000-0006-0000-0000-0000FF010000}">
      <text>
        <r>
          <rPr>
            <b/>
            <sz val="8"/>
            <color indexed="81"/>
            <rFont val="Segoe UI"/>
            <family val="2"/>
          </rPr>
          <t>wzr2hi:</t>
        </r>
        <r>
          <rPr>
            <sz val="8"/>
            <color indexed="81"/>
            <rFont val="Segoe UI"/>
            <family val="2"/>
          </rPr>
          <t xml:space="preserve">
[19.09.2018, wzr2hi] In AIVI we only have DA devices with external AT-Box. 
We do not have a China Encoder compiled for Gen4,</t>
        </r>
      </text>
    </comment>
    <comment ref="I570" authorId="0" shapeId="0" xr:uid="{00000000-0006-0000-0000-000000020000}">
      <text>
        <r>
          <rPr>
            <b/>
            <sz val="8"/>
            <color indexed="81"/>
            <rFont val="Segoe UI"/>
            <family val="2"/>
          </rPr>
          <t>wzr2hi:</t>
        </r>
        <r>
          <rPr>
            <sz val="8"/>
            <color indexed="81"/>
            <rFont val="Segoe UI"/>
            <family val="2"/>
          </rPr>
          <t xml:space="preserve">
[wzr2hi, 19.09.2018] In AIVI we only have DA with external AT-Box.
[wzr2hi, 10.12.2019 ] According to Olaf Lange there is no PRC-Nav in SOP-Calender anymore.</t>
        </r>
      </text>
    </comment>
    <comment ref="V570" authorId="0" shapeId="0" xr:uid="{00000000-0006-0000-0000-000001020000}">
      <text>
        <r>
          <rPr>
            <b/>
            <sz val="8"/>
            <color indexed="81"/>
            <rFont val="Segoe UI"/>
            <family val="2"/>
          </rPr>
          <t>wzr2hi:</t>
        </r>
        <r>
          <rPr>
            <sz val="8"/>
            <color indexed="81"/>
            <rFont val="Segoe UI"/>
            <family val="2"/>
          </rPr>
          <t xml:space="preserve">
[19.09.2018, wzr2hi] VM uses discarded symbolic name.
[19.09.2018, wzr2hi] In AIVI we only have DA+AT-Box. TBC.</t>
        </r>
      </text>
    </comment>
    <comment ref="Z570" authorId="1" shapeId="0" xr:uid="{00000000-0006-0000-0000-000002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0" authorId="0" shapeId="0" xr:uid="{00000000-0006-0000-0000-000003020000}">
      <text>
        <r>
          <rPr>
            <b/>
            <sz val="8"/>
            <color indexed="81"/>
            <rFont val="Segoe UI"/>
            <family val="2"/>
          </rPr>
          <t>wzr2hi:</t>
        </r>
        <r>
          <rPr>
            <sz val="8"/>
            <color indexed="81"/>
            <rFont val="Segoe UI"/>
            <family val="2"/>
          </rPr>
          <t xml:space="preserve">
[wzr2hi, 21.06.2018]
RCAR-Enviroment is only available on ST3.x</t>
        </r>
      </text>
    </comment>
    <comment ref="Z571" authorId="1" shapeId="0" xr:uid="{00000000-0006-0000-0000-000004020000}">
      <text>
        <r>
          <rPr>
            <b/>
            <sz val="9"/>
            <color indexed="81"/>
            <rFont val="Segoe UI"/>
            <family val="2"/>
          </rPr>
          <t>Welz Ralph (CM-CI1/ERN1-ESW):</t>
        </r>
        <r>
          <rPr>
            <sz val="9"/>
            <color indexed="81"/>
            <rFont val="Segoe UI"/>
            <family val="2"/>
          </rPr>
          <t xml:space="preserve">
[wzr2hi, 09.07.2019] Update of the serial NOR requires a initial preflash of the NOR to allow update at all. This was not done for B2-Samples. So update most likely will not work and we need to set this to "not updatable".</t>
        </r>
      </text>
    </comment>
    <comment ref="AD571" authorId="0" shapeId="0" xr:uid="{00000000-0006-0000-0000-000005020000}">
      <text>
        <r>
          <rPr>
            <b/>
            <sz val="8"/>
            <color indexed="81"/>
            <rFont val="Segoe UI"/>
            <family val="2"/>
          </rPr>
          <t>wzr2hi:</t>
        </r>
        <r>
          <rPr>
            <sz val="8"/>
            <color indexed="81"/>
            <rFont val="Segoe UI"/>
            <family val="2"/>
          </rPr>
          <t xml:space="preserve">
[wzr2hi, 21.06.2018]
RCAR-Enviroment is only available on ST3.x</t>
        </r>
      </text>
    </comment>
    <comment ref="T572" authorId="1" shapeId="0" xr:uid="{00000000-0006-0000-0000-000006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72" authorId="1" shapeId="0" xr:uid="{00000000-0006-0000-0000-000007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2" authorId="0" shapeId="0" xr:uid="{00000000-0006-0000-0000-000008020000}">
      <text>
        <r>
          <rPr>
            <b/>
            <sz val="8"/>
            <color indexed="81"/>
            <rFont val="Segoe UI"/>
            <family val="2"/>
          </rPr>
          <t>wzr2hi:</t>
        </r>
        <r>
          <rPr>
            <sz val="8"/>
            <color indexed="81"/>
            <rFont val="Segoe UI"/>
            <family val="2"/>
          </rPr>
          <t xml:space="preserve">
[wzr2hi, 21.06.2018]
RCAR-Enviroment is only available on ST3.x</t>
        </r>
      </text>
    </comment>
    <comment ref="N573" authorId="0" shapeId="0" xr:uid="{00000000-0006-0000-0000-000009020000}">
      <text>
        <r>
          <rPr>
            <b/>
            <sz val="8"/>
            <color indexed="81"/>
            <rFont val="Segoe UI"/>
            <family val="2"/>
          </rPr>
          <t>wzr2hi:</t>
        </r>
        <r>
          <rPr>
            <sz val="8"/>
            <color indexed="81"/>
            <rFont val="Segoe UI"/>
            <family val="2"/>
          </rPr>
          <t xml:space="preserve">
[wzr2hi, 19.09.2018] eMMC-Partitioning not yet clear.
</t>
        </r>
      </text>
    </comment>
    <comment ref="Z573" authorId="1" shapeId="0" xr:uid="{00000000-0006-0000-0000-00000A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3" authorId="0" shapeId="0" xr:uid="{00000000-0006-0000-0000-00000B020000}">
      <text>
        <r>
          <rPr>
            <b/>
            <sz val="8"/>
            <color indexed="81"/>
            <rFont val="Segoe UI"/>
            <family val="2"/>
          </rPr>
          <t>wzr2hi:</t>
        </r>
        <r>
          <rPr>
            <sz val="8"/>
            <color indexed="81"/>
            <rFont val="Segoe UI"/>
            <family val="2"/>
          </rPr>
          <t xml:space="preserve">
[wzr2hi, 21.06.2018]
RCAR-Enviroment is only available on ST3.x</t>
        </r>
      </text>
    </comment>
    <comment ref="M574" authorId="0" shapeId="0" xr:uid="{00000000-0006-0000-0000-00000C02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T574" authorId="1" shapeId="0" xr:uid="{00000000-0006-0000-0000-00000D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74" authorId="1" shapeId="0" xr:uid="{00000000-0006-0000-0000-00000E02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74" authorId="0" shapeId="0" xr:uid="{00000000-0006-0000-0000-00000F020000}">
      <text>
        <r>
          <rPr>
            <b/>
            <sz val="8"/>
            <color indexed="81"/>
            <rFont val="Segoe UI"/>
            <family val="2"/>
          </rPr>
          <t>wzr2hi:</t>
        </r>
        <r>
          <rPr>
            <sz val="8"/>
            <color indexed="81"/>
            <rFont val="Segoe UI"/>
            <family val="2"/>
          </rPr>
          <t xml:space="preserve">
[wzr2hi, 26.01.2018] Base-Unit was 7510750863-03 with FCID 0x0051</t>
        </r>
      </text>
    </comment>
    <comment ref="AD574" authorId="0" shapeId="0" xr:uid="{00000000-0006-0000-0000-000010020000}">
      <text>
        <r>
          <rPr>
            <b/>
            <sz val="8"/>
            <color indexed="81"/>
            <rFont val="Segoe UI"/>
            <family val="2"/>
          </rPr>
          <t>wzr2hi:</t>
        </r>
        <r>
          <rPr>
            <sz val="8"/>
            <color indexed="81"/>
            <rFont val="Segoe UI"/>
            <family val="2"/>
          </rPr>
          <t xml:space="preserve">
[wzr2hi, 21.06.2018]
RCAR-Enviroment is only available on ST3.x</t>
        </r>
      </text>
    </comment>
    <comment ref="M575" authorId="0" shapeId="0" xr:uid="{00000000-0006-0000-0000-00001102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T575" authorId="1" shapeId="0" xr:uid="{00000000-0006-0000-0000-000012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75" authorId="1" shapeId="0" xr:uid="{00000000-0006-0000-0000-00001302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75" authorId="0" shapeId="0" xr:uid="{00000000-0006-0000-0000-000014020000}">
      <text>
        <r>
          <rPr>
            <b/>
            <sz val="8"/>
            <color indexed="81"/>
            <rFont val="Segoe UI"/>
            <family val="2"/>
          </rPr>
          <t>wzr2hi:</t>
        </r>
        <r>
          <rPr>
            <sz val="8"/>
            <color indexed="81"/>
            <rFont val="Segoe UI"/>
            <family val="2"/>
          </rPr>
          <t xml:space="preserve">
[wzr2hi, 26.01.2018] Base-Unit was 7510750863-03 with FCID 0x0051</t>
        </r>
      </text>
    </comment>
    <comment ref="AD575" authorId="0" shapeId="0" xr:uid="{00000000-0006-0000-0000-000015020000}">
      <text>
        <r>
          <rPr>
            <b/>
            <sz val="8"/>
            <color indexed="81"/>
            <rFont val="Segoe UI"/>
            <family val="2"/>
          </rPr>
          <t>wzr2hi:</t>
        </r>
        <r>
          <rPr>
            <sz val="8"/>
            <color indexed="81"/>
            <rFont val="Segoe UI"/>
            <family val="2"/>
          </rPr>
          <t xml:space="preserve">
[wzr2hi, 21.06.2018]
RCAR-Enviroment is only available on ST3.x</t>
        </r>
      </text>
    </comment>
    <comment ref="M576" authorId="0" shapeId="0" xr:uid="{00000000-0006-0000-0000-00001602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Z576" authorId="1" shapeId="0" xr:uid="{00000000-0006-0000-0000-00001702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76" authorId="0" shapeId="0" xr:uid="{00000000-0006-0000-0000-000018020000}">
      <text>
        <r>
          <rPr>
            <b/>
            <sz val="8"/>
            <color indexed="81"/>
            <rFont val="Segoe UI"/>
            <family val="2"/>
          </rPr>
          <t>wzr2hi:</t>
        </r>
        <r>
          <rPr>
            <sz val="8"/>
            <color indexed="81"/>
            <rFont val="Segoe UI"/>
            <family val="2"/>
          </rPr>
          <t xml:space="preserve">
[wzr2hi, 26.01.2018] Base-Unit was 7510750863-03 with FCID 0x0051</t>
        </r>
      </text>
    </comment>
    <comment ref="AD576" authorId="0" shapeId="0" xr:uid="{00000000-0006-0000-0000-000019020000}">
      <text>
        <r>
          <rPr>
            <b/>
            <sz val="8"/>
            <color indexed="81"/>
            <rFont val="Segoe UI"/>
            <family val="2"/>
          </rPr>
          <t>wzr2hi:</t>
        </r>
        <r>
          <rPr>
            <sz val="8"/>
            <color indexed="81"/>
            <rFont val="Segoe UI"/>
            <family val="2"/>
          </rPr>
          <t xml:space="preserve">
[wzr2hi, 21.06.2018]
RCAR-Enviroment is only available on ST3.x</t>
        </r>
      </text>
    </comment>
    <comment ref="M577" authorId="0" shapeId="0" xr:uid="{00000000-0006-0000-0000-00001A02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Z577" authorId="1" shapeId="0" xr:uid="{00000000-0006-0000-0000-00001B02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77" authorId="0" shapeId="0" xr:uid="{00000000-0006-0000-0000-00001C020000}">
      <text>
        <r>
          <rPr>
            <b/>
            <sz val="8"/>
            <color indexed="81"/>
            <rFont val="Segoe UI"/>
            <family val="2"/>
          </rPr>
          <t>wzr2hi:</t>
        </r>
        <r>
          <rPr>
            <sz val="8"/>
            <color indexed="81"/>
            <rFont val="Segoe UI"/>
            <family val="2"/>
          </rPr>
          <t xml:space="preserve">
[wzr2hi, 26.01.2018] Base-Unit was 7510750863-03 with FCID 0x0051</t>
        </r>
      </text>
    </comment>
    <comment ref="AD577" authorId="0" shapeId="0" xr:uid="{00000000-0006-0000-0000-00001D020000}">
      <text>
        <r>
          <rPr>
            <b/>
            <sz val="8"/>
            <color indexed="81"/>
            <rFont val="Segoe UI"/>
            <family val="2"/>
          </rPr>
          <t>wzr2hi:</t>
        </r>
        <r>
          <rPr>
            <sz val="8"/>
            <color indexed="81"/>
            <rFont val="Segoe UI"/>
            <family val="2"/>
          </rPr>
          <t xml:space="preserve">
[wzr2hi, 21.06.2018]
RCAR-Enviroment is only available on ST3.x</t>
        </r>
      </text>
    </comment>
    <comment ref="T578" authorId="1" shapeId="0" xr:uid="{00000000-0006-0000-0000-00001E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78" authorId="1" shapeId="0" xr:uid="{00000000-0006-0000-0000-00001F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8" authorId="0" shapeId="0" xr:uid="{00000000-0006-0000-0000-000020020000}">
      <text>
        <r>
          <rPr>
            <b/>
            <sz val="8"/>
            <color indexed="81"/>
            <rFont val="Segoe UI"/>
            <family val="2"/>
          </rPr>
          <t>wzr2hi:</t>
        </r>
        <r>
          <rPr>
            <sz val="8"/>
            <color indexed="81"/>
            <rFont val="Segoe UI"/>
            <family val="2"/>
          </rPr>
          <t xml:space="preserve">
[wzr2hi, 21.06.2018]
RCAR-Enviroment is only available on ST3.x</t>
        </r>
      </text>
    </comment>
    <comment ref="Z579" authorId="1" shapeId="0" xr:uid="{00000000-0006-0000-0000-000021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9" authorId="0" shapeId="0" xr:uid="{00000000-0006-0000-0000-000022020000}">
      <text>
        <r>
          <rPr>
            <b/>
            <sz val="8"/>
            <color indexed="81"/>
            <rFont val="Segoe UI"/>
            <family val="2"/>
          </rPr>
          <t>wzr2hi:</t>
        </r>
        <r>
          <rPr>
            <sz val="8"/>
            <color indexed="81"/>
            <rFont val="Segoe UI"/>
            <family val="2"/>
          </rPr>
          <t xml:space="preserve">
[wzr2hi, 21.06.2018]
RCAR-Enviroment is only available on ST3.x</t>
        </r>
      </text>
    </comment>
    <comment ref="C580" authorId="4" shapeId="0" xr:uid="{00000000-0006-0000-0000-000023020000}">
      <text>
        <r>
          <rPr>
            <b/>
            <sz val="9"/>
            <color indexed="81"/>
            <rFont val="Segoe UI"/>
            <family val="2"/>
          </rPr>
          <t>wzr2hi:</t>
        </r>
        <r>
          <rPr>
            <sz val="9"/>
            <color indexed="81"/>
            <rFont val="Segoe UI"/>
            <family val="2"/>
          </rPr>
          <t xml:space="preserve">
[20.09.2018, wzr2hi] In A-IVI1 the internal Bosch-Navi for China was cancelled and DA used with external Box.
[20.09.2018, Willenborg]  In A-IVI2 we will have an internal 3rd-Party-Navi for China.</t>
        </r>
      </text>
    </comment>
    <comment ref="H580" authorId="0" shapeId="0" xr:uid="{00000000-0006-0000-0000-000024020000}">
      <text>
        <r>
          <rPr>
            <b/>
            <sz val="8"/>
            <color indexed="81"/>
            <rFont val="Segoe UI"/>
            <family val="2"/>
          </rPr>
          <t>wzr2hi:</t>
        </r>
        <r>
          <rPr>
            <sz val="8"/>
            <color indexed="81"/>
            <rFont val="Segoe UI"/>
            <family val="2"/>
          </rPr>
          <t xml:space="preserve">
[19.09.2018, wzr2hi] In AIVI we only have DA devices with external AT-Box. 
We do not have a China Encoder compiled for Gen4,</t>
        </r>
      </text>
    </comment>
    <comment ref="I580" authorId="0" shapeId="0" xr:uid="{00000000-0006-0000-0000-000025020000}">
      <text>
        <r>
          <rPr>
            <b/>
            <sz val="8"/>
            <color indexed="81"/>
            <rFont val="Segoe UI"/>
            <family val="2"/>
          </rPr>
          <t>wzr2hi:</t>
        </r>
        <r>
          <rPr>
            <sz val="8"/>
            <color indexed="81"/>
            <rFont val="Segoe UI"/>
            <family val="2"/>
          </rPr>
          <t xml:space="preserve">
[wzr2hi, 19.09.2018] In AIVI we only have DA with external AT-Box.
[wzr2hi, 10.12.2019 ] According to Olaf Lange there is no PRC-Nav in SOP-Calender anymore.</t>
        </r>
      </text>
    </comment>
    <comment ref="Z580" authorId="1" shapeId="0" xr:uid="{00000000-0006-0000-0000-000026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80" authorId="0" shapeId="0" xr:uid="{00000000-0006-0000-0000-000027020000}">
      <text>
        <r>
          <rPr>
            <b/>
            <sz val="8"/>
            <color indexed="81"/>
            <rFont val="Segoe UI"/>
            <family val="2"/>
          </rPr>
          <t>wzr2hi:</t>
        </r>
        <r>
          <rPr>
            <sz val="8"/>
            <color indexed="81"/>
            <rFont val="Segoe UI"/>
            <family val="2"/>
          </rPr>
          <t xml:space="preserve">
[wzr2hi, 21.06.2018]
RCAR-Enviroment is only available on ST3.x</t>
        </r>
      </text>
    </comment>
    <comment ref="Z581" authorId="1" shapeId="0" xr:uid="{00000000-0006-0000-0000-000028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81" authorId="0" shapeId="0" xr:uid="{00000000-0006-0000-0000-000029020000}">
      <text>
        <r>
          <rPr>
            <b/>
            <sz val="8"/>
            <color indexed="81"/>
            <rFont val="Segoe UI"/>
            <family val="2"/>
          </rPr>
          <t>wzr2hi:</t>
        </r>
        <r>
          <rPr>
            <sz val="8"/>
            <color indexed="81"/>
            <rFont val="Segoe UI"/>
            <family val="2"/>
          </rPr>
          <t xml:space="preserve">
[wzr2hi, 21.06.2018]
RCAR-Enviroment is only available on ST3.x</t>
        </r>
      </text>
    </comment>
    <comment ref="Z582" authorId="1" shapeId="0" xr:uid="{00000000-0006-0000-0000-00002A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82" authorId="0" shapeId="0" xr:uid="{00000000-0006-0000-0000-00002B020000}">
      <text>
        <r>
          <rPr>
            <b/>
            <sz val="8"/>
            <color indexed="81"/>
            <rFont val="Segoe UI"/>
            <family val="2"/>
          </rPr>
          <t>wzr2hi:</t>
        </r>
        <r>
          <rPr>
            <sz val="8"/>
            <color indexed="81"/>
            <rFont val="Segoe UI"/>
            <family val="2"/>
          </rPr>
          <t xml:space="preserve">
[wzr2hi, 21.06.2018]
RCAR-Enviroment is only available on ST3.x</t>
        </r>
      </text>
    </comment>
    <comment ref="T583" authorId="1" shapeId="0" xr:uid="{00000000-0006-0000-0000-00002C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83" authorId="0" shapeId="0" xr:uid="{00000000-0006-0000-0000-00002D020000}">
      <text>
        <r>
          <rPr>
            <b/>
            <sz val="8"/>
            <color indexed="81"/>
            <rFont val="Segoe UI"/>
            <family val="2"/>
          </rPr>
          <t>wzr2hi:</t>
        </r>
        <r>
          <rPr>
            <sz val="8"/>
            <color indexed="81"/>
            <rFont val="Segoe UI"/>
            <family val="2"/>
          </rPr>
          <t xml:space="preserve">
[wzr2hi, 21.06.2018]
RCAR-Enviroment is only available on ST3.x</t>
        </r>
      </text>
    </comment>
    <comment ref="T584" authorId="1" shapeId="0" xr:uid="{00000000-0006-0000-0000-00002E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84" authorId="0" shapeId="0" xr:uid="{00000000-0006-0000-0000-00002F020000}">
      <text>
        <r>
          <rPr>
            <b/>
            <sz val="8"/>
            <color indexed="81"/>
            <rFont val="Segoe UI"/>
            <family val="2"/>
          </rPr>
          <t>wzr2hi:</t>
        </r>
        <r>
          <rPr>
            <sz val="8"/>
            <color indexed="81"/>
            <rFont val="Segoe UI"/>
            <family val="2"/>
          </rPr>
          <t xml:space="preserve">
[wzr2hi, 18.03.2019]
RCAR-Enviroment is only available on ST3.x</t>
        </r>
      </text>
    </comment>
    <comment ref="AD585" authorId="0" shapeId="0" xr:uid="{00000000-0006-0000-0000-000030020000}">
      <text>
        <r>
          <rPr>
            <b/>
            <sz val="8"/>
            <color indexed="81"/>
            <rFont val="Segoe UI"/>
            <family val="2"/>
          </rPr>
          <t>wzr2hi:</t>
        </r>
        <r>
          <rPr>
            <sz val="8"/>
            <color indexed="81"/>
            <rFont val="Segoe UI"/>
            <family val="2"/>
          </rPr>
          <t xml:space="preserve">
[wzr2hi, 18.03.2019]
RCAR-Enviroment is only available on ST3.x</t>
        </r>
      </text>
    </comment>
    <comment ref="AD586" authorId="0" shapeId="0" xr:uid="{00000000-0006-0000-0000-000031020000}">
      <text>
        <r>
          <rPr>
            <b/>
            <sz val="8"/>
            <color indexed="81"/>
            <rFont val="Segoe UI"/>
            <family val="2"/>
          </rPr>
          <t>wzr2hi:</t>
        </r>
        <r>
          <rPr>
            <sz val="8"/>
            <color indexed="81"/>
            <rFont val="Segoe UI"/>
            <family val="2"/>
          </rPr>
          <t xml:space="preserve">
[wzr2hi, 18.03.2019]
RCAR-Enviroment is only available on ST3.x</t>
        </r>
      </text>
    </comment>
    <comment ref="T587" authorId="1" shapeId="0" xr:uid="{00000000-0006-0000-0000-000032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87" authorId="0" shapeId="0" xr:uid="{00000000-0006-0000-0000-000033020000}">
      <text>
        <r>
          <rPr>
            <b/>
            <sz val="8"/>
            <color indexed="81"/>
            <rFont val="Segoe UI"/>
            <family val="2"/>
          </rPr>
          <t>wzr2hi:</t>
        </r>
        <r>
          <rPr>
            <sz val="8"/>
            <color indexed="81"/>
            <rFont val="Segoe UI"/>
            <family val="2"/>
          </rPr>
          <t xml:space="preserve">
[wzr2hi, 18.03.2019]
RCAR-Enviroment is only available on ST3.x</t>
        </r>
      </text>
    </comment>
    <comment ref="O588" authorId="5" shapeId="0" xr:uid="{E2E7EA81-10C5-4CA4-AA66-BB7AF4B754FB}">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 16.01.2023] According to Marcus Fach the new SDB Spec Sheet is confirmed by Nissan and Renault. Nissan CCS1.5 DA devices get EUR_FSG. However, implementation of this old sample is still EUR_NLU as of now..</t>
        </r>
      </text>
    </comment>
    <comment ref="AD588" authorId="0" shapeId="0" xr:uid="{00000000-0006-0000-0000-000034020000}">
      <text>
        <r>
          <rPr>
            <b/>
            <sz val="8"/>
            <color indexed="81"/>
            <rFont val="Segoe UI"/>
            <family val="2"/>
          </rPr>
          <t>wzr2hi:</t>
        </r>
        <r>
          <rPr>
            <sz val="8"/>
            <color indexed="81"/>
            <rFont val="Segoe UI"/>
            <family val="2"/>
          </rPr>
          <t xml:space="preserve">
[wzr2hi, 18.03.2019]
RCAR-Enviroment is only available on ST3.x</t>
        </r>
      </text>
    </comment>
    <comment ref="T589" authorId="1" shapeId="0" xr:uid="{00000000-0006-0000-0000-000035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89" authorId="0" shapeId="0" xr:uid="{00000000-0006-0000-0000-000036020000}">
      <text>
        <r>
          <rPr>
            <b/>
            <sz val="8"/>
            <color indexed="81"/>
            <rFont val="Segoe UI"/>
            <family val="2"/>
          </rPr>
          <t>wzr2hi:</t>
        </r>
        <r>
          <rPr>
            <sz val="8"/>
            <color indexed="81"/>
            <rFont val="Segoe UI"/>
            <family val="2"/>
          </rPr>
          <t xml:space="preserve">
[wzr2hi, 18.03.2019]
RCAR-Enviroment is only available on ST3.x</t>
        </r>
      </text>
    </comment>
    <comment ref="T590" authorId="1" shapeId="0" xr:uid="{00000000-0006-0000-0000-000037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90" authorId="0" shapeId="0" xr:uid="{00000000-0006-0000-0000-000038020000}">
      <text>
        <r>
          <rPr>
            <b/>
            <sz val="8"/>
            <color indexed="81"/>
            <rFont val="Segoe UI"/>
            <family val="2"/>
          </rPr>
          <t>wzr2hi:</t>
        </r>
        <r>
          <rPr>
            <sz val="8"/>
            <color indexed="81"/>
            <rFont val="Segoe UI"/>
            <family val="2"/>
          </rPr>
          <t xml:space="preserve">
[wzr2hi, 18.03.2019]
RCAR-Enviroment is only available on ST3.x</t>
        </r>
      </text>
    </comment>
    <comment ref="AD591" authorId="0" shapeId="0" xr:uid="{00000000-0006-0000-0000-000039020000}">
      <text>
        <r>
          <rPr>
            <b/>
            <sz val="8"/>
            <color indexed="81"/>
            <rFont val="Segoe UI"/>
            <family val="2"/>
          </rPr>
          <t>wzr2hi:</t>
        </r>
        <r>
          <rPr>
            <sz val="8"/>
            <color indexed="81"/>
            <rFont val="Segoe UI"/>
            <family val="2"/>
          </rPr>
          <t xml:space="preserve">
[wzr2hi, 18.03.2019]
RCAR-Enviroment is only available on ST3.x</t>
        </r>
      </text>
    </comment>
    <comment ref="AD592" authorId="0" shapeId="0" xr:uid="{00000000-0006-0000-0000-00003A020000}">
      <text>
        <r>
          <rPr>
            <b/>
            <sz val="8"/>
            <color indexed="81"/>
            <rFont val="Segoe UI"/>
            <family val="2"/>
          </rPr>
          <t>wzr2hi:</t>
        </r>
        <r>
          <rPr>
            <sz val="8"/>
            <color indexed="81"/>
            <rFont val="Segoe UI"/>
            <family val="2"/>
          </rPr>
          <t xml:space="preserve">
[wzr2hi, 18.03.2019]
RCAR-Enviroment is only available on ST3.x</t>
        </r>
      </text>
    </comment>
    <comment ref="AD593" authorId="0" shapeId="0" xr:uid="{00000000-0006-0000-0000-00003B020000}">
      <text>
        <r>
          <rPr>
            <b/>
            <sz val="8"/>
            <color indexed="81"/>
            <rFont val="Segoe UI"/>
            <family val="2"/>
          </rPr>
          <t>wzr2hi:</t>
        </r>
        <r>
          <rPr>
            <sz val="8"/>
            <color indexed="81"/>
            <rFont val="Segoe UI"/>
            <family val="2"/>
          </rPr>
          <t xml:space="preserve">
[wzr2hi, 18.03.2019]
RCAR-Enviroment is only available on ST3.x</t>
        </r>
      </text>
    </comment>
    <comment ref="T594" authorId="1" shapeId="0" xr:uid="{00000000-0006-0000-0000-00003C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594" authorId="0" shapeId="0" xr:uid="{00000000-0006-0000-0000-00003D020000}">
      <text>
        <r>
          <rPr>
            <b/>
            <sz val="8"/>
            <color indexed="81"/>
            <rFont val="Segoe UI"/>
            <family val="2"/>
          </rPr>
          <t>wzr2hi:</t>
        </r>
        <r>
          <rPr>
            <sz val="8"/>
            <color indexed="81"/>
            <rFont val="Segoe UI"/>
            <family val="2"/>
          </rPr>
          <t xml:space="preserve">
[wzr2hi, 18.03.2019]
RCAR-Enviroment is only available on ST3.x</t>
        </r>
      </text>
    </comment>
    <comment ref="AD595" authorId="0" shapeId="0" xr:uid="{00000000-0006-0000-0000-00003E020000}">
      <text>
        <r>
          <rPr>
            <b/>
            <sz val="8"/>
            <color indexed="81"/>
            <rFont val="Segoe UI"/>
            <family val="2"/>
          </rPr>
          <t>wzr2hi:</t>
        </r>
        <r>
          <rPr>
            <sz val="8"/>
            <color indexed="81"/>
            <rFont val="Segoe UI"/>
            <family val="2"/>
          </rPr>
          <t xml:space="preserve">
[wzr2hi, 18.03.2019]
RCAR-Enviroment is only available on ST3.x</t>
        </r>
      </text>
    </comment>
    <comment ref="AD596" authorId="0" shapeId="0" xr:uid="{00000000-0006-0000-0000-00003F020000}">
      <text>
        <r>
          <rPr>
            <b/>
            <sz val="8"/>
            <color indexed="81"/>
            <rFont val="Segoe UI"/>
            <family val="2"/>
          </rPr>
          <t>wzr2hi:</t>
        </r>
        <r>
          <rPr>
            <sz val="8"/>
            <color indexed="81"/>
            <rFont val="Segoe UI"/>
            <family val="2"/>
          </rPr>
          <t xml:space="preserve">
[wzr2hi, 18.03.2019]
RCAR-Enviroment is only available on ST3.x</t>
        </r>
      </text>
    </comment>
    <comment ref="AD597" authorId="0" shapeId="0" xr:uid="{00000000-0006-0000-0000-000040020000}">
      <text>
        <r>
          <rPr>
            <b/>
            <sz val="8"/>
            <color indexed="81"/>
            <rFont val="Segoe UI"/>
            <family val="2"/>
          </rPr>
          <t>wzr2hi:</t>
        </r>
        <r>
          <rPr>
            <sz val="8"/>
            <color indexed="81"/>
            <rFont val="Segoe UI"/>
            <family val="2"/>
          </rPr>
          <t xml:space="preserve">
[wzr2hi, 18.03.2019]
RCAR-Enviroment is only available on ST3.x</t>
        </r>
      </text>
    </comment>
    <comment ref="AD598" authorId="0" shapeId="0" xr:uid="{00000000-0006-0000-0000-000041020000}">
      <text>
        <r>
          <rPr>
            <b/>
            <sz val="8"/>
            <color indexed="81"/>
            <rFont val="Segoe UI"/>
            <family val="2"/>
          </rPr>
          <t>wzr2hi:</t>
        </r>
        <r>
          <rPr>
            <sz val="8"/>
            <color indexed="81"/>
            <rFont val="Segoe UI"/>
            <family val="2"/>
          </rPr>
          <t xml:space="preserve">
[wzr2hi, 18.03.2019]
RCAR-Enviroment is only available on ST3.x</t>
        </r>
      </text>
    </comment>
    <comment ref="AD599" authorId="0" shapeId="0" xr:uid="{00000000-0006-0000-0000-000042020000}">
      <text>
        <r>
          <rPr>
            <b/>
            <sz val="8"/>
            <color indexed="81"/>
            <rFont val="Segoe UI"/>
            <family val="2"/>
          </rPr>
          <t>wzr2hi:</t>
        </r>
        <r>
          <rPr>
            <sz val="8"/>
            <color indexed="81"/>
            <rFont val="Segoe UI"/>
            <family val="2"/>
          </rPr>
          <t xml:space="preserve">
[wzr2hi, 18.03.2019]
RCAR-Enviroment is only available on ST3.x</t>
        </r>
      </text>
    </comment>
    <comment ref="AD600" authorId="0" shapeId="0" xr:uid="{00000000-0006-0000-0000-000043020000}">
      <text>
        <r>
          <rPr>
            <b/>
            <sz val="8"/>
            <color indexed="81"/>
            <rFont val="Segoe UI"/>
            <family val="2"/>
          </rPr>
          <t>wzr2hi:</t>
        </r>
        <r>
          <rPr>
            <sz val="8"/>
            <color indexed="81"/>
            <rFont val="Segoe UI"/>
            <family val="2"/>
          </rPr>
          <t xml:space="preserve">
[wzr2hi, 18.03.2019]
RCAR-Enviroment is only available on ST3.x</t>
        </r>
      </text>
    </comment>
    <comment ref="AD601" authorId="0" shapeId="0" xr:uid="{00000000-0006-0000-0000-000044020000}">
      <text>
        <r>
          <rPr>
            <b/>
            <sz val="8"/>
            <color indexed="81"/>
            <rFont val="Segoe UI"/>
            <family val="2"/>
          </rPr>
          <t>wzr2hi:</t>
        </r>
        <r>
          <rPr>
            <sz val="8"/>
            <color indexed="81"/>
            <rFont val="Segoe UI"/>
            <family val="2"/>
          </rPr>
          <t xml:space="preserve">
[wzr2hi, 18.03.2019]
RCAR-Enviroment is only available on ST3.x</t>
        </r>
      </text>
    </comment>
    <comment ref="AD602" authorId="0" shapeId="0" xr:uid="{00000000-0006-0000-0000-000045020000}">
      <text>
        <r>
          <rPr>
            <b/>
            <sz val="8"/>
            <color indexed="81"/>
            <rFont val="Segoe UI"/>
            <family val="2"/>
          </rPr>
          <t>wzr2hi:</t>
        </r>
        <r>
          <rPr>
            <sz val="8"/>
            <color indexed="81"/>
            <rFont val="Segoe UI"/>
            <family val="2"/>
          </rPr>
          <t xml:space="preserve">
[wzr2hi, 18.03.2019]
RCAR-Enviroment is only available on ST3.x</t>
        </r>
      </text>
    </comment>
    <comment ref="AD603" authorId="0" shapeId="0" xr:uid="{00000000-0006-0000-0000-000046020000}">
      <text>
        <r>
          <rPr>
            <b/>
            <sz val="8"/>
            <color indexed="81"/>
            <rFont val="Segoe UI"/>
            <family val="2"/>
          </rPr>
          <t>wzr2hi:</t>
        </r>
        <r>
          <rPr>
            <sz val="8"/>
            <color indexed="81"/>
            <rFont val="Segoe UI"/>
            <family val="2"/>
          </rPr>
          <t xml:space="preserve">
[wzr2hi, 18.03.2019]
RCAR-Enviroment is only available on ST3.x</t>
        </r>
      </text>
    </comment>
    <comment ref="AD604" authorId="0" shapeId="0" xr:uid="{00000000-0006-0000-0000-000047020000}">
      <text>
        <r>
          <rPr>
            <b/>
            <sz val="8"/>
            <color indexed="81"/>
            <rFont val="Segoe UI"/>
            <family val="2"/>
          </rPr>
          <t>wzr2hi:</t>
        </r>
        <r>
          <rPr>
            <sz val="8"/>
            <color indexed="81"/>
            <rFont val="Segoe UI"/>
            <family val="2"/>
          </rPr>
          <t xml:space="preserve">
[wzr2hi, 18.03.2019]
RCAR-Enviroment is only available on ST3.x</t>
        </r>
      </text>
    </comment>
    <comment ref="AD605" authorId="0" shapeId="0" xr:uid="{00000000-0006-0000-0000-000048020000}">
      <text>
        <r>
          <rPr>
            <b/>
            <sz val="8"/>
            <color indexed="81"/>
            <rFont val="Segoe UI"/>
            <family val="2"/>
          </rPr>
          <t>wzr2hi:</t>
        </r>
        <r>
          <rPr>
            <sz val="8"/>
            <color indexed="81"/>
            <rFont val="Segoe UI"/>
            <family val="2"/>
          </rPr>
          <t xml:space="preserve">
[wzr2hi, 18.03.2019]
RCAR-Enviroment is only available on ST3.x</t>
        </r>
      </text>
    </comment>
    <comment ref="AD606" authorId="0" shapeId="0" xr:uid="{00000000-0006-0000-0000-000049020000}">
      <text>
        <r>
          <rPr>
            <b/>
            <sz val="8"/>
            <color indexed="81"/>
            <rFont val="Segoe UI"/>
            <family val="2"/>
          </rPr>
          <t>wzr2hi:</t>
        </r>
        <r>
          <rPr>
            <sz val="8"/>
            <color indexed="81"/>
            <rFont val="Segoe UI"/>
            <family val="2"/>
          </rPr>
          <t xml:space="preserve">
[wzr2hi, 18.03.2019]
RCAR-Enviroment is only available on ST3.x</t>
        </r>
      </text>
    </comment>
    <comment ref="T607" authorId="1" shapeId="0" xr:uid="{00000000-0006-0000-0000-00004A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07" authorId="0" shapeId="0" xr:uid="{00000000-0006-0000-0000-00004B020000}">
      <text>
        <r>
          <rPr>
            <b/>
            <sz val="8"/>
            <color indexed="81"/>
            <rFont val="Segoe UI"/>
            <family val="2"/>
          </rPr>
          <t>wzr2hi:</t>
        </r>
        <r>
          <rPr>
            <sz val="8"/>
            <color indexed="81"/>
            <rFont val="Segoe UI"/>
            <family val="2"/>
          </rPr>
          <t xml:space="preserve">
[wzr2hi, 18.03.2019]
RCAR-Enviroment is only available on ST3.x</t>
        </r>
      </text>
    </comment>
    <comment ref="AD608" authorId="0" shapeId="0" xr:uid="{00000000-0006-0000-0000-00004C020000}">
      <text>
        <r>
          <rPr>
            <b/>
            <sz val="8"/>
            <color indexed="81"/>
            <rFont val="Segoe UI"/>
            <family val="2"/>
          </rPr>
          <t>wzr2hi:</t>
        </r>
        <r>
          <rPr>
            <sz val="8"/>
            <color indexed="81"/>
            <rFont val="Segoe UI"/>
            <family val="2"/>
          </rPr>
          <t xml:space="preserve">
[wzr2hi, 18.03.2019]
RCAR-Enviroment is only available on ST3.x</t>
        </r>
      </text>
    </comment>
    <comment ref="AD609" authorId="0" shapeId="0" xr:uid="{00000000-0006-0000-0000-00004D020000}">
      <text>
        <r>
          <rPr>
            <b/>
            <sz val="8"/>
            <color indexed="81"/>
            <rFont val="Segoe UI"/>
            <family val="2"/>
          </rPr>
          <t>wzr2hi:</t>
        </r>
        <r>
          <rPr>
            <sz val="8"/>
            <color indexed="81"/>
            <rFont val="Segoe UI"/>
            <family val="2"/>
          </rPr>
          <t xml:space="preserve">
[wzr2hi, 18.03.2019]
RCAR-Enviroment is only available on ST3.x</t>
        </r>
      </text>
    </comment>
    <comment ref="AD610" authorId="0" shapeId="0" xr:uid="{00000000-0006-0000-0000-00004E020000}">
      <text>
        <r>
          <rPr>
            <b/>
            <sz val="8"/>
            <color indexed="81"/>
            <rFont val="Segoe UI"/>
            <family val="2"/>
          </rPr>
          <t>wzr2hi:</t>
        </r>
        <r>
          <rPr>
            <sz val="8"/>
            <color indexed="81"/>
            <rFont val="Segoe UI"/>
            <family val="2"/>
          </rPr>
          <t xml:space="preserve">
[wzr2hi, 18.03.2019]
RCAR-Enviroment is only available on ST3.x</t>
        </r>
      </text>
    </comment>
    <comment ref="AD611" authorId="0" shapeId="0" xr:uid="{00000000-0006-0000-0000-00004F020000}">
      <text>
        <r>
          <rPr>
            <b/>
            <sz val="8"/>
            <color indexed="81"/>
            <rFont val="Segoe UI"/>
            <family val="2"/>
          </rPr>
          <t>wzr2hi:</t>
        </r>
        <r>
          <rPr>
            <sz val="8"/>
            <color indexed="81"/>
            <rFont val="Segoe UI"/>
            <family val="2"/>
          </rPr>
          <t xml:space="preserve">
[wzr2hi, 18.03.2019]
RCAR-Enviroment is only available on ST3.x</t>
        </r>
      </text>
    </comment>
    <comment ref="AD612" authorId="0" shapeId="0" xr:uid="{00000000-0006-0000-0000-000050020000}">
      <text>
        <r>
          <rPr>
            <b/>
            <sz val="8"/>
            <color indexed="81"/>
            <rFont val="Segoe UI"/>
            <family val="2"/>
          </rPr>
          <t>wzr2hi:</t>
        </r>
        <r>
          <rPr>
            <sz val="8"/>
            <color indexed="81"/>
            <rFont val="Segoe UI"/>
            <family val="2"/>
          </rPr>
          <t xml:space="preserve">
[wzr2hi, 18.03.2019]
RCAR-Enviroment is only available on ST3.x</t>
        </r>
      </text>
    </comment>
    <comment ref="AD613" authorId="0" shapeId="0" xr:uid="{00000000-0006-0000-0000-000051020000}">
      <text>
        <r>
          <rPr>
            <b/>
            <sz val="8"/>
            <color indexed="81"/>
            <rFont val="Segoe UI"/>
            <family val="2"/>
          </rPr>
          <t>wzr2hi:</t>
        </r>
        <r>
          <rPr>
            <sz val="8"/>
            <color indexed="81"/>
            <rFont val="Segoe UI"/>
            <family val="2"/>
          </rPr>
          <t xml:space="preserve">
[wzr2hi, 18.03.2019]
RCAR-Enviroment is only available on ST3.x</t>
        </r>
      </text>
    </comment>
    <comment ref="AD614" authorId="0" shapeId="0" xr:uid="{00000000-0006-0000-0000-000052020000}">
      <text>
        <r>
          <rPr>
            <b/>
            <sz val="8"/>
            <color indexed="81"/>
            <rFont val="Segoe UI"/>
            <family val="2"/>
          </rPr>
          <t>wzr2hi:</t>
        </r>
        <r>
          <rPr>
            <sz val="8"/>
            <color indexed="81"/>
            <rFont val="Segoe UI"/>
            <family val="2"/>
          </rPr>
          <t xml:space="preserve">
[wzr2hi, 18.03.2019]
RCAR-Enviroment is only available on ST3.x</t>
        </r>
      </text>
    </comment>
    <comment ref="AD615" authorId="0" shapeId="0" xr:uid="{00000000-0006-0000-0000-000053020000}">
      <text>
        <r>
          <rPr>
            <b/>
            <sz val="8"/>
            <color indexed="81"/>
            <rFont val="Segoe UI"/>
            <family val="2"/>
          </rPr>
          <t>wzr2hi:</t>
        </r>
        <r>
          <rPr>
            <sz val="8"/>
            <color indexed="81"/>
            <rFont val="Segoe UI"/>
            <family val="2"/>
          </rPr>
          <t xml:space="preserve">
[wzr2hi, 18.03.2019]
RCAR-Enviroment is only available on ST3.x</t>
        </r>
      </text>
    </comment>
    <comment ref="AD616" authorId="0" shapeId="0" xr:uid="{00000000-0006-0000-0000-000054020000}">
      <text>
        <r>
          <rPr>
            <b/>
            <sz val="8"/>
            <color indexed="81"/>
            <rFont val="Segoe UI"/>
            <family val="2"/>
          </rPr>
          <t>wzr2hi:</t>
        </r>
        <r>
          <rPr>
            <sz val="8"/>
            <color indexed="81"/>
            <rFont val="Segoe UI"/>
            <family val="2"/>
          </rPr>
          <t xml:space="preserve">
[wzr2hi, 18.03.2019]
RCAR-Enviroment is only available on ST3.x</t>
        </r>
      </text>
    </comment>
    <comment ref="T617" authorId="1" shapeId="0" xr:uid="{00000000-0006-0000-0000-000055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17" authorId="0" shapeId="0" xr:uid="{00000000-0006-0000-0000-000056020000}">
      <text>
        <r>
          <rPr>
            <b/>
            <sz val="8"/>
            <color indexed="81"/>
            <rFont val="Segoe UI"/>
            <family val="2"/>
          </rPr>
          <t>wzr2hi:</t>
        </r>
        <r>
          <rPr>
            <sz val="8"/>
            <color indexed="81"/>
            <rFont val="Segoe UI"/>
            <family val="2"/>
          </rPr>
          <t xml:space="preserve">
[wzr2hi, 18.03.2019]
RCAR-Enviroment is only available on ST3.x</t>
        </r>
      </text>
    </comment>
    <comment ref="AD618" authorId="0" shapeId="0" xr:uid="{00000000-0006-0000-0000-000057020000}">
      <text>
        <r>
          <rPr>
            <b/>
            <sz val="8"/>
            <color indexed="81"/>
            <rFont val="Segoe UI"/>
            <family val="2"/>
          </rPr>
          <t>wzr2hi:</t>
        </r>
        <r>
          <rPr>
            <sz val="8"/>
            <color indexed="81"/>
            <rFont val="Segoe UI"/>
            <family val="2"/>
          </rPr>
          <t xml:space="preserve">
[wzr2hi, 18.03.2019]
RCAR-Enviroment is only available on ST3.x</t>
        </r>
      </text>
    </comment>
    <comment ref="AD619" authorId="0" shapeId="0" xr:uid="{00000000-0006-0000-0000-000058020000}">
      <text>
        <r>
          <rPr>
            <b/>
            <sz val="8"/>
            <color indexed="81"/>
            <rFont val="Segoe UI"/>
            <family val="2"/>
          </rPr>
          <t>wzr2hi:</t>
        </r>
        <r>
          <rPr>
            <sz val="8"/>
            <color indexed="81"/>
            <rFont val="Segoe UI"/>
            <family val="2"/>
          </rPr>
          <t xml:space="preserve">
[wzr2hi, 18.03.2019]
RCAR-Enviroment is only available on ST3.x</t>
        </r>
      </text>
    </comment>
    <comment ref="O620" authorId="1" shapeId="0" xr:uid="{00000000-0006-0000-0000-000059020000}">
      <text>
        <r>
          <rPr>
            <b/>
            <sz val="9"/>
            <color indexed="81"/>
            <rFont val="Segoe UI"/>
            <family val="2"/>
          </rPr>
          <t>Welz Ralph (CM-CI1/ERN1-ESW):</t>
        </r>
        <r>
          <rPr>
            <sz val="9"/>
            <color indexed="81"/>
            <rFont val="Segoe UI"/>
            <family val="2"/>
          </rPr>
          <t xml:space="preserve">
[wzr2hi, 20.11.2019] PRCFSG was extended to work also for ex DA2. VM needs to be updated.</t>
        </r>
      </text>
    </comment>
    <comment ref="AD620" authorId="0" shapeId="0" xr:uid="{00000000-0006-0000-0000-00005A020000}">
      <text>
        <r>
          <rPr>
            <b/>
            <sz val="8"/>
            <color indexed="81"/>
            <rFont val="Segoe UI"/>
            <family val="2"/>
          </rPr>
          <t>wzr2hi:</t>
        </r>
        <r>
          <rPr>
            <sz val="8"/>
            <color indexed="81"/>
            <rFont val="Segoe UI"/>
            <family val="2"/>
          </rPr>
          <t xml:space="preserve">
[wzr2hi, 18.03.2019]
RCAR-Enviroment is only available on ST3.x</t>
        </r>
      </text>
    </comment>
    <comment ref="AD621" authorId="0" shapeId="0" xr:uid="{00000000-0006-0000-0000-00005B020000}">
      <text>
        <r>
          <rPr>
            <b/>
            <sz val="8"/>
            <color indexed="81"/>
            <rFont val="Segoe UI"/>
            <family val="2"/>
          </rPr>
          <t>wzr2hi:</t>
        </r>
        <r>
          <rPr>
            <sz val="8"/>
            <color indexed="81"/>
            <rFont val="Segoe UI"/>
            <family val="2"/>
          </rPr>
          <t xml:space="preserve">
[wzr2hi, 18.03.2019]
RCAR-Enviroment is only available on ST3.x</t>
        </r>
      </text>
    </comment>
    <comment ref="F622" authorId="1" shapeId="0" xr:uid="{00000000-0006-0000-0000-00005C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22" authorId="1" shapeId="0" xr:uid="{00000000-0006-0000-0000-00005D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T622" authorId="1" shapeId="0" xr:uid="{00000000-0006-0000-0000-00005E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22" authorId="0" shapeId="0" xr:uid="{00000000-0006-0000-0000-00005F020000}">
      <text>
        <r>
          <rPr>
            <b/>
            <sz val="8"/>
            <color indexed="81"/>
            <rFont val="Segoe UI"/>
            <family val="2"/>
          </rPr>
          <t>wzr2hi:</t>
        </r>
        <r>
          <rPr>
            <sz val="8"/>
            <color indexed="81"/>
            <rFont val="Segoe UI"/>
            <family val="2"/>
          </rPr>
          <t xml:space="preserve">
[wzr2hi, 18.03.2019]
RCAR-Enviroment is only available on ST3.x</t>
        </r>
      </text>
    </comment>
    <comment ref="F623" authorId="1" shapeId="0" xr:uid="{00000000-0006-0000-0000-000060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23" authorId="1" shapeId="0" xr:uid="{00000000-0006-0000-0000-000061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AD623" authorId="0" shapeId="0" xr:uid="{00000000-0006-0000-0000-000062020000}">
      <text>
        <r>
          <rPr>
            <b/>
            <sz val="8"/>
            <color indexed="81"/>
            <rFont val="Segoe UI"/>
            <family val="2"/>
          </rPr>
          <t>wzr2hi:</t>
        </r>
        <r>
          <rPr>
            <sz val="8"/>
            <color indexed="81"/>
            <rFont val="Segoe UI"/>
            <family val="2"/>
          </rPr>
          <t xml:space="preserve">
[wzr2hi, 18.03.2019]
RCAR-Enviroment is only available on ST3.x</t>
        </r>
      </text>
    </comment>
    <comment ref="L624" authorId="1" shapeId="0" xr:uid="{00000000-0006-0000-0000-000063020000}">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AD624" authorId="0" shapeId="0" xr:uid="{00000000-0006-0000-0000-000064020000}">
      <text>
        <r>
          <rPr>
            <b/>
            <sz val="8"/>
            <color indexed="81"/>
            <rFont val="Segoe UI"/>
            <family val="2"/>
          </rPr>
          <t>wzr2hi:</t>
        </r>
        <r>
          <rPr>
            <sz val="8"/>
            <color indexed="81"/>
            <rFont val="Segoe UI"/>
            <family val="2"/>
          </rPr>
          <t xml:space="preserve">
[wzr2hi, 18.03.2019]
RCAR-Enviroment is only available on ST3.x</t>
        </r>
      </text>
    </comment>
    <comment ref="L625" authorId="1" shapeId="0" xr:uid="{DF495F02-AE17-4C1A-8313-D8A38EF6A50B}">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AD625" authorId="0" shapeId="0" xr:uid="{00000000-0006-0000-0000-000066020000}">
      <text>
        <r>
          <rPr>
            <b/>
            <sz val="8"/>
            <color indexed="81"/>
            <rFont val="Segoe UI"/>
            <family val="2"/>
          </rPr>
          <t>wzr2hi:</t>
        </r>
        <r>
          <rPr>
            <sz val="8"/>
            <color indexed="81"/>
            <rFont val="Segoe UI"/>
            <family val="2"/>
          </rPr>
          <t xml:space="preserve">
[wzr2hi, 18.03.2019]
RCAR-Enviroment is only available on ST3.x</t>
        </r>
      </text>
    </comment>
    <comment ref="T626" authorId="1" shapeId="0" xr:uid="{00000000-0006-0000-0000-000067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26" authorId="0" shapeId="0" xr:uid="{00000000-0006-0000-0000-000068020000}">
      <text>
        <r>
          <rPr>
            <b/>
            <sz val="8"/>
            <color indexed="81"/>
            <rFont val="Segoe UI"/>
            <family val="2"/>
          </rPr>
          <t>wzr2hi:</t>
        </r>
        <r>
          <rPr>
            <sz val="8"/>
            <color indexed="81"/>
            <rFont val="Segoe UI"/>
            <family val="2"/>
          </rPr>
          <t xml:space="preserve">
[wzr2hi, 18.03.2019]
RCAR-Enviroment is only available on ST3.x</t>
        </r>
      </text>
    </comment>
    <comment ref="AD627" authorId="0" shapeId="0" xr:uid="{00000000-0006-0000-0000-000069020000}">
      <text>
        <r>
          <rPr>
            <b/>
            <sz val="8"/>
            <color indexed="81"/>
            <rFont val="Segoe UI"/>
            <family val="2"/>
          </rPr>
          <t>wzr2hi:</t>
        </r>
        <r>
          <rPr>
            <sz val="8"/>
            <color indexed="81"/>
            <rFont val="Segoe UI"/>
            <family val="2"/>
          </rPr>
          <t xml:space="preserve">
[wzr2hi, 18.03.2019]
RCAR-Enviroment is only available on ST3.x</t>
        </r>
      </text>
    </comment>
    <comment ref="AD628" authorId="0" shapeId="0" xr:uid="{00000000-0006-0000-0000-00006A020000}">
      <text>
        <r>
          <rPr>
            <b/>
            <sz val="8"/>
            <color indexed="81"/>
            <rFont val="Segoe UI"/>
            <family val="2"/>
          </rPr>
          <t>wzr2hi:</t>
        </r>
        <r>
          <rPr>
            <sz val="8"/>
            <color indexed="81"/>
            <rFont val="Segoe UI"/>
            <family val="2"/>
          </rPr>
          <t xml:space="preserve">
[wzr2hi, 18.03.2019]
RCAR-Enviroment is only available on ST3.x</t>
        </r>
      </text>
    </comment>
    <comment ref="T629" authorId="1" shapeId="0" xr:uid="{00000000-0006-0000-0000-00006B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29" authorId="0" shapeId="0" xr:uid="{00000000-0006-0000-0000-00006C020000}">
      <text>
        <r>
          <rPr>
            <b/>
            <sz val="8"/>
            <color indexed="81"/>
            <rFont val="Segoe UI"/>
            <family val="2"/>
          </rPr>
          <t>wzr2hi:</t>
        </r>
        <r>
          <rPr>
            <sz val="8"/>
            <color indexed="81"/>
            <rFont val="Segoe UI"/>
            <family val="2"/>
          </rPr>
          <t xml:space="preserve">
[wzr2hi, 18.03.2019]
RCAR-Enviroment is only available on ST3.x</t>
        </r>
      </text>
    </comment>
    <comment ref="T630" authorId="1" shapeId="0" xr:uid="{00000000-0006-0000-0000-00006D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30" authorId="0" shapeId="0" xr:uid="{00000000-0006-0000-0000-00006E020000}">
      <text>
        <r>
          <rPr>
            <b/>
            <sz val="8"/>
            <color indexed="81"/>
            <rFont val="Segoe UI"/>
            <family val="2"/>
          </rPr>
          <t>wzr2hi:</t>
        </r>
        <r>
          <rPr>
            <sz val="8"/>
            <color indexed="81"/>
            <rFont val="Segoe UI"/>
            <family val="2"/>
          </rPr>
          <t xml:space="preserve">
[wzr2hi, 18.03.2019]
RCAR-Enviroment is only available on ST3.x</t>
        </r>
      </text>
    </comment>
    <comment ref="AD631" authorId="0" shapeId="0" xr:uid="{00000000-0006-0000-0000-00006F020000}">
      <text>
        <r>
          <rPr>
            <b/>
            <sz val="8"/>
            <color indexed="81"/>
            <rFont val="Segoe UI"/>
            <family val="2"/>
          </rPr>
          <t>wzr2hi:</t>
        </r>
        <r>
          <rPr>
            <sz val="8"/>
            <color indexed="81"/>
            <rFont val="Segoe UI"/>
            <family val="2"/>
          </rPr>
          <t xml:space="preserve">
[wzr2hi, 18.03.2019]
RCAR-Enviroment is only available on ST3.x</t>
        </r>
      </text>
    </comment>
    <comment ref="AD632" authorId="0" shapeId="0" xr:uid="{00000000-0006-0000-0000-000070020000}">
      <text>
        <r>
          <rPr>
            <b/>
            <sz val="8"/>
            <color indexed="81"/>
            <rFont val="Segoe UI"/>
            <family val="2"/>
          </rPr>
          <t>wzr2hi:</t>
        </r>
        <r>
          <rPr>
            <sz val="8"/>
            <color indexed="81"/>
            <rFont val="Segoe UI"/>
            <family val="2"/>
          </rPr>
          <t xml:space="preserve">
[wzr2hi, 18.03.2019]
RCAR-Enviroment is only available on ST3.x</t>
        </r>
      </text>
    </comment>
    <comment ref="AD633" authorId="0" shapeId="0" xr:uid="{00000000-0006-0000-0000-000071020000}">
      <text>
        <r>
          <rPr>
            <b/>
            <sz val="8"/>
            <color indexed="81"/>
            <rFont val="Segoe UI"/>
            <family val="2"/>
          </rPr>
          <t>wzr2hi:</t>
        </r>
        <r>
          <rPr>
            <sz val="8"/>
            <color indexed="81"/>
            <rFont val="Segoe UI"/>
            <family val="2"/>
          </rPr>
          <t xml:space="preserve">
[wzr2hi, 18.03.2019]
RCAR-Enviroment is only available on ST3.x</t>
        </r>
      </text>
    </comment>
    <comment ref="AD634" authorId="0" shapeId="0" xr:uid="{00000000-0006-0000-0000-000072020000}">
      <text>
        <r>
          <rPr>
            <b/>
            <sz val="8"/>
            <color indexed="81"/>
            <rFont val="Segoe UI"/>
            <family val="2"/>
          </rPr>
          <t>wzr2hi:</t>
        </r>
        <r>
          <rPr>
            <sz val="8"/>
            <color indexed="81"/>
            <rFont val="Segoe UI"/>
            <family val="2"/>
          </rPr>
          <t xml:space="preserve">
[wzr2hi, 18.03.2019]
RCAR-Enviroment is only available on ST3.x</t>
        </r>
      </text>
    </comment>
    <comment ref="AD635" authorId="0" shapeId="0" xr:uid="{00000000-0006-0000-0000-000073020000}">
      <text>
        <r>
          <rPr>
            <b/>
            <sz val="8"/>
            <color indexed="81"/>
            <rFont val="Segoe UI"/>
            <family val="2"/>
          </rPr>
          <t>wzr2hi:</t>
        </r>
        <r>
          <rPr>
            <sz val="8"/>
            <color indexed="81"/>
            <rFont val="Segoe UI"/>
            <family val="2"/>
          </rPr>
          <t xml:space="preserve">
[wzr2hi, 18.03.2019]
RCAR-Enviroment is only available on ST3.x</t>
        </r>
      </text>
    </comment>
    <comment ref="AD636" authorId="0" shapeId="0" xr:uid="{00000000-0006-0000-0000-000074020000}">
      <text>
        <r>
          <rPr>
            <b/>
            <sz val="8"/>
            <color indexed="81"/>
            <rFont val="Segoe UI"/>
            <family val="2"/>
          </rPr>
          <t>wzr2hi:</t>
        </r>
        <r>
          <rPr>
            <sz val="8"/>
            <color indexed="81"/>
            <rFont val="Segoe UI"/>
            <family val="2"/>
          </rPr>
          <t xml:space="preserve">
[wzr2hi, 18.03.2019]
RCAR-Enviroment is only available on ST3.x</t>
        </r>
      </text>
    </comment>
    <comment ref="AD637" authorId="0" shapeId="0" xr:uid="{00000000-0006-0000-0000-000075020000}">
      <text>
        <r>
          <rPr>
            <b/>
            <sz val="8"/>
            <color indexed="81"/>
            <rFont val="Segoe UI"/>
            <family val="2"/>
          </rPr>
          <t>wzr2hi:</t>
        </r>
        <r>
          <rPr>
            <sz val="8"/>
            <color indexed="81"/>
            <rFont val="Segoe UI"/>
            <family val="2"/>
          </rPr>
          <t xml:space="preserve">
[wzr2hi, 18.03.2019]
RCAR-Enviroment is only available on ST3.x</t>
        </r>
      </text>
    </comment>
    <comment ref="O638" authorId="1" shapeId="0" xr:uid="{00000000-0006-0000-0000-000076020000}">
      <text>
        <r>
          <rPr>
            <b/>
            <sz val="9"/>
            <color indexed="81"/>
            <rFont val="Segoe UI"/>
            <family val="2"/>
          </rPr>
          <t>Welz Ralph (CM-CI1/ERN1-ESW):</t>
        </r>
        <r>
          <rPr>
            <sz val="9"/>
            <color indexed="81"/>
            <rFont val="Segoe UI"/>
            <family val="2"/>
          </rPr>
          <t xml:space="preserve">
[wzr2hi, 20.11.2019] PRCFSG was extended to work also for ex DA2. VM needs to be updated.</t>
        </r>
      </text>
    </comment>
    <comment ref="AD638" authorId="0" shapeId="0" xr:uid="{00000000-0006-0000-0000-000077020000}">
      <text>
        <r>
          <rPr>
            <b/>
            <sz val="8"/>
            <color indexed="81"/>
            <rFont val="Segoe UI"/>
            <family val="2"/>
          </rPr>
          <t>wzr2hi:</t>
        </r>
        <r>
          <rPr>
            <sz val="8"/>
            <color indexed="81"/>
            <rFont val="Segoe UI"/>
            <family val="2"/>
          </rPr>
          <t xml:space="preserve">
[wzr2hi, 18.03.2019]
RCAR-Enviroment is only available on ST3.x</t>
        </r>
      </text>
    </comment>
    <comment ref="AD639" authorId="0" shapeId="0" xr:uid="{00000000-0006-0000-0000-000078020000}">
      <text>
        <r>
          <rPr>
            <b/>
            <sz val="8"/>
            <color indexed="81"/>
            <rFont val="Segoe UI"/>
            <family val="2"/>
          </rPr>
          <t>wzr2hi:</t>
        </r>
        <r>
          <rPr>
            <sz val="8"/>
            <color indexed="81"/>
            <rFont val="Segoe UI"/>
            <family val="2"/>
          </rPr>
          <t xml:space="preserve">
[wzr2hi, 18.03.2019]
RCAR-Enviroment is only available on ST3.x</t>
        </r>
      </text>
    </comment>
    <comment ref="AD640" authorId="0" shapeId="0" xr:uid="{00000000-0006-0000-0000-000079020000}">
      <text>
        <r>
          <rPr>
            <b/>
            <sz val="8"/>
            <color indexed="81"/>
            <rFont val="Segoe UI"/>
            <family val="2"/>
          </rPr>
          <t>wzr2hi:</t>
        </r>
        <r>
          <rPr>
            <sz val="8"/>
            <color indexed="81"/>
            <rFont val="Segoe UI"/>
            <family val="2"/>
          </rPr>
          <t xml:space="preserve">
[wzr2hi, 18.03.2019]
RCAR-Enviroment is only available on ST3.x</t>
        </r>
      </text>
    </comment>
    <comment ref="AD641" authorId="0" shapeId="0" xr:uid="{00000000-0006-0000-0000-00007A020000}">
      <text>
        <r>
          <rPr>
            <b/>
            <sz val="8"/>
            <color indexed="81"/>
            <rFont val="Segoe UI"/>
            <family val="2"/>
          </rPr>
          <t>wzr2hi:</t>
        </r>
        <r>
          <rPr>
            <sz val="8"/>
            <color indexed="81"/>
            <rFont val="Segoe UI"/>
            <family val="2"/>
          </rPr>
          <t xml:space="preserve">
[wzr2hi, 18.03.2019]
RCAR-Enviroment is only available on ST3.x</t>
        </r>
      </text>
    </comment>
    <comment ref="AD642" authorId="0" shapeId="0" xr:uid="{00000000-0006-0000-0000-00007B020000}">
      <text>
        <r>
          <rPr>
            <b/>
            <sz val="8"/>
            <color indexed="81"/>
            <rFont val="Segoe UI"/>
            <family val="2"/>
          </rPr>
          <t>wzr2hi:</t>
        </r>
        <r>
          <rPr>
            <sz val="8"/>
            <color indexed="81"/>
            <rFont val="Segoe UI"/>
            <family val="2"/>
          </rPr>
          <t xml:space="preserve">
[wzr2hi, 18.03.2019]
RCAR-Enviroment is only available on ST3.x</t>
        </r>
      </text>
    </comment>
    <comment ref="AD643" authorId="0" shapeId="0" xr:uid="{00000000-0006-0000-0000-00007C020000}">
      <text>
        <r>
          <rPr>
            <b/>
            <sz val="8"/>
            <color indexed="81"/>
            <rFont val="Segoe UI"/>
            <family val="2"/>
          </rPr>
          <t>wzr2hi:</t>
        </r>
        <r>
          <rPr>
            <sz val="8"/>
            <color indexed="81"/>
            <rFont val="Segoe UI"/>
            <family val="2"/>
          </rPr>
          <t xml:space="preserve">
[wzr2hi, 18.03.2019]
RCAR-Enviroment is only available on ST3.x</t>
        </r>
      </text>
    </comment>
    <comment ref="AD644" authorId="0" shapeId="0" xr:uid="{00000000-0006-0000-0000-00007D020000}">
      <text>
        <r>
          <rPr>
            <b/>
            <sz val="8"/>
            <color indexed="81"/>
            <rFont val="Segoe UI"/>
            <family val="2"/>
          </rPr>
          <t>wzr2hi:</t>
        </r>
        <r>
          <rPr>
            <sz val="8"/>
            <color indexed="81"/>
            <rFont val="Segoe UI"/>
            <family val="2"/>
          </rPr>
          <t xml:space="preserve">
[wzr2hi, 18.03.2019]
RCAR-Enviroment is only available on ST3.x</t>
        </r>
      </text>
    </comment>
    <comment ref="AD645" authorId="0" shapeId="0" xr:uid="{00000000-0006-0000-0000-00007E020000}">
      <text>
        <r>
          <rPr>
            <b/>
            <sz val="8"/>
            <color indexed="81"/>
            <rFont val="Segoe UI"/>
            <family val="2"/>
          </rPr>
          <t>wzr2hi:</t>
        </r>
        <r>
          <rPr>
            <sz val="8"/>
            <color indexed="81"/>
            <rFont val="Segoe UI"/>
            <family val="2"/>
          </rPr>
          <t xml:space="preserve">
[wzr2hi, 18.03.2019]
RCAR-Enviroment is only available on ST3.x</t>
        </r>
      </text>
    </comment>
    <comment ref="AD646" authorId="0" shapeId="0" xr:uid="{00000000-0006-0000-0000-00007F020000}">
      <text>
        <r>
          <rPr>
            <b/>
            <sz val="8"/>
            <color indexed="81"/>
            <rFont val="Segoe UI"/>
            <family val="2"/>
          </rPr>
          <t>wzr2hi:</t>
        </r>
        <r>
          <rPr>
            <sz val="8"/>
            <color indexed="81"/>
            <rFont val="Segoe UI"/>
            <family val="2"/>
          </rPr>
          <t xml:space="preserve">
[wzr2hi, 18.03.2019]
RCAR-Enviroment is only available on ST3.x</t>
        </r>
      </text>
    </comment>
    <comment ref="AD647" authorId="0" shapeId="0" xr:uid="{00000000-0006-0000-0000-000080020000}">
      <text>
        <r>
          <rPr>
            <b/>
            <sz val="8"/>
            <color indexed="81"/>
            <rFont val="Segoe UI"/>
            <family val="2"/>
          </rPr>
          <t>wzr2hi:</t>
        </r>
        <r>
          <rPr>
            <sz val="8"/>
            <color indexed="81"/>
            <rFont val="Segoe UI"/>
            <family val="2"/>
          </rPr>
          <t xml:space="preserve">
[wzr2hi, 18.03.2019]
RCAR-Enviroment is only available on ST3.x</t>
        </r>
      </text>
    </comment>
    <comment ref="AD648" authorId="0" shapeId="0" xr:uid="{00000000-0006-0000-0000-000081020000}">
      <text>
        <r>
          <rPr>
            <b/>
            <sz val="8"/>
            <color indexed="81"/>
            <rFont val="Segoe UI"/>
            <family val="2"/>
          </rPr>
          <t>wzr2hi:</t>
        </r>
        <r>
          <rPr>
            <sz val="8"/>
            <color indexed="81"/>
            <rFont val="Segoe UI"/>
            <family val="2"/>
          </rPr>
          <t xml:space="preserve">
[wzr2hi, 18.03.2019]
RCAR-Enviroment is only available on ST3.x</t>
        </r>
      </text>
    </comment>
    <comment ref="AD649" authorId="0" shapeId="0" xr:uid="{00000000-0006-0000-0000-000082020000}">
      <text>
        <r>
          <rPr>
            <b/>
            <sz val="8"/>
            <color indexed="81"/>
            <rFont val="Segoe UI"/>
            <family val="2"/>
          </rPr>
          <t>wzr2hi:</t>
        </r>
        <r>
          <rPr>
            <sz val="8"/>
            <color indexed="81"/>
            <rFont val="Segoe UI"/>
            <family val="2"/>
          </rPr>
          <t xml:space="preserve">
[wzr2hi, 18.03.2019]
RCAR-Enviroment is only available on ST3.x</t>
        </r>
      </text>
    </comment>
    <comment ref="AD650" authorId="0" shapeId="0" xr:uid="{00000000-0006-0000-0000-000083020000}">
      <text>
        <r>
          <rPr>
            <b/>
            <sz val="8"/>
            <color indexed="81"/>
            <rFont val="Segoe UI"/>
            <family val="2"/>
          </rPr>
          <t>wzr2hi:</t>
        </r>
        <r>
          <rPr>
            <sz val="8"/>
            <color indexed="81"/>
            <rFont val="Segoe UI"/>
            <family val="2"/>
          </rPr>
          <t xml:space="preserve">
[wzr2hi, 18.03.2019]
RCAR-Enviroment is only available on ST3.x</t>
        </r>
      </text>
    </comment>
    <comment ref="AD651" authorId="0" shapeId="0" xr:uid="{00000000-0006-0000-0000-000084020000}">
      <text>
        <r>
          <rPr>
            <b/>
            <sz val="8"/>
            <color indexed="81"/>
            <rFont val="Segoe UI"/>
            <family val="2"/>
          </rPr>
          <t>wzr2hi:</t>
        </r>
        <r>
          <rPr>
            <sz val="8"/>
            <color indexed="81"/>
            <rFont val="Segoe UI"/>
            <family val="2"/>
          </rPr>
          <t xml:space="preserve">
[wzr2hi, 18.03.2019]
RCAR-Enviroment is only available on ST3.x</t>
        </r>
      </text>
    </comment>
    <comment ref="AD652" authorId="0" shapeId="0" xr:uid="{00000000-0006-0000-0000-000085020000}">
      <text>
        <r>
          <rPr>
            <b/>
            <sz val="8"/>
            <color indexed="81"/>
            <rFont val="Segoe UI"/>
            <family val="2"/>
          </rPr>
          <t>wzr2hi:</t>
        </r>
        <r>
          <rPr>
            <sz val="8"/>
            <color indexed="81"/>
            <rFont val="Segoe UI"/>
            <family val="2"/>
          </rPr>
          <t xml:space="preserve">
[wzr2hi, 18.03.2019]
RCAR-Enviroment is only available on ST3.x</t>
        </r>
      </text>
    </comment>
    <comment ref="AD653" authorId="0" shapeId="0" xr:uid="{00000000-0006-0000-0000-000086020000}">
      <text>
        <r>
          <rPr>
            <b/>
            <sz val="8"/>
            <color indexed="81"/>
            <rFont val="Segoe UI"/>
            <family val="2"/>
          </rPr>
          <t>wzr2hi:</t>
        </r>
        <r>
          <rPr>
            <sz val="8"/>
            <color indexed="81"/>
            <rFont val="Segoe UI"/>
            <family val="2"/>
          </rPr>
          <t xml:space="preserve">
[wzr2hi, 18.03.2019]
RCAR-Enviroment is only available on ST3.x</t>
        </r>
      </text>
    </comment>
    <comment ref="AD654" authorId="0" shapeId="0" xr:uid="{00000000-0006-0000-0000-000087020000}">
      <text>
        <r>
          <rPr>
            <b/>
            <sz val="8"/>
            <color indexed="81"/>
            <rFont val="Segoe UI"/>
            <family val="2"/>
          </rPr>
          <t>wzr2hi:</t>
        </r>
        <r>
          <rPr>
            <sz val="8"/>
            <color indexed="81"/>
            <rFont val="Segoe UI"/>
            <family val="2"/>
          </rPr>
          <t xml:space="preserve">
[wzr2hi, 18.03.2019]
RCAR-Enviroment is only available on ST3.x</t>
        </r>
      </text>
    </comment>
    <comment ref="AD655" authorId="0" shapeId="0" xr:uid="{00000000-0006-0000-0000-000088020000}">
      <text>
        <r>
          <rPr>
            <b/>
            <sz val="8"/>
            <color indexed="81"/>
            <rFont val="Segoe UI"/>
            <family val="2"/>
          </rPr>
          <t>wzr2hi:</t>
        </r>
        <r>
          <rPr>
            <sz val="8"/>
            <color indexed="81"/>
            <rFont val="Segoe UI"/>
            <family val="2"/>
          </rPr>
          <t xml:space="preserve">
[wzr2hi, 18.03.2019]
RCAR-Enviroment is only available on ST3.x</t>
        </r>
      </text>
    </comment>
    <comment ref="F656" authorId="1" shapeId="0" xr:uid="{00000000-0006-0000-0000-000089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56" authorId="1" shapeId="0" xr:uid="{00000000-0006-0000-0000-00008A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T656" authorId="1" shapeId="0" xr:uid="{00000000-0006-0000-0000-00008B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Y656" authorId="1" shapeId="0" xr:uid="{00000000-0006-0000-0000-00008C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56" authorId="0" shapeId="0" xr:uid="{00000000-0006-0000-0000-00008D020000}">
      <text>
        <r>
          <rPr>
            <b/>
            <sz val="8"/>
            <color indexed="81"/>
            <rFont val="Segoe UI"/>
            <family val="2"/>
          </rPr>
          <t>wzr2hi:</t>
        </r>
        <r>
          <rPr>
            <sz val="8"/>
            <color indexed="81"/>
            <rFont val="Segoe UI"/>
            <family val="2"/>
          </rPr>
          <t xml:space="preserve">
[wzr2hi, 18.03.2019]
RCAR-Enviroment is only available on ST3.x</t>
        </r>
      </text>
    </comment>
    <comment ref="F657" authorId="1" shapeId="0" xr:uid="{00000000-0006-0000-0000-00008E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57" authorId="1" shapeId="0" xr:uid="{00000000-0006-0000-0000-00008F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Y657" authorId="1" shapeId="0" xr:uid="{00000000-0006-0000-0000-000090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57" authorId="0" shapeId="0" xr:uid="{00000000-0006-0000-0000-000091020000}">
      <text>
        <r>
          <rPr>
            <b/>
            <sz val="8"/>
            <color indexed="81"/>
            <rFont val="Segoe UI"/>
            <family val="2"/>
          </rPr>
          <t>wzr2hi:</t>
        </r>
        <r>
          <rPr>
            <sz val="8"/>
            <color indexed="81"/>
            <rFont val="Segoe UI"/>
            <family val="2"/>
          </rPr>
          <t xml:space="preserve">
[wzr2hi, 18.03.2019]
RCAR-Enviroment is only available on ST3.x</t>
        </r>
      </text>
    </comment>
    <comment ref="L658" authorId="1" shapeId="0" xr:uid="{36896169-A0EA-4DC0-9928-B43D4873462A}">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AD658" authorId="0" shapeId="0" xr:uid="{00000000-0006-0000-0000-000093020000}">
      <text>
        <r>
          <rPr>
            <b/>
            <sz val="8"/>
            <color indexed="81"/>
            <rFont val="Segoe UI"/>
            <family val="2"/>
          </rPr>
          <t>wzr2hi:</t>
        </r>
        <r>
          <rPr>
            <sz val="8"/>
            <color indexed="81"/>
            <rFont val="Segoe UI"/>
            <family val="2"/>
          </rPr>
          <t xml:space="preserve">
[wzr2hi, 18.03.2019]
RCAR-Enviroment is only available on ST3.x</t>
        </r>
      </text>
    </comment>
    <comment ref="L659" authorId="1" shapeId="0" xr:uid="{C01BA162-2CC1-4B19-81B7-A5E4ABE8D55E}">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59" authorId="5" shapeId="0" xr:uid="{00000000-0006-0000-0000-000095020000}">
      <text>
        <r>
          <rPr>
            <b/>
            <sz val="9"/>
            <color indexed="81"/>
            <rFont val="Segoe UI"/>
            <family val="2"/>
          </rPr>
          <t>Welz Ralph (XC-CI1/ERN7-E):</t>
        </r>
        <r>
          <rPr>
            <sz val="9"/>
            <color indexed="81"/>
            <rFont val="Segoe UI"/>
            <family val="2"/>
          </rPr>
          <t xml:space="preserve">
[wzr2hi, 08.01.2020] eMMC-Config for Prototype most likely 32GB+64GB, for B-Sample possibly 32GB+64GB, for later Sample possibly 64GB+0GB.</t>
        </r>
      </text>
    </comment>
    <comment ref="O659" authorId="5" shapeId="0" xr:uid="{00000000-0006-0000-0000-000096020000}">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t>
        </r>
      </text>
    </comment>
    <comment ref="Y659" authorId="5" shapeId="0" xr:uid="{00000000-0006-0000-0000-000097020000}">
      <text>
        <r>
          <rPr>
            <b/>
            <sz val="9"/>
            <color indexed="81"/>
            <rFont val="Segoe UI"/>
            <family val="2"/>
          </rPr>
          <t>Welz Ralph (XC-CI1/ERN7-E):</t>
        </r>
        <r>
          <rPr>
            <sz val="9"/>
            <color indexed="81"/>
            <rFont val="Segoe UI"/>
            <family val="2"/>
          </rPr>
          <t xml:space="preserve">
[wzr2hi, 07.01.2021] VM has not yet any info.</t>
        </r>
      </text>
    </comment>
    <comment ref="AD659" authorId="0" shapeId="0" xr:uid="{00000000-0006-0000-0000-000098020000}">
      <text>
        <r>
          <rPr>
            <b/>
            <sz val="8"/>
            <color indexed="81"/>
            <rFont val="Segoe UI"/>
            <family val="2"/>
          </rPr>
          <t>wzr2hi:</t>
        </r>
        <r>
          <rPr>
            <sz val="8"/>
            <color indexed="81"/>
            <rFont val="Segoe UI"/>
            <family val="2"/>
          </rPr>
          <t xml:space="preserve">
[wzr2hi, 18.03.2019]
RCAR-Enviroment is only available on ST3.x</t>
        </r>
      </text>
    </comment>
    <comment ref="L660" authorId="1" shapeId="0" xr:uid="{9683BE7E-FF8E-46EA-9BF3-8E9720A39FAE}">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60" authorId="5" shapeId="0" xr:uid="{00000000-0006-0000-0000-00009A020000}">
      <text>
        <r>
          <rPr>
            <b/>
            <sz val="9"/>
            <color indexed="81"/>
            <rFont val="Segoe UI"/>
            <family val="2"/>
          </rPr>
          <t>Welz Ralph (XC-CI1/ERN7-E):</t>
        </r>
        <r>
          <rPr>
            <sz val="9"/>
            <color indexed="81"/>
            <rFont val="Segoe UI"/>
            <family val="2"/>
          </rPr>
          <t xml:space="preserve">
[wzr2hi, 08.01.2020] eMMC-Config for Prototype most likely 32GB+64GB, for B-Sample possibly 32GB+64GB, for later Sample possibly 64GB+0GB.</t>
        </r>
      </text>
    </comment>
    <comment ref="O660" authorId="5" shapeId="0" xr:uid="{11EE46FE-8C96-470D-81FA-B013049A6C06}">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t>
        </r>
      </text>
    </comment>
    <comment ref="Y660" authorId="5" shapeId="0" xr:uid="{00000000-0006-0000-0000-00009C020000}">
      <text>
        <r>
          <rPr>
            <b/>
            <sz val="9"/>
            <color indexed="81"/>
            <rFont val="Segoe UI"/>
            <family val="2"/>
          </rPr>
          <t>Welz Ralph (XC-CI1/ERN7-E):</t>
        </r>
        <r>
          <rPr>
            <sz val="9"/>
            <color indexed="81"/>
            <rFont val="Segoe UI"/>
            <family val="2"/>
          </rPr>
          <t xml:space="preserve">
[wzr2hi, 07.01.2021] VM has not yet any info.</t>
        </r>
      </text>
    </comment>
    <comment ref="AD660" authorId="0" shapeId="0" xr:uid="{00000000-0006-0000-0000-00009D020000}">
      <text>
        <r>
          <rPr>
            <b/>
            <sz val="8"/>
            <color indexed="81"/>
            <rFont val="Segoe UI"/>
            <family val="2"/>
          </rPr>
          <t>wzr2hi:</t>
        </r>
        <r>
          <rPr>
            <sz val="8"/>
            <color indexed="81"/>
            <rFont val="Segoe UI"/>
            <family val="2"/>
          </rPr>
          <t xml:space="preserve">
[wzr2hi, 18.03.2019]
RCAR-Enviroment is only available on ST3.x</t>
        </r>
      </text>
    </comment>
    <comment ref="C661" authorId="5" shapeId="0" xr:uid="{00000000-0006-0000-0000-00009E020000}">
      <text>
        <r>
          <rPr>
            <b/>
            <sz val="9"/>
            <color indexed="81"/>
            <rFont val="Segoe UI"/>
            <family val="2"/>
          </rPr>
          <t>Welz Ralph (XC-CI1/ERN7-E):</t>
        </r>
        <r>
          <rPr>
            <sz val="9"/>
            <color indexed="81"/>
            <rFont val="Segoe UI"/>
            <family val="2"/>
          </rPr>
          <t xml:space="preserve">
[wzr2hi, 08.03.2021] Johann Fuhrmann "full-stopped" this samples. Heiner Schepers ordered "stop in defined state". Elmar Markus did not yet clarify.</t>
        </r>
      </text>
    </comment>
    <comment ref="F661" authorId="1" shapeId="0" xr:uid="{00000000-0006-0000-0000-00009F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61" authorId="1" shapeId="0" xr:uid="{00000000-0006-0000-0000-0000A0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T661" authorId="1" shapeId="0" xr:uid="{00000000-0006-0000-0000-0000A1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Y661" authorId="1" shapeId="0" xr:uid="{00000000-0006-0000-0000-0000A2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61" authorId="0" shapeId="0" xr:uid="{00000000-0006-0000-0000-0000A3020000}">
      <text>
        <r>
          <rPr>
            <b/>
            <sz val="8"/>
            <color indexed="81"/>
            <rFont val="Segoe UI"/>
            <family val="2"/>
          </rPr>
          <t>wzr2hi:</t>
        </r>
        <r>
          <rPr>
            <sz val="8"/>
            <color indexed="81"/>
            <rFont val="Segoe UI"/>
            <family val="2"/>
          </rPr>
          <t xml:space="preserve">
[wzr2hi, 18.03.2019]
RCAR-Enviroment is only available on ST3.x</t>
        </r>
      </text>
    </comment>
    <comment ref="C662" authorId="5" shapeId="0" xr:uid="{00000000-0006-0000-0000-0000A4020000}">
      <text>
        <r>
          <rPr>
            <b/>
            <sz val="9"/>
            <color indexed="81"/>
            <rFont val="Segoe UI"/>
            <family val="2"/>
          </rPr>
          <t>Welz Ralph (XC-CI1/ERN7-E):</t>
        </r>
        <r>
          <rPr>
            <sz val="9"/>
            <color indexed="81"/>
            <rFont val="Segoe UI"/>
            <family val="2"/>
          </rPr>
          <t xml:space="preserve">
[wzr2hi, 08.03.2021] Johann Fuhrmann "full-stopped" this samples. Heiner Schepers ordered "stop in defined state". Elmar Markus did not yet clarify.</t>
        </r>
      </text>
    </comment>
    <comment ref="F662" authorId="1" shapeId="0" xr:uid="{00000000-0006-0000-0000-0000A5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62" authorId="1" shapeId="0" xr:uid="{00000000-0006-0000-0000-0000A6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Y662" authorId="1" shapeId="0" xr:uid="{00000000-0006-0000-0000-0000A7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62" authorId="0" shapeId="0" xr:uid="{00000000-0006-0000-0000-0000A8020000}">
      <text>
        <r>
          <rPr>
            <b/>
            <sz val="8"/>
            <color indexed="81"/>
            <rFont val="Segoe UI"/>
            <family val="2"/>
          </rPr>
          <t>wzr2hi:</t>
        </r>
        <r>
          <rPr>
            <sz val="8"/>
            <color indexed="81"/>
            <rFont val="Segoe UI"/>
            <family val="2"/>
          </rPr>
          <t xml:space="preserve">
[wzr2hi, 18.03.2019]
RCAR-Enviroment is only available on ST3.x</t>
        </r>
      </text>
    </comment>
    <comment ref="C663" authorId="5" shapeId="0" xr:uid="{00000000-0006-0000-0000-0000A9020000}">
      <text>
        <r>
          <rPr>
            <b/>
            <sz val="9"/>
            <color indexed="81"/>
            <rFont val="Segoe UI"/>
            <family val="2"/>
          </rPr>
          <t>Welz Ralph (XC-CI1/ERN7-E):</t>
        </r>
        <r>
          <rPr>
            <sz val="9"/>
            <color indexed="81"/>
            <rFont val="Segoe UI"/>
            <family val="2"/>
          </rPr>
          <t xml:space="preserve">
[wzr2hi, 08.03.2021] Johann Fuhrmann "full-stopped" this samples. Heiner Schepers ordered "stop in defined state". Elmar Markus did not yet clarify.</t>
        </r>
      </text>
    </comment>
    <comment ref="F663" authorId="1" shapeId="0" xr:uid="{00000000-0006-0000-0000-0000AA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63" authorId="1" shapeId="0" xr:uid="{00000000-0006-0000-0000-0000AB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Y663" authorId="1" shapeId="0" xr:uid="{00000000-0006-0000-0000-0000AC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63" authorId="0" shapeId="0" xr:uid="{00000000-0006-0000-0000-0000AD020000}">
      <text>
        <r>
          <rPr>
            <b/>
            <sz val="8"/>
            <color indexed="81"/>
            <rFont val="Segoe UI"/>
            <family val="2"/>
          </rPr>
          <t>wzr2hi:</t>
        </r>
        <r>
          <rPr>
            <sz val="8"/>
            <color indexed="81"/>
            <rFont val="Segoe UI"/>
            <family val="2"/>
          </rPr>
          <t xml:space="preserve">
[wzr2hi, 18.03.2019]
RCAR-Enviroment is only available on ST3.x</t>
        </r>
      </text>
    </comment>
    <comment ref="C664" authorId="5" shapeId="0" xr:uid="{00000000-0006-0000-0000-0000AE020000}">
      <text>
        <r>
          <rPr>
            <b/>
            <sz val="9"/>
            <color indexed="81"/>
            <rFont val="Segoe UI"/>
            <family val="2"/>
          </rPr>
          <t>Welz Ralph (XC-CI1/ERN7-E):</t>
        </r>
        <r>
          <rPr>
            <sz val="9"/>
            <color indexed="81"/>
            <rFont val="Segoe UI"/>
            <family val="2"/>
          </rPr>
          <t xml:space="preserve">
[wzr2hi, 08.03.2021] Johann Fuhrmann "full-stopped" this samples. Heiner Schepers ordered "stop in defined state". Elmar Markus did not yet clarify.</t>
        </r>
      </text>
    </comment>
    <comment ref="F664" authorId="1" shapeId="0" xr:uid="{00000000-0006-0000-0000-0000AF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64" authorId="1" shapeId="0" xr:uid="{00000000-0006-0000-0000-0000B0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Y664" authorId="1" shapeId="0" xr:uid="{00000000-0006-0000-0000-0000B1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64" authorId="0" shapeId="0" xr:uid="{00000000-0006-0000-0000-0000B2020000}">
      <text>
        <r>
          <rPr>
            <b/>
            <sz val="8"/>
            <color indexed="81"/>
            <rFont val="Segoe UI"/>
            <family val="2"/>
          </rPr>
          <t>wzr2hi:</t>
        </r>
        <r>
          <rPr>
            <sz val="8"/>
            <color indexed="81"/>
            <rFont val="Segoe UI"/>
            <family val="2"/>
          </rPr>
          <t xml:space="preserve">
[wzr2hi, 18.03.2019]
RCAR-Enviroment is only available on ST3.x</t>
        </r>
      </text>
    </comment>
    <comment ref="AD665" authorId="0" shapeId="0" xr:uid="{00000000-0006-0000-0000-0000B3020000}">
      <text>
        <r>
          <rPr>
            <b/>
            <sz val="8"/>
            <color indexed="81"/>
            <rFont val="Segoe UI"/>
            <family val="2"/>
          </rPr>
          <t>wzr2hi:</t>
        </r>
        <r>
          <rPr>
            <sz val="8"/>
            <color indexed="81"/>
            <rFont val="Segoe UI"/>
            <family val="2"/>
          </rPr>
          <t xml:space="preserve">
[wzr2hi, 18.03.2019]
RCAR-Enviroment is only available on ST3.x</t>
        </r>
      </text>
    </comment>
    <comment ref="R666" authorId="5" shapeId="0" xr:uid="{00000000-0006-0000-0000-0000B4020000}">
      <text>
        <r>
          <rPr>
            <b/>
            <sz val="9"/>
            <color indexed="81"/>
            <rFont val="Segoe UI"/>
            <family val="2"/>
          </rPr>
          <t>Welz Ralph (XC-CI1/ERN7-E):</t>
        </r>
        <r>
          <rPr>
            <sz val="9"/>
            <color indexed="81"/>
            <rFont val="Segoe UI"/>
            <family val="2"/>
          </rPr>
          <t xml:space="preserve">
[wzr2hi, 11.06.2021} Bosch Offer CCS 1.5 DA: Removal of HD compared to NAV.</t>
        </r>
      </text>
    </comment>
    <comment ref="T666" authorId="1" shapeId="0" xr:uid="{00000000-0006-0000-0000-0000B5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66" authorId="0" shapeId="0" xr:uid="{00000000-0006-0000-0000-0000B6020000}">
      <text>
        <r>
          <rPr>
            <b/>
            <sz val="8"/>
            <color indexed="81"/>
            <rFont val="Segoe UI"/>
            <family val="2"/>
          </rPr>
          <t>wzr2hi:</t>
        </r>
        <r>
          <rPr>
            <sz val="8"/>
            <color indexed="81"/>
            <rFont val="Segoe UI"/>
            <family val="2"/>
          </rPr>
          <t xml:space="preserve">
[wzr2hi, 18.03.2019]
RCAR-Enviroment is only available on ST3.x</t>
        </r>
      </text>
    </comment>
    <comment ref="O667" authorId="5" shapeId="0" xr:uid="{36490883-49B1-4A97-8791-05BA9714B9DD}">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667" authorId="0" shapeId="0" xr:uid="{00000000-0006-0000-0000-0000B7020000}">
      <text>
        <r>
          <rPr>
            <b/>
            <sz val="8"/>
            <color indexed="81"/>
            <rFont val="Segoe UI"/>
            <family val="2"/>
          </rPr>
          <t>wzr2hi:</t>
        </r>
        <r>
          <rPr>
            <sz val="8"/>
            <color indexed="81"/>
            <rFont val="Segoe UI"/>
            <family val="2"/>
          </rPr>
          <t xml:space="preserve">
[wzr2hi, 18.03.2019]
RCAR-Enviroment is only available on ST3.x</t>
        </r>
      </text>
    </comment>
    <comment ref="C668" authorId="5" shapeId="0" xr:uid="{C65B3C70-3BBB-4060-90E3-F075D0F5A464}">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t>
        </r>
      </text>
    </comment>
    <comment ref="AD668" authorId="0" shapeId="0" xr:uid="{00000000-0006-0000-0000-0000B8020000}">
      <text>
        <r>
          <rPr>
            <b/>
            <sz val="8"/>
            <color indexed="81"/>
            <rFont val="Segoe UI"/>
            <family val="2"/>
          </rPr>
          <t>wzr2hi:</t>
        </r>
        <r>
          <rPr>
            <sz val="8"/>
            <color indexed="81"/>
            <rFont val="Segoe UI"/>
            <family val="2"/>
          </rPr>
          <t xml:space="preserve">
[wzr2hi, 18.03.2019]
RCAR-Enviroment is only available on ST3.x</t>
        </r>
      </text>
    </comment>
    <comment ref="C669" authorId="5" shapeId="0" xr:uid="{7E7C2334-2F12-4060-BA40-A2EE290EE957}">
      <text>
        <r>
          <rPr>
            <b/>
            <sz val="9"/>
            <color indexed="81"/>
            <rFont val="Segoe UI"/>
            <family val="2"/>
          </rPr>
          <t>Welz Ralph (XC-CI1/ERN7-E):</t>
        </r>
        <r>
          <rPr>
            <sz val="9"/>
            <color indexed="81"/>
            <rFont val="Segoe UI"/>
            <family val="2"/>
          </rPr>
          <t xml:space="preserve">
[wzr2hi, 08.12.2022] After introduction of new spec for SDB cuts in CCS1.5 DA this  FCID shall not be re-used.</t>
        </r>
      </text>
    </comment>
    <comment ref="AD669" authorId="0" shapeId="0" xr:uid="{00000000-0006-0000-0000-0000B9020000}">
      <text>
        <r>
          <rPr>
            <b/>
            <sz val="8"/>
            <color indexed="81"/>
            <rFont val="Segoe UI"/>
            <family val="2"/>
          </rPr>
          <t>wzr2hi:</t>
        </r>
        <r>
          <rPr>
            <sz val="8"/>
            <color indexed="81"/>
            <rFont val="Segoe UI"/>
            <family val="2"/>
          </rPr>
          <t xml:space="preserve">
[wzr2hi, 18.03.2019]
RCAR-Enviroment is only available on ST3.x</t>
        </r>
      </text>
    </comment>
    <comment ref="C670" authorId="5" shapeId="0" xr:uid="{11255480-57B6-4697-939E-58CC1E010034}">
      <text>
        <r>
          <rPr>
            <b/>
            <sz val="9"/>
            <color indexed="81"/>
            <rFont val="Segoe UI"/>
            <family val="2"/>
          </rPr>
          <t>Welz Ralph (XC-CI1/ERN7-E):</t>
        </r>
        <r>
          <rPr>
            <sz val="9"/>
            <color indexed="81"/>
            <rFont val="Segoe UI"/>
            <family val="2"/>
          </rPr>
          <t xml:space="preserve">
[wzr2hi, 08.12.2022] After introduction of new spec for SDB cuts in CCS1.5 DA this  FCID shall not be re-used.</t>
        </r>
      </text>
    </comment>
    <comment ref="AD670" authorId="0" shapeId="0" xr:uid="{00000000-0006-0000-0000-0000BA020000}">
      <text>
        <r>
          <rPr>
            <b/>
            <sz val="8"/>
            <color indexed="81"/>
            <rFont val="Segoe UI"/>
            <family val="2"/>
          </rPr>
          <t>wzr2hi:</t>
        </r>
        <r>
          <rPr>
            <sz val="8"/>
            <color indexed="81"/>
            <rFont val="Segoe UI"/>
            <family val="2"/>
          </rPr>
          <t xml:space="preserve">
[wzr2hi, 18.03.2019]
RCAR-Enviroment is only available on ST3.x</t>
        </r>
      </text>
    </comment>
    <comment ref="C671" authorId="5" shapeId="0" xr:uid="{02A94D63-F45C-41BC-AB15-73DCC4E11F6D}">
      <text>
        <r>
          <rPr>
            <b/>
            <sz val="9"/>
            <color indexed="81"/>
            <rFont val="Segoe UI"/>
            <family val="2"/>
          </rPr>
          <t>Welz Ralph (XC-CI1/ERN7-E):</t>
        </r>
        <r>
          <rPr>
            <sz val="9"/>
            <color indexed="81"/>
            <rFont val="Segoe UI"/>
            <family val="2"/>
          </rPr>
          <t xml:space="preserve">
[wzr2hi, 08.12.2022] [wzr2hi, 08.12.2022] After introduction of new spec for SDB cuts in CCS1.5 DA this  FCID shall not be re-used. Index A2-1045.-.M-TN got even orphaned. There is no config entry anymore.</t>
        </r>
      </text>
    </comment>
    <comment ref="AD671" authorId="0" shapeId="0" xr:uid="{00000000-0006-0000-0000-0000BB020000}">
      <text>
        <r>
          <rPr>
            <b/>
            <sz val="8"/>
            <color indexed="81"/>
            <rFont val="Segoe UI"/>
            <family val="2"/>
          </rPr>
          <t>wzr2hi:</t>
        </r>
        <r>
          <rPr>
            <sz val="8"/>
            <color indexed="81"/>
            <rFont val="Segoe UI"/>
            <family val="2"/>
          </rPr>
          <t xml:space="preserve">
[wzr2hi, 18.03.2019]
RCAR-Enviroment is only available on ST3.x</t>
        </r>
      </text>
    </comment>
    <comment ref="AD672" authorId="0" shapeId="0" xr:uid="{00000000-0006-0000-0000-0000BC020000}">
      <text>
        <r>
          <rPr>
            <b/>
            <sz val="8"/>
            <color indexed="81"/>
            <rFont val="Segoe UI"/>
            <family val="2"/>
          </rPr>
          <t>wzr2hi:</t>
        </r>
        <r>
          <rPr>
            <sz val="8"/>
            <color indexed="81"/>
            <rFont val="Segoe UI"/>
            <family val="2"/>
          </rPr>
          <t xml:space="preserve">
[wzr2hi, 18.03.2019]
RCAR-Enviroment is only available on ST3.x</t>
        </r>
      </text>
    </comment>
    <comment ref="L673" authorId="1" shapeId="0" xr:uid="{8F6C9F1D-BB92-46AA-9D1A-EB0C96979F3C}">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73" authorId="0" shapeId="0" xr:uid="{00000000-0006-0000-0000-0000BE020000}">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73" authorId="5" shapeId="0" xr:uid="{27E7142B-0DFF-43F8-9D02-B2BE8835CB05}">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t>
        </r>
      </text>
    </comment>
    <comment ref="Y673" authorId="5" shapeId="0" xr:uid="{00000000-0006-0000-0000-0000C0020000}">
      <text>
        <r>
          <rPr>
            <b/>
            <sz val="9"/>
            <color indexed="81"/>
            <rFont val="Segoe UI"/>
            <family val="2"/>
          </rPr>
          <t>Welz Ralph (XC-CI1/ERN7-E):</t>
        </r>
        <r>
          <rPr>
            <sz val="9"/>
            <color indexed="81"/>
            <rFont val="Segoe UI"/>
            <family val="2"/>
          </rPr>
          <t xml:space="preserve">
[wzr2hi, 07.01.2021] VM has not yet any info.</t>
        </r>
      </text>
    </comment>
    <comment ref="AD673" authorId="0" shapeId="0" xr:uid="{00000000-0006-0000-0000-0000C1020000}">
      <text>
        <r>
          <rPr>
            <b/>
            <sz val="8"/>
            <color indexed="81"/>
            <rFont val="Segoe UI"/>
            <family val="2"/>
          </rPr>
          <t>wzr2hi:</t>
        </r>
        <r>
          <rPr>
            <sz val="8"/>
            <color indexed="81"/>
            <rFont val="Segoe UI"/>
            <family val="2"/>
          </rPr>
          <t xml:space="preserve">
[wzr2hi, 18.03.2019]
RCAR-Enviroment is only available on ST3.x</t>
        </r>
      </text>
    </comment>
    <comment ref="AD674" authorId="0" shapeId="0" xr:uid="{68AE0B64-01C9-4B77-B5A0-9CBC7C8FF128}">
      <text>
        <r>
          <rPr>
            <b/>
            <sz val="8"/>
            <color indexed="81"/>
            <rFont val="Segoe UI"/>
            <family val="2"/>
          </rPr>
          <t>wzr2hi:</t>
        </r>
        <r>
          <rPr>
            <sz val="8"/>
            <color indexed="81"/>
            <rFont val="Segoe UI"/>
            <family val="2"/>
          </rPr>
          <t xml:space="preserve">
[wzr2hi, 18.03.2019]
RCAR-Enviroment is only available on ST3.x</t>
        </r>
      </text>
    </comment>
    <comment ref="T675" authorId="1" shapeId="0" xr:uid="{7009C931-0A62-456F-83A0-A009F37D99E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75" authorId="0" shapeId="0" xr:uid="{48478EA2-4C4E-4F81-A9EC-C91AA36FE12C}">
      <text>
        <r>
          <rPr>
            <b/>
            <sz val="8"/>
            <color indexed="81"/>
            <rFont val="Segoe UI"/>
            <family val="2"/>
          </rPr>
          <t>wzr2hi:</t>
        </r>
        <r>
          <rPr>
            <sz val="8"/>
            <color indexed="81"/>
            <rFont val="Segoe UI"/>
            <family val="2"/>
          </rPr>
          <t xml:space="preserve">
[wzr2hi, 18.03.2019]
RCAR-Enviroment is only available on ST3.x</t>
        </r>
      </text>
    </comment>
    <comment ref="AD676" authorId="0" shapeId="0" xr:uid="{DF6709ED-9C38-4976-89B8-EC4EA52DA936}">
      <text>
        <r>
          <rPr>
            <b/>
            <sz val="8"/>
            <color indexed="81"/>
            <rFont val="Segoe UI"/>
            <family val="2"/>
          </rPr>
          <t>wzr2hi:</t>
        </r>
        <r>
          <rPr>
            <sz val="8"/>
            <color indexed="81"/>
            <rFont val="Segoe UI"/>
            <family val="2"/>
          </rPr>
          <t xml:space="preserve">
[wzr2hi, 18.03.2019]
RCAR-Enviroment is only available on ST3.x</t>
        </r>
      </text>
    </comment>
    <comment ref="R677" authorId="5" shapeId="0" xr:uid="{E757AAA9-EC85-42FA-B520-1EAB2A44AE25}">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T677" authorId="1" shapeId="0" xr:uid="{88E5A06B-8021-41BD-AB7E-DFC55D6D7508}">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77" authorId="0" shapeId="0" xr:uid="{1E963B4E-3D75-443F-B753-4524CF441C9B}">
      <text>
        <r>
          <rPr>
            <b/>
            <sz val="8"/>
            <color indexed="81"/>
            <rFont val="Segoe UI"/>
            <family val="2"/>
          </rPr>
          <t>wzr2hi:</t>
        </r>
        <r>
          <rPr>
            <sz val="8"/>
            <color indexed="81"/>
            <rFont val="Segoe UI"/>
            <family val="2"/>
          </rPr>
          <t xml:space="preserve">
[wzr2hi, 18.03.2019]
RCAR-Enviroment is only available on ST3.x</t>
        </r>
      </text>
    </comment>
    <comment ref="AD678" authorId="0" shapeId="0" xr:uid="{80675744-9A6E-4E38-B7BB-615F43AE3D31}">
      <text>
        <r>
          <rPr>
            <b/>
            <sz val="8"/>
            <color indexed="81"/>
            <rFont val="Segoe UI"/>
            <family val="2"/>
          </rPr>
          <t>wzr2hi:</t>
        </r>
        <r>
          <rPr>
            <sz val="8"/>
            <color indexed="81"/>
            <rFont val="Segoe UI"/>
            <family val="2"/>
          </rPr>
          <t xml:space="preserve">
[wzr2hi, 18.03.2019]
RCAR-Enviroment is only available on ST3.x</t>
        </r>
      </text>
    </comment>
    <comment ref="T679" authorId="1" shapeId="0" xr:uid="{591A5B49-79FA-4A9B-8183-91DB0373A5E3}">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79" authorId="0" shapeId="0" xr:uid="{7080B2BA-F2FE-4022-8CE5-F3BC7D862B31}">
      <text>
        <r>
          <rPr>
            <b/>
            <sz val="8"/>
            <color indexed="81"/>
            <rFont val="Segoe UI"/>
            <family val="2"/>
          </rPr>
          <t>wzr2hi:</t>
        </r>
        <r>
          <rPr>
            <sz val="8"/>
            <color indexed="81"/>
            <rFont val="Segoe UI"/>
            <family val="2"/>
          </rPr>
          <t xml:space="preserve">
[wzr2hi, 18.03.2019]
RCAR-Enviroment is only available on ST3.x</t>
        </r>
      </text>
    </comment>
    <comment ref="R680" authorId="5" shapeId="0" xr:uid="{B892870B-11F2-4203-ACC9-1FD25AC34668}">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T680" authorId="1" shapeId="0" xr:uid="{CF2C0647-AE53-4583-AF49-D00C7CB52CA3}">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80" authorId="0" shapeId="0" xr:uid="{7DB3D30D-BDE3-4E7A-A194-2F0F7AC58607}">
      <text>
        <r>
          <rPr>
            <b/>
            <sz val="8"/>
            <color indexed="81"/>
            <rFont val="Segoe UI"/>
            <family val="2"/>
          </rPr>
          <t>wzr2hi:</t>
        </r>
        <r>
          <rPr>
            <sz val="8"/>
            <color indexed="81"/>
            <rFont val="Segoe UI"/>
            <family val="2"/>
          </rPr>
          <t xml:space="preserve">
[wzr2hi, 18.03.2019]
RCAR-Enviroment is only available on ST3.x</t>
        </r>
      </text>
    </comment>
    <comment ref="R681" authorId="5" shapeId="0" xr:uid="{B3A06169-F4DE-4C64-BB5F-CDF34997FFEF}">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AD681" authorId="0" shapeId="0" xr:uid="{2AB9A9BE-5F3B-4BC6-B06B-03D5B65D0D07}">
      <text>
        <r>
          <rPr>
            <b/>
            <sz val="8"/>
            <color indexed="81"/>
            <rFont val="Segoe UI"/>
            <family val="2"/>
          </rPr>
          <t>wzr2hi:</t>
        </r>
        <r>
          <rPr>
            <sz val="8"/>
            <color indexed="81"/>
            <rFont val="Segoe UI"/>
            <family val="2"/>
          </rPr>
          <t xml:space="preserve">
[wzr2hi, 18.03.2019]
RCAR-Enviroment is only available on ST3.x</t>
        </r>
      </text>
    </comment>
    <comment ref="R682" authorId="5" shapeId="0" xr:uid="{B18FDD05-BE42-43DC-9646-021BF9A2A751}">
      <text>
        <r>
          <rPr>
            <b/>
            <sz val="9"/>
            <color indexed="81"/>
            <rFont val="Segoe UI"/>
            <family val="2"/>
          </rPr>
          <t>Welz Ralph (XC-CI1/ERN7-E):</t>
        </r>
        <r>
          <rPr>
            <sz val="9"/>
            <color indexed="81"/>
            <rFont val="Segoe UI"/>
            <family val="2"/>
          </rPr>
          <t xml:space="preserve">
[wzr2hi, 09.02.2022] VM states HD, deviating from recent change to AM/FM for US/CAN and DAB for MEX.</t>
        </r>
      </text>
    </comment>
    <comment ref="AD682" authorId="0" shapeId="0" xr:uid="{0CD2931C-A3AC-4416-A9A6-840E5CF1059D}">
      <text>
        <r>
          <rPr>
            <b/>
            <sz val="8"/>
            <color indexed="81"/>
            <rFont val="Segoe UI"/>
            <family val="2"/>
          </rPr>
          <t>wzr2hi:</t>
        </r>
        <r>
          <rPr>
            <sz val="8"/>
            <color indexed="81"/>
            <rFont val="Segoe UI"/>
            <family val="2"/>
          </rPr>
          <t xml:space="preserve">
[wzr2hi, 18.03.2019]
RCAR-Enviroment is only available on ST3.x</t>
        </r>
      </text>
    </comment>
    <comment ref="AD683" authorId="0" shapeId="0" xr:uid="{A1A0B0BA-8E3B-4E22-8806-C46C2B4613F4}">
      <text>
        <r>
          <rPr>
            <b/>
            <sz val="8"/>
            <color indexed="81"/>
            <rFont val="Segoe UI"/>
            <family val="2"/>
          </rPr>
          <t>wzr2hi:</t>
        </r>
        <r>
          <rPr>
            <sz val="8"/>
            <color indexed="81"/>
            <rFont val="Segoe UI"/>
            <family val="2"/>
          </rPr>
          <t xml:space="preserve">
[wzr2hi, 18.03.2019]
RCAR-Enviroment is only available on ST3.x</t>
        </r>
      </text>
    </comment>
    <comment ref="AD684" authorId="0" shapeId="0" xr:uid="{C7C26F31-EEAA-44F2-99F9-92D56DB3DA6F}">
      <text>
        <r>
          <rPr>
            <b/>
            <sz val="8"/>
            <color indexed="81"/>
            <rFont val="Segoe UI"/>
            <family val="2"/>
          </rPr>
          <t>wzr2hi:</t>
        </r>
        <r>
          <rPr>
            <sz val="8"/>
            <color indexed="81"/>
            <rFont val="Segoe UI"/>
            <family val="2"/>
          </rPr>
          <t xml:space="preserve">
[wzr2hi, 18.03.2019]
RCAR-Enviroment is only available on ST3.x</t>
        </r>
      </text>
    </comment>
    <comment ref="AD685" authorId="0" shapeId="0" xr:uid="{4AD318EF-1AB3-4E12-894C-8FA89FF1B5F6}">
      <text>
        <r>
          <rPr>
            <b/>
            <sz val="8"/>
            <color indexed="81"/>
            <rFont val="Segoe UI"/>
            <family val="2"/>
          </rPr>
          <t>wzr2hi:</t>
        </r>
        <r>
          <rPr>
            <sz val="8"/>
            <color indexed="81"/>
            <rFont val="Segoe UI"/>
            <family val="2"/>
          </rPr>
          <t xml:space="preserve">
[wzr2hi, 18.03.2019]
RCAR-Enviroment is only available on ST3.x</t>
        </r>
      </text>
    </comment>
    <comment ref="AD686" authorId="0" shapeId="0" xr:uid="{BA8AB3A5-4D25-4662-85F7-40848347A943}">
      <text>
        <r>
          <rPr>
            <b/>
            <sz val="8"/>
            <color indexed="81"/>
            <rFont val="Segoe UI"/>
            <family val="2"/>
          </rPr>
          <t>wzr2hi:</t>
        </r>
        <r>
          <rPr>
            <sz val="8"/>
            <color indexed="81"/>
            <rFont val="Segoe UI"/>
            <family val="2"/>
          </rPr>
          <t xml:space="preserve">
[wzr2hi, 18.03.2019]
RCAR-Enviroment is only available on ST3.x</t>
        </r>
      </text>
    </comment>
    <comment ref="AD687" authorId="0" shapeId="0" xr:uid="{D95912DE-E26C-453C-8562-A7F397104B62}">
      <text>
        <r>
          <rPr>
            <b/>
            <sz val="8"/>
            <color indexed="81"/>
            <rFont val="Segoe UI"/>
            <family val="2"/>
          </rPr>
          <t>wzr2hi:</t>
        </r>
        <r>
          <rPr>
            <sz val="8"/>
            <color indexed="81"/>
            <rFont val="Segoe UI"/>
            <family val="2"/>
          </rPr>
          <t xml:space="preserve">
[wzr2hi, 18.03.2019]
RCAR-Enviroment is only available on ST3.x</t>
        </r>
      </text>
    </comment>
    <comment ref="AD688" authorId="0" shapeId="0" xr:uid="{2B5E9818-6D92-4751-8871-276B27E6D7C3}">
      <text>
        <r>
          <rPr>
            <b/>
            <sz val="8"/>
            <color indexed="81"/>
            <rFont val="Segoe UI"/>
            <family val="2"/>
          </rPr>
          <t>wzr2hi:</t>
        </r>
        <r>
          <rPr>
            <sz val="8"/>
            <color indexed="81"/>
            <rFont val="Segoe UI"/>
            <family val="2"/>
          </rPr>
          <t xml:space="preserve">
[wzr2hi, 18.03.2019]
RCAR-Enviroment is only available on ST3.x</t>
        </r>
      </text>
    </comment>
    <comment ref="AD689" authorId="0" shapeId="0" xr:uid="{B416D937-ED18-4F49-9348-F8ED95756116}">
      <text>
        <r>
          <rPr>
            <b/>
            <sz val="8"/>
            <color indexed="81"/>
            <rFont val="Segoe UI"/>
            <family val="2"/>
          </rPr>
          <t>wzr2hi:</t>
        </r>
        <r>
          <rPr>
            <sz val="8"/>
            <color indexed="81"/>
            <rFont val="Segoe UI"/>
            <family val="2"/>
          </rPr>
          <t xml:space="preserve">
[wzr2hi, 18.03.2019]
RCAR-Enviroment is only available on ST3.x</t>
        </r>
      </text>
    </comment>
    <comment ref="AD690" authorId="0" shapeId="0" xr:uid="{4849790A-952F-432C-9000-A837EE7C7254}">
      <text>
        <r>
          <rPr>
            <b/>
            <sz val="8"/>
            <color indexed="81"/>
            <rFont val="Segoe UI"/>
            <family val="2"/>
          </rPr>
          <t>wzr2hi:</t>
        </r>
        <r>
          <rPr>
            <sz val="8"/>
            <color indexed="81"/>
            <rFont val="Segoe UI"/>
            <family val="2"/>
          </rPr>
          <t xml:space="preserve">
[wzr2hi, 18.03.2019]
RCAR-Enviroment is only available on ST3.x</t>
        </r>
      </text>
    </comment>
    <comment ref="AD691" authorId="0" shapeId="0" xr:uid="{FCE1426F-444B-41FB-ADA4-AFD3D7F462BB}">
      <text>
        <r>
          <rPr>
            <b/>
            <sz val="8"/>
            <color indexed="81"/>
            <rFont val="Segoe UI"/>
            <family val="2"/>
          </rPr>
          <t>wzr2hi:</t>
        </r>
        <r>
          <rPr>
            <sz val="8"/>
            <color indexed="81"/>
            <rFont val="Segoe UI"/>
            <family val="2"/>
          </rPr>
          <t xml:space="preserve">
[wzr2hi, 18.03.2019]
RCAR-Enviroment is only available on ST3.x</t>
        </r>
      </text>
    </comment>
    <comment ref="L692" authorId="1" shapeId="0" xr:uid="{4A124A3A-D106-4256-84F6-DCDB0F78A2D9}">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2" authorId="0" shapeId="0" xr:uid="{DBE514B1-0309-4008-AB14-F2F70968E25D}">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2" authorId="5" shapeId="0" xr:uid="{25AA6D77-B5C4-48FE-A329-B69C870662FB}">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
[wzr2hi, 21.02.2022] On 18.01.2022 the SDS-Team released an update for SDBs on Renault. This is not yet added to the VM. But the cuts should be clear.</t>
        </r>
      </text>
    </comment>
    <comment ref="AD692" authorId="0" shapeId="0" xr:uid="{1822ACA2-6160-4EC0-8E75-4BBBCC551907}">
      <text>
        <r>
          <rPr>
            <b/>
            <sz val="8"/>
            <color indexed="81"/>
            <rFont val="Segoe UI"/>
            <family val="2"/>
          </rPr>
          <t>wzr2hi:</t>
        </r>
        <r>
          <rPr>
            <sz val="8"/>
            <color indexed="81"/>
            <rFont val="Segoe UI"/>
            <family val="2"/>
          </rPr>
          <t xml:space="preserve">
[wzr2hi, 18.03.2019]
RCAR-Enviroment is only available on ST3.x</t>
        </r>
      </text>
    </comment>
    <comment ref="L693" authorId="1" shapeId="0" xr:uid="{68F0F88B-549C-4261-A882-918C4D122E2D}">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3" authorId="0" shapeId="0" xr:uid="{270C9802-9DB5-494E-8379-748782BA07F8}">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3" authorId="5" shapeId="0" xr:uid="{16807FB1-C834-4A74-88DB-0C2F5642D9D2}">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3" authorId="0" shapeId="0" xr:uid="{1225A37A-4C75-455C-9768-D62E5F97431B}">
      <text>
        <r>
          <rPr>
            <b/>
            <sz val="8"/>
            <color indexed="81"/>
            <rFont val="Segoe UI"/>
            <family val="2"/>
          </rPr>
          <t>wzr2hi:</t>
        </r>
        <r>
          <rPr>
            <sz val="8"/>
            <color indexed="81"/>
            <rFont val="Segoe UI"/>
            <family val="2"/>
          </rPr>
          <t xml:space="preserve">
[wzr2hi, 18.03.2019]
RCAR-Enviroment is only available on ST3.x</t>
        </r>
      </text>
    </comment>
    <comment ref="L694" authorId="1" shapeId="0" xr:uid="{8E564F08-FFCE-4A63-B3D7-53D36EC26E47}">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4" authorId="0" shapeId="0" xr:uid="{32621CFD-D2F4-4D74-A682-8E90B101F663}">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4" authorId="5" shapeId="0" xr:uid="{BE1BF4F3-2395-48DA-84A8-55C31C7BEBA1}">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4" authorId="0" shapeId="0" xr:uid="{6EA31FE3-2B5C-4B5F-88AF-C5AF78130B4C}">
      <text>
        <r>
          <rPr>
            <b/>
            <sz val="8"/>
            <color indexed="81"/>
            <rFont val="Segoe UI"/>
            <family val="2"/>
          </rPr>
          <t>wzr2hi:</t>
        </r>
        <r>
          <rPr>
            <sz val="8"/>
            <color indexed="81"/>
            <rFont val="Segoe UI"/>
            <family val="2"/>
          </rPr>
          <t xml:space="preserve">
[wzr2hi, 18.03.2019]
RCAR-Enviroment is only available on ST3.x</t>
        </r>
      </text>
    </comment>
    <comment ref="L695" authorId="1" shapeId="0" xr:uid="{65B1A742-E15D-427A-BF28-A0B30894FDF5}">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5" authorId="0" shapeId="0" xr:uid="{5255951B-36FD-4FBA-B853-EE2AFBD12645}">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5" authorId="5" shapeId="0" xr:uid="{08F66375-37B6-4C33-93D7-CBD55960B19C}">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5" authorId="0" shapeId="0" xr:uid="{7AC9E5CB-FB0A-4C8E-B3EC-8E34C509721A}">
      <text>
        <r>
          <rPr>
            <b/>
            <sz val="8"/>
            <color indexed="81"/>
            <rFont val="Segoe UI"/>
            <family val="2"/>
          </rPr>
          <t>wzr2hi:</t>
        </r>
        <r>
          <rPr>
            <sz val="8"/>
            <color indexed="81"/>
            <rFont val="Segoe UI"/>
            <family val="2"/>
          </rPr>
          <t xml:space="preserve">
[wzr2hi, 18.03.2019]
RCAR-Enviroment is only available on ST3.x</t>
        </r>
      </text>
    </comment>
    <comment ref="L696" authorId="1" shapeId="0" xr:uid="{9DC0FA4C-9C11-476C-842D-8049BF414FF0}">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6" authorId="0" shapeId="0" xr:uid="{A5919FE6-2514-4B4B-8BA1-47F209795C5E}">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6" authorId="5" shapeId="0" xr:uid="{482CD5D2-D598-468D-B583-442C14B4681E}">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
[wzr2hi, 21.02.2022] On 18.01.2022 the SDS-Team released an update for SDBs on Renault. This is not yet added to the VM. But the cuts should be clear.</t>
        </r>
      </text>
    </comment>
    <comment ref="AD696" authorId="0" shapeId="0" xr:uid="{5C089F7F-09B4-4432-B9CA-33D3DCDD7285}">
      <text>
        <r>
          <rPr>
            <b/>
            <sz val="8"/>
            <color indexed="81"/>
            <rFont val="Segoe UI"/>
            <family val="2"/>
          </rPr>
          <t>wzr2hi:</t>
        </r>
        <r>
          <rPr>
            <sz val="8"/>
            <color indexed="81"/>
            <rFont val="Segoe UI"/>
            <family val="2"/>
          </rPr>
          <t xml:space="preserve">
[wzr2hi, 18.03.2019]
RCAR-Enviroment is only available on ST3.x</t>
        </r>
      </text>
    </comment>
    <comment ref="L697" authorId="1" shapeId="0" xr:uid="{9496AA95-D235-45D0-A23F-7C0DEAB1D202}">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7" authorId="0" shapeId="0" xr:uid="{BFE4AD7C-7E9C-49DA-BD70-B64EE8A1F837}">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7" authorId="5" shapeId="0" xr:uid="{F9CB7F27-CFF2-456F-8A8D-AF04FA35899F}">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7" authorId="0" shapeId="0" xr:uid="{14B52ED8-A400-47CB-AB07-3AC2D78D7AA3}">
      <text>
        <r>
          <rPr>
            <b/>
            <sz val="8"/>
            <color indexed="81"/>
            <rFont val="Segoe UI"/>
            <family val="2"/>
          </rPr>
          <t>wzr2hi:</t>
        </r>
        <r>
          <rPr>
            <sz val="8"/>
            <color indexed="81"/>
            <rFont val="Segoe UI"/>
            <family val="2"/>
          </rPr>
          <t xml:space="preserve">
[wzr2hi, 18.03.2019]
RCAR-Enviroment is only available on ST3.x</t>
        </r>
      </text>
    </comment>
    <comment ref="L698" authorId="1" shapeId="0" xr:uid="{D564CD34-FDB9-470B-8BA6-BF8868B44C52}">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8" authorId="0" shapeId="0" xr:uid="{631DBC89-8478-4AEF-BB3C-438FEC1BE48E}">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8" authorId="5" shapeId="0" xr:uid="{7AFD1C59-8EC7-4F0C-A95E-EAF2F3651EF8}">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8" authorId="0" shapeId="0" xr:uid="{79B24212-C420-4BC0-9E71-3781DD69F4CE}">
      <text>
        <r>
          <rPr>
            <b/>
            <sz val="8"/>
            <color indexed="81"/>
            <rFont val="Segoe UI"/>
            <family val="2"/>
          </rPr>
          <t>wzr2hi:</t>
        </r>
        <r>
          <rPr>
            <sz val="8"/>
            <color indexed="81"/>
            <rFont val="Segoe UI"/>
            <family val="2"/>
          </rPr>
          <t xml:space="preserve">
[wzr2hi, 18.03.2019]
RCAR-Enviroment is only available on ST3.x</t>
        </r>
      </text>
    </comment>
    <comment ref="L699" authorId="1" shapeId="0" xr:uid="{55E98F62-52F1-4AD0-8DD1-D8304C8235C4}">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9" authorId="0" shapeId="0" xr:uid="{742FFFEF-CA34-49BF-8939-617DD1FB1674}">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V699" authorId="0" shapeId="0" xr:uid="{BEBA5E07-5BDB-4F5A-8E19-FADB6ADAE446}">
      <text>
        <r>
          <rPr>
            <b/>
            <sz val="8"/>
            <color indexed="81"/>
            <rFont val="Segoe UI"/>
            <family val="2"/>
          </rPr>
          <t>wzr2hi:</t>
        </r>
        <r>
          <rPr>
            <sz val="8"/>
            <color indexed="81"/>
            <rFont val="Segoe UI"/>
            <family val="2"/>
          </rPr>
          <t xml:space="preserve">
Map-Data for Korea will never be available outside of Korea.</t>
        </r>
      </text>
    </comment>
    <comment ref="AD699" authorId="0" shapeId="0" xr:uid="{7717633C-2E02-446E-923B-7C9545CA1835}">
      <text>
        <r>
          <rPr>
            <b/>
            <sz val="8"/>
            <color indexed="81"/>
            <rFont val="Segoe UI"/>
            <family val="2"/>
          </rPr>
          <t>wzr2hi:</t>
        </r>
        <r>
          <rPr>
            <sz val="8"/>
            <color indexed="81"/>
            <rFont val="Segoe UI"/>
            <family val="2"/>
          </rPr>
          <t xml:space="preserve">
[wzr2hi, 18.03.2019]
RCAR-Enviroment is only available on ST3.x</t>
        </r>
      </text>
    </comment>
    <comment ref="T700" authorId="1" shapeId="0" xr:uid="{568B0003-C11E-446A-926C-A51FB6ECEA31}">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00" authorId="0" shapeId="0" xr:uid="{A3C4332C-BB90-447A-BE94-ADA3B27DB516}">
      <text>
        <r>
          <rPr>
            <b/>
            <sz val="8"/>
            <color indexed="81"/>
            <rFont val="Segoe UI"/>
            <family val="2"/>
          </rPr>
          <t>wzr2hi:</t>
        </r>
        <r>
          <rPr>
            <sz val="8"/>
            <color indexed="81"/>
            <rFont val="Segoe UI"/>
            <family val="2"/>
          </rPr>
          <t xml:space="preserve">
[wzr2hi, 18.03.2019]
RCAR-Enviroment is only available on ST3.x</t>
        </r>
      </text>
    </comment>
    <comment ref="AD701" authorId="0" shapeId="0" xr:uid="{874ECACD-21BA-4ADF-AEAE-3DBCA5C73924}">
      <text>
        <r>
          <rPr>
            <b/>
            <sz val="8"/>
            <color indexed="81"/>
            <rFont val="Segoe UI"/>
            <family val="2"/>
          </rPr>
          <t>wzr2hi:</t>
        </r>
        <r>
          <rPr>
            <sz val="8"/>
            <color indexed="81"/>
            <rFont val="Segoe UI"/>
            <family val="2"/>
          </rPr>
          <t xml:space="preserve">
[wzr2hi, 18.03.2019]
RCAR-Enviroment is only available on ST3.x</t>
        </r>
      </text>
    </comment>
    <comment ref="AD702" authorId="0" shapeId="0" xr:uid="{173232EE-D816-4892-8240-A766E7854726}">
      <text>
        <r>
          <rPr>
            <b/>
            <sz val="8"/>
            <color indexed="81"/>
            <rFont val="Segoe UI"/>
            <family val="2"/>
          </rPr>
          <t>wzr2hi:</t>
        </r>
        <r>
          <rPr>
            <sz val="8"/>
            <color indexed="81"/>
            <rFont val="Segoe UI"/>
            <family val="2"/>
          </rPr>
          <t xml:space="preserve">
[wzr2hi, 18.03.2019]
RCAR-Enviroment is only available on ST3.x</t>
        </r>
      </text>
    </comment>
    <comment ref="T703" authorId="1" shapeId="0" xr:uid="{84782F84-FB12-49F0-AA4C-A1A702EA7039}">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03" authorId="0" shapeId="0" xr:uid="{EC21D718-1067-4766-90DE-84657C363CC5}">
      <text>
        <r>
          <rPr>
            <b/>
            <sz val="8"/>
            <color indexed="81"/>
            <rFont val="Segoe UI"/>
            <family val="2"/>
          </rPr>
          <t>wzr2hi:</t>
        </r>
        <r>
          <rPr>
            <sz val="8"/>
            <color indexed="81"/>
            <rFont val="Segoe UI"/>
            <family val="2"/>
          </rPr>
          <t xml:space="preserve">
[wzr2hi, 18.03.2019]
RCAR-Enviroment is only available on ST3.x</t>
        </r>
      </text>
    </comment>
    <comment ref="R704" authorId="5" shapeId="0" xr:uid="{E0818F50-4599-42E7-8169-8119B65C340A}">
      <text>
        <r>
          <rPr>
            <b/>
            <sz val="9"/>
            <color indexed="81"/>
            <rFont val="Segoe UI"/>
            <family val="2"/>
          </rPr>
          <t>Welz Ralph (XC-CI1/ERN7-E):</t>
        </r>
        <r>
          <rPr>
            <sz val="9"/>
            <color indexed="81"/>
            <rFont val="Segoe UI"/>
            <family val="2"/>
          </rPr>
          <t xml:space="preserve">
[wzr2hi, 04.10.2022] According to Jürgen Boes MMC ordered the same setup as Nissan. MMC got also the VM and did not complain. So we can assume MMC dropped HD compared to ST3.1.</t>
        </r>
      </text>
    </comment>
    <comment ref="T704" authorId="1" shapeId="0" xr:uid="{882761C4-3C5C-4BF8-8459-7F3D0F84D359}">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04" authorId="0" shapeId="0" xr:uid="{B076A225-C873-4BE4-8F50-234B4CFE4D70}">
      <text>
        <r>
          <rPr>
            <b/>
            <sz val="8"/>
            <color indexed="81"/>
            <rFont val="Segoe UI"/>
            <family val="2"/>
          </rPr>
          <t>wzr2hi:</t>
        </r>
        <r>
          <rPr>
            <sz val="8"/>
            <color indexed="81"/>
            <rFont val="Segoe UI"/>
            <family val="2"/>
          </rPr>
          <t xml:space="preserve">
[wzr2hi, 18.03.2019]
RCAR-Enviroment is only available on ST3.x</t>
        </r>
      </text>
    </comment>
    <comment ref="AD705" authorId="0" shapeId="0" xr:uid="{5178A86B-100F-4886-883C-C989175A2AC8}">
      <text>
        <r>
          <rPr>
            <b/>
            <sz val="8"/>
            <color indexed="81"/>
            <rFont val="Segoe UI"/>
            <family val="2"/>
          </rPr>
          <t>wzr2hi:</t>
        </r>
        <r>
          <rPr>
            <sz val="8"/>
            <color indexed="81"/>
            <rFont val="Segoe UI"/>
            <family val="2"/>
          </rPr>
          <t xml:space="preserve">
[wzr2hi, 18.03.2019]
RCAR-Enviroment is only available on ST3.x</t>
        </r>
      </text>
    </comment>
    <comment ref="AD706" authorId="0" shapeId="0" xr:uid="{F14C1E01-F716-4146-A022-AEFD2A173817}">
      <text>
        <r>
          <rPr>
            <b/>
            <sz val="8"/>
            <color indexed="81"/>
            <rFont val="Segoe UI"/>
            <family val="2"/>
          </rPr>
          <t>wzr2hi:</t>
        </r>
        <r>
          <rPr>
            <sz val="8"/>
            <color indexed="81"/>
            <rFont val="Segoe UI"/>
            <family val="2"/>
          </rPr>
          <t xml:space="preserve">
[wzr2hi, 18.03.2019]
RCAR-Enviroment is only available on ST3.x</t>
        </r>
      </text>
    </comment>
    <comment ref="T707" authorId="1" shapeId="0" xr:uid="{D6711D6D-88CB-49FA-9F46-614CCF1FF25F}">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07" authorId="0" shapeId="0" xr:uid="{2E9EEBEE-5B5A-475E-843D-63D256EC8726}">
      <text>
        <r>
          <rPr>
            <b/>
            <sz val="8"/>
            <color indexed="81"/>
            <rFont val="Segoe UI"/>
            <family val="2"/>
          </rPr>
          <t>wzr2hi:</t>
        </r>
        <r>
          <rPr>
            <sz val="8"/>
            <color indexed="81"/>
            <rFont val="Segoe UI"/>
            <family val="2"/>
          </rPr>
          <t xml:space="preserve">
[wzr2hi, 18.03.2019]
RCAR-Enviroment is only available on ST3.x</t>
        </r>
      </text>
    </comment>
    <comment ref="O708" authorId="5" shapeId="0" xr:uid="{D95CBCB5-F3DC-486C-B361-268700AF65DD}">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 16.01.2023] According to Marcus Fach the new SDB Spec Sheet is confirmed by Nissan and Renault. Nissan CCS1.5 DA devices get EUR_FSG. However, implementation of this old sample is still EUR_NLU as of now..
[wrz2hi, 29.03.2023] Requirements of MMC are not clear. Current opinion is MMC DA eq. NISSAN DA.</t>
        </r>
      </text>
    </comment>
    <comment ref="AD708" authorId="0" shapeId="0" xr:uid="{264772DA-38D8-423A-BD0A-9F2F2B700F6C}">
      <text>
        <r>
          <rPr>
            <b/>
            <sz val="8"/>
            <color indexed="81"/>
            <rFont val="Segoe UI"/>
            <family val="2"/>
          </rPr>
          <t>wzr2hi:</t>
        </r>
        <r>
          <rPr>
            <sz val="8"/>
            <color indexed="81"/>
            <rFont val="Segoe UI"/>
            <family val="2"/>
          </rPr>
          <t xml:space="preserve">
[wzr2hi, 18.03.2019]
RCAR-Enviroment is only available on ST3.x</t>
        </r>
      </text>
    </comment>
    <comment ref="AD709" authorId="0" shapeId="0" xr:uid="{BD39E4EB-C1FF-4CA8-A85A-D8CE168E24F6}">
      <text>
        <r>
          <rPr>
            <b/>
            <sz val="8"/>
            <color indexed="81"/>
            <rFont val="Segoe UI"/>
            <family val="2"/>
          </rPr>
          <t>wzr2hi:</t>
        </r>
        <r>
          <rPr>
            <sz val="8"/>
            <color indexed="81"/>
            <rFont val="Segoe UI"/>
            <family val="2"/>
          </rPr>
          <t xml:space="preserve">
[wzr2hi, 18.03.2019]
RCAR-Enviroment is only available on ST3.x</t>
        </r>
      </text>
    </comment>
    <comment ref="AD710" authorId="0" shapeId="0" xr:uid="{E1B13299-EF0D-4613-A7DD-BF4061B09FD2}">
      <text>
        <r>
          <rPr>
            <b/>
            <sz val="8"/>
            <color indexed="81"/>
            <rFont val="Segoe UI"/>
            <family val="2"/>
          </rPr>
          <t>wzr2hi:</t>
        </r>
        <r>
          <rPr>
            <sz val="8"/>
            <color indexed="81"/>
            <rFont val="Segoe UI"/>
            <family val="2"/>
          </rPr>
          <t xml:space="preserve">
[wzr2hi, 18.03.2019]
RCAR-Enviroment is only available on ST3.x</t>
        </r>
      </text>
    </comment>
    <comment ref="O711" authorId="5" shapeId="0" xr:uid="{5FB14D80-60D2-4729-9F21-8D0837EA0E6F}">
      <text>
        <r>
          <rPr>
            <b/>
            <sz val="9"/>
            <color indexed="81"/>
            <rFont val="Segoe UI"/>
            <family val="2"/>
          </rPr>
          <t>Welz Ralph (XC-CI1/ERN7-E):</t>
        </r>
        <r>
          <rPr>
            <sz val="9"/>
            <color indexed="81"/>
            <rFont val="Segoe UI"/>
            <family val="2"/>
          </rPr>
          <t xml:space="preserve">
[wzr2hi, 29.03.2023] Latest PRCFSG versions have also Dutch (one Russion speaker has been dropped). This makes a "GOM" DA possible.</t>
        </r>
      </text>
    </comment>
    <comment ref="AD711" authorId="0" shapeId="0" xr:uid="{873B3B5D-18DB-4809-8B9A-E671FECEA224}">
      <text>
        <r>
          <rPr>
            <b/>
            <sz val="8"/>
            <color indexed="81"/>
            <rFont val="Segoe UI"/>
            <family val="2"/>
          </rPr>
          <t>wzr2hi:</t>
        </r>
        <r>
          <rPr>
            <sz val="8"/>
            <color indexed="81"/>
            <rFont val="Segoe UI"/>
            <family val="2"/>
          </rPr>
          <t xml:space="preserve">
[wzr2hi, 18.03.2019]
RCAR-Enviroment is only available on ST3.x</t>
        </r>
      </text>
    </comment>
    <comment ref="AD712" authorId="0" shapeId="0" xr:uid="{0766EE4C-AE1B-4AC5-A19A-F1A1E5620066}">
      <text>
        <r>
          <rPr>
            <b/>
            <sz val="8"/>
            <color indexed="81"/>
            <rFont val="Segoe UI"/>
            <family val="2"/>
          </rPr>
          <t>wzr2hi:</t>
        </r>
        <r>
          <rPr>
            <sz val="8"/>
            <color indexed="81"/>
            <rFont val="Segoe UI"/>
            <family val="2"/>
          </rPr>
          <t xml:space="preserve">
[wzr2hi, 18.03.2019]
RCAR-Enviroment is only available on ST3.x</t>
        </r>
      </text>
    </comment>
    <comment ref="AD713" authorId="0" shapeId="0" xr:uid="{D5E8C631-E73F-4666-BB70-3A7B1020BB37}">
      <text>
        <r>
          <rPr>
            <b/>
            <sz val="8"/>
            <color indexed="81"/>
            <rFont val="Segoe UI"/>
            <family val="2"/>
          </rPr>
          <t>wzr2hi:</t>
        </r>
        <r>
          <rPr>
            <sz val="8"/>
            <color indexed="81"/>
            <rFont val="Segoe UI"/>
            <family val="2"/>
          </rPr>
          <t xml:space="preserve">
[wzr2hi, 18.03.2019]
RCAR-Enviroment is only available on ST3.x</t>
        </r>
      </text>
    </comment>
    <comment ref="AD714" authorId="0" shapeId="0" xr:uid="{B682AEF1-A8D8-4987-86C7-DBD489200094}">
      <text>
        <r>
          <rPr>
            <b/>
            <sz val="8"/>
            <color indexed="81"/>
            <rFont val="Segoe UI"/>
            <family val="2"/>
          </rPr>
          <t>wzr2hi:</t>
        </r>
        <r>
          <rPr>
            <sz val="8"/>
            <color indexed="81"/>
            <rFont val="Segoe UI"/>
            <family val="2"/>
          </rPr>
          <t xml:space="preserve">
[wzr2hi, 18.03.2019]
RCAR-Enviroment is only available on ST3.x</t>
        </r>
      </text>
    </comment>
    <comment ref="AD715" authorId="0" shapeId="0" xr:uid="{EEBCB8C8-B4EB-4477-A267-CF2934A3FFF2}">
      <text>
        <r>
          <rPr>
            <b/>
            <sz val="8"/>
            <color indexed="81"/>
            <rFont val="Segoe UI"/>
            <family val="2"/>
          </rPr>
          <t>wzr2hi:</t>
        </r>
        <r>
          <rPr>
            <sz val="8"/>
            <color indexed="81"/>
            <rFont val="Segoe UI"/>
            <family val="2"/>
          </rPr>
          <t xml:space="preserve">
[wzr2hi, 18.03.2019]
RCAR-Enviroment is only available on ST3.x</t>
        </r>
      </text>
    </comment>
    <comment ref="AD716" authorId="0" shapeId="0" xr:uid="{63FEA8FA-C4AB-446D-BBE0-BBF27B83223A}">
      <text>
        <r>
          <rPr>
            <b/>
            <sz val="8"/>
            <color indexed="81"/>
            <rFont val="Segoe UI"/>
            <family val="2"/>
          </rPr>
          <t>wzr2hi:</t>
        </r>
        <r>
          <rPr>
            <sz val="8"/>
            <color indexed="81"/>
            <rFont val="Segoe UI"/>
            <family val="2"/>
          </rPr>
          <t xml:space="preserve">
[wzr2hi, 18.03.2019]
RCAR-Enviroment is only available on ST3.x</t>
        </r>
      </text>
    </comment>
    <comment ref="AD717" authorId="0" shapeId="0" xr:uid="{3B6CF792-8182-401A-9CB8-B086BDAAEEFD}">
      <text>
        <r>
          <rPr>
            <b/>
            <sz val="8"/>
            <color indexed="81"/>
            <rFont val="Segoe UI"/>
            <family val="2"/>
          </rPr>
          <t>wzr2hi:</t>
        </r>
        <r>
          <rPr>
            <sz val="8"/>
            <color indexed="81"/>
            <rFont val="Segoe UI"/>
            <family val="2"/>
          </rPr>
          <t xml:space="preserve">
[wzr2hi, 18.03.2019]
RCAR-Enviroment is only available on ST3.x</t>
        </r>
      </text>
    </comment>
    <comment ref="AD718" authorId="0" shapeId="0" xr:uid="{B5548261-1504-431A-AD8D-610AB4C56185}">
      <text>
        <r>
          <rPr>
            <b/>
            <sz val="8"/>
            <color indexed="81"/>
            <rFont val="Segoe UI"/>
            <family val="2"/>
          </rPr>
          <t>wzr2hi:</t>
        </r>
        <r>
          <rPr>
            <sz val="8"/>
            <color indexed="81"/>
            <rFont val="Segoe UI"/>
            <family val="2"/>
          </rPr>
          <t xml:space="preserve">
[wzr2hi, 18.03.2019]
RCAR-Enviroment is only available on ST3.x</t>
        </r>
      </text>
    </comment>
    <comment ref="AD719" authorId="0" shapeId="0" xr:uid="{6BD346CD-D94E-43CC-9D88-3D30C792BCAB}">
      <text>
        <r>
          <rPr>
            <b/>
            <sz val="8"/>
            <color indexed="81"/>
            <rFont val="Segoe UI"/>
            <family val="2"/>
          </rPr>
          <t>wzr2hi:</t>
        </r>
        <r>
          <rPr>
            <sz val="8"/>
            <color indexed="81"/>
            <rFont val="Segoe UI"/>
            <family val="2"/>
          </rPr>
          <t xml:space="preserve">
[wzr2hi, 18.03.2019]
RCAR-Enviroment is only available on ST3.x</t>
        </r>
      </text>
    </comment>
    <comment ref="R720" authorId="5" shapeId="0" xr:uid="{557E96B4-E1A5-4374-986A-0099D9779A63}">
      <text>
        <r>
          <rPr>
            <b/>
            <sz val="9"/>
            <color indexed="81"/>
            <rFont val="Segoe UI"/>
            <family val="2"/>
          </rPr>
          <t>Welz Ralph (XC-CI1/ERN7-E):</t>
        </r>
        <r>
          <rPr>
            <sz val="9"/>
            <color indexed="81"/>
            <rFont val="Segoe UI"/>
            <family val="2"/>
          </rPr>
          <t xml:space="preserve">
[wzr2hi, 04.10.2022] According to Jürgen Boes MMC ordered the same setup as Nissan. MMC got also the VM and did not complain. So we can assume MMC dropped HD compared to ST3.1.</t>
        </r>
      </text>
    </comment>
    <comment ref="T720" authorId="1" shapeId="0" xr:uid="{19D33106-31B8-4D0A-BC28-33E6C5C9A636}">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20" authorId="0" shapeId="0" xr:uid="{0D83F751-B3AB-4109-9D9A-80E704813C11}">
      <text>
        <r>
          <rPr>
            <b/>
            <sz val="8"/>
            <color indexed="81"/>
            <rFont val="Segoe UI"/>
            <family val="2"/>
          </rPr>
          <t>wzr2hi:</t>
        </r>
        <r>
          <rPr>
            <sz val="8"/>
            <color indexed="81"/>
            <rFont val="Segoe UI"/>
            <family val="2"/>
          </rPr>
          <t xml:space="preserve">
[wzr2hi, 18.03.2019]
RCAR-Enviroment is only available on ST3.x</t>
        </r>
      </text>
    </comment>
    <comment ref="AD721" authorId="0" shapeId="0" xr:uid="{EB91A601-34C9-441F-9A46-74F517A4FF73}">
      <text>
        <r>
          <rPr>
            <b/>
            <sz val="8"/>
            <color indexed="81"/>
            <rFont val="Segoe UI"/>
            <family val="2"/>
          </rPr>
          <t>wzr2hi:</t>
        </r>
        <r>
          <rPr>
            <sz val="8"/>
            <color indexed="81"/>
            <rFont val="Segoe UI"/>
            <family val="2"/>
          </rPr>
          <t xml:space="preserve">
[wzr2hi, 18.03.2019]
RCAR-Enviroment is only available on ST3.x</t>
        </r>
      </text>
    </comment>
    <comment ref="AD722" authorId="0" shapeId="0" xr:uid="{0F5C599C-7AC4-4658-95C9-F5A7FA58D243}">
      <text>
        <r>
          <rPr>
            <b/>
            <sz val="8"/>
            <color indexed="81"/>
            <rFont val="Segoe UI"/>
            <family val="2"/>
          </rPr>
          <t>wzr2hi:</t>
        </r>
        <r>
          <rPr>
            <sz val="8"/>
            <color indexed="81"/>
            <rFont val="Segoe UI"/>
            <family val="2"/>
          </rPr>
          <t xml:space="preserve">
[wzr2hi, 18.03.2019]
RCAR-Enviroment is only available on ST3.x</t>
        </r>
      </text>
    </comment>
    <comment ref="AD723" authorId="0" shapeId="0" xr:uid="{F443887F-2C96-44EA-9473-1E2845720E0B}">
      <text>
        <r>
          <rPr>
            <b/>
            <sz val="8"/>
            <color indexed="81"/>
            <rFont val="Segoe UI"/>
            <family val="2"/>
          </rPr>
          <t>wzr2hi:</t>
        </r>
        <r>
          <rPr>
            <sz val="8"/>
            <color indexed="81"/>
            <rFont val="Segoe UI"/>
            <family val="2"/>
          </rPr>
          <t xml:space="preserve">
[wzr2hi, 18.03.2019]
RCAR-Enviroment is only available on ST3.x</t>
        </r>
      </text>
    </comment>
    <comment ref="AD724" authorId="0" shapeId="0" xr:uid="{EC1C5F91-212A-4D16-B144-FA2F3CD01FEF}">
      <text>
        <r>
          <rPr>
            <b/>
            <sz val="8"/>
            <color indexed="81"/>
            <rFont val="Segoe UI"/>
            <family val="2"/>
          </rPr>
          <t>wzr2hi:</t>
        </r>
        <r>
          <rPr>
            <sz val="8"/>
            <color indexed="81"/>
            <rFont val="Segoe UI"/>
            <family val="2"/>
          </rPr>
          <t xml:space="preserve">
[wzr2hi, 18.03.2019]
RCAR-Enviroment is only available on ST3.x</t>
        </r>
      </text>
    </comment>
    <comment ref="AD725" authorId="0" shapeId="0" xr:uid="{76F74371-8D4D-409B-A6C9-E8386FE1D84C}">
      <text>
        <r>
          <rPr>
            <b/>
            <sz val="8"/>
            <color indexed="81"/>
            <rFont val="Segoe UI"/>
            <family val="2"/>
          </rPr>
          <t>wzr2hi:</t>
        </r>
        <r>
          <rPr>
            <sz val="8"/>
            <color indexed="81"/>
            <rFont val="Segoe UI"/>
            <family val="2"/>
          </rPr>
          <t xml:space="preserve">
[wzr2hi, 18.03.2019]
RCAR-Enviroment is only available on ST3.x</t>
        </r>
      </text>
    </comment>
    <comment ref="AD726" authorId="0" shapeId="0" xr:uid="{C760D6B2-1D37-472C-90BA-5DF4D8FE508A}">
      <text>
        <r>
          <rPr>
            <b/>
            <sz val="8"/>
            <color indexed="81"/>
            <rFont val="Segoe UI"/>
            <family val="2"/>
          </rPr>
          <t>wzr2hi:</t>
        </r>
        <r>
          <rPr>
            <sz val="8"/>
            <color indexed="81"/>
            <rFont val="Segoe UI"/>
            <family val="2"/>
          </rPr>
          <t xml:space="preserve">
[wzr2hi, 18.03.2019]
RCAR-Enviroment is only available on ST3.x</t>
        </r>
      </text>
    </comment>
    <comment ref="AD727" authorId="0" shapeId="0" xr:uid="{31A71018-D37F-4935-B091-4CB65514A3B8}">
      <text>
        <r>
          <rPr>
            <b/>
            <sz val="8"/>
            <color indexed="81"/>
            <rFont val="Segoe UI"/>
            <family val="2"/>
          </rPr>
          <t>wzr2hi:</t>
        </r>
        <r>
          <rPr>
            <sz val="8"/>
            <color indexed="81"/>
            <rFont val="Segoe UI"/>
            <family val="2"/>
          </rPr>
          <t xml:space="preserve">
[wzr2hi, 18.03.2019]
RCAR-Enviroment is only available on ST3.x</t>
        </r>
      </text>
    </comment>
    <comment ref="AD728" authorId="0" shapeId="0" xr:uid="{9087D559-405A-499D-A689-EC73C737BFA3}">
      <text>
        <r>
          <rPr>
            <b/>
            <sz val="8"/>
            <color indexed="81"/>
            <rFont val="Segoe UI"/>
            <family val="2"/>
          </rPr>
          <t>wzr2hi:</t>
        </r>
        <r>
          <rPr>
            <sz val="8"/>
            <color indexed="81"/>
            <rFont val="Segoe UI"/>
            <family val="2"/>
          </rPr>
          <t xml:space="preserve">
[wzr2hi, 18.03.2019]
RCAR-Enviroment is only available on ST3.x</t>
        </r>
      </text>
    </comment>
    <comment ref="AD729" authorId="0" shapeId="0" xr:uid="{EA3417C3-D945-43EF-80FC-6578F418EF8F}">
      <text>
        <r>
          <rPr>
            <b/>
            <sz val="8"/>
            <color indexed="81"/>
            <rFont val="Segoe UI"/>
            <family val="2"/>
          </rPr>
          <t>wzr2hi:</t>
        </r>
        <r>
          <rPr>
            <sz val="8"/>
            <color indexed="81"/>
            <rFont val="Segoe UI"/>
            <family val="2"/>
          </rPr>
          <t xml:space="preserve">
[wzr2hi, 18.03.2019]
RCAR-Enviroment is only available on ST3.x</t>
        </r>
      </text>
    </comment>
    <comment ref="AD730" authorId="0" shapeId="0" xr:uid="{45D4FB04-4C19-4B33-8B16-8EA3D8600B45}">
      <text>
        <r>
          <rPr>
            <b/>
            <sz val="8"/>
            <color indexed="81"/>
            <rFont val="Segoe UI"/>
            <family val="2"/>
          </rPr>
          <t>wzr2hi:</t>
        </r>
        <r>
          <rPr>
            <sz val="8"/>
            <color indexed="81"/>
            <rFont val="Segoe UI"/>
            <family val="2"/>
          </rPr>
          <t xml:space="preserve">
[wzr2hi, 18.03.2019]
RCAR-Enviroment is only available on ST3.x</t>
        </r>
      </text>
    </comment>
    <comment ref="AD731" authorId="0" shapeId="0" xr:uid="{36A0BD88-F005-44DE-9846-A636D27FFFCA}">
      <text>
        <r>
          <rPr>
            <b/>
            <sz val="8"/>
            <color indexed="81"/>
            <rFont val="Segoe UI"/>
            <family val="2"/>
          </rPr>
          <t>wzr2hi:</t>
        </r>
        <r>
          <rPr>
            <sz val="8"/>
            <color indexed="81"/>
            <rFont val="Segoe UI"/>
            <family val="2"/>
          </rPr>
          <t xml:space="preserve">
[wzr2hi, 18.03.2019]
RCAR-Enviroment is only available on ST3.x</t>
        </r>
      </text>
    </comment>
    <comment ref="AD732" authorId="0" shapeId="0" xr:uid="{A435D88D-F306-4344-9A64-11912EA87DA9}">
      <text>
        <r>
          <rPr>
            <b/>
            <sz val="8"/>
            <color indexed="81"/>
            <rFont val="Segoe UI"/>
            <family val="2"/>
          </rPr>
          <t>wzr2hi:</t>
        </r>
        <r>
          <rPr>
            <sz val="8"/>
            <color indexed="81"/>
            <rFont val="Segoe UI"/>
            <family val="2"/>
          </rPr>
          <t xml:space="preserve">
[wzr2hi, 18.03.2019]
RCAR-Enviroment is only available on ST3.x</t>
        </r>
      </text>
    </comment>
    <comment ref="AD733" authorId="0" shapeId="0" xr:uid="{126EA19A-8F03-4DC7-8283-7B64C946AB23}">
      <text>
        <r>
          <rPr>
            <b/>
            <sz val="8"/>
            <color indexed="81"/>
            <rFont val="Segoe UI"/>
            <family val="2"/>
          </rPr>
          <t>wzr2hi:</t>
        </r>
        <r>
          <rPr>
            <sz val="8"/>
            <color indexed="81"/>
            <rFont val="Segoe UI"/>
            <family val="2"/>
          </rPr>
          <t xml:space="preserve">
[wzr2hi, 18.03.2019]
RCAR-Enviroment is only available on ST3.x</t>
        </r>
      </text>
    </comment>
    <comment ref="AD734" authorId="0" shapeId="0" xr:uid="{ADAF9069-1A6C-4916-8B48-7AB43323A2E4}">
      <text>
        <r>
          <rPr>
            <b/>
            <sz val="8"/>
            <color indexed="81"/>
            <rFont val="Segoe UI"/>
            <family val="2"/>
          </rPr>
          <t>wzr2hi:</t>
        </r>
        <r>
          <rPr>
            <sz val="8"/>
            <color indexed="81"/>
            <rFont val="Segoe UI"/>
            <family val="2"/>
          </rPr>
          <t xml:space="preserve">
[wzr2hi, 18.03.2019]
RCAR-Enviroment is only available on ST3.x</t>
        </r>
      </text>
    </comment>
    <comment ref="T735" authorId="1" shapeId="0" xr:uid="{ACDFF32E-5385-457E-A970-CB81371977E8}">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35" authorId="0" shapeId="0" xr:uid="{D044AF39-57E7-46AA-80CC-18B7B0C88628}">
      <text>
        <r>
          <rPr>
            <b/>
            <sz val="8"/>
            <color indexed="81"/>
            <rFont val="Segoe UI"/>
            <family val="2"/>
          </rPr>
          <t>wzr2hi:</t>
        </r>
        <r>
          <rPr>
            <sz val="8"/>
            <color indexed="81"/>
            <rFont val="Segoe UI"/>
            <family val="2"/>
          </rPr>
          <t xml:space="preserve">
[wzr2hi, 18.03.2019]
RCAR-Enviroment is only available on ST3.x</t>
        </r>
      </text>
    </comment>
    <comment ref="AD736" authorId="0" shapeId="0" xr:uid="{8DA97411-D738-4474-A72A-27318E073F3F}">
      <text>
        <r>
          <rPr>
            <b/>
            <sz val="8"/>
            <color indexed="81"/>
            <rFont val="Segoe UI"/>
            <family val="2"/>
          </rPr>
          <t>wzr2hi:</t>
        </r>
        <r>
          <rPr>
            <sz val="8"/>
            <color indexed="81"/>
            <rFont val="Segoe UI"/>
            <family val="2"/>
          </rPr>
          <t xml:space="preserve">
[wzr2hi, 18.03.2019]
RCAR-Enviroment is only available on ST3.x</t>
        </r>
      </text>
    </comment>
    <comment ref="AD737" authorId="0" shapeId="0" xr:uid="{0E975072-25D1-433F-B54A-2B25A09F7BD0}">
      <text>
        <r>
          <rPr>
            <b/>
            <sz val="8"/>
            <color indexed="81"/>
            <rFont val="Segoe UI"/>
            <family val="2"/>
          </rPr>
          <t>wzr2hi:</t>
        </r>
        <r>
          <rPr>
            <sz val="8"/>
            <color indexed="81"/>
            <rFont val="Segoe UI"/>
            <family val="2"/>
          </rPr>
          <t xml:space="preserve">
[wzr2hi, 18.03.2019]
RCAR-Enviroment is only available on ST3.x</t>
        </r>
      </text>
    </comment>
    <comment ref="O738" authorId="5" shapeId="0" xr:uid="{1F4FFAF6-FFEF-43BA-82BC-28E00CD64958}">
      <text>
        <r>
          <rPr>
            <b/>
            <sz val="9"/>
            <color indexed="81"/>
            <rFont val="Segoe UI"/>
            <family val="2"/>
          </rPr>
          <t>Welz Ralph (XC-CI1/ERN7-E):</t>
        </r>
        <r>
          <rPr>
            <sz val="9"/>
            <color indexed="81"/>
            <rFont val="Segoe UI"/>
            <family val="2"/>
          </rPr>
          <t xml:space="preserve">
[wzr2hi, 29.03.2023] Latest PRCFSG versions have also Dutch (one Russion speaker has been dropped). This makes a "GOM" DA possible.</t>
        </r>
      </text>
    </comment>
    <comment ref="AD738" authorId="0" shapeId="0" xr:uid="{48462505-AF3E-4E77-8B64-AB4AA4921838}">
      <text>
        <r>
          <rPr>
            <b/>
            <sz val="8"/>
            <color indexed="81"/>
            <rFont val="Segoe UI"/>
            <family val="2"/>
          </rPr>
          <t>wzr2hi:</t>
        </r>
        <r>
          <rPr>
            <sz val="8"/>
            <color indexed="81"/>
            <rFont val="Segoe UI"/>
            <family val="2"/>
          </rPr>
          <t xml:space="preserve">
[wzr2hi, 18.03.2019]
RCAR-Enviroment is only available on ST3.x</t>
        </r>
      </text>
    </comment>
    <comment ref="AD739" authorId="0" shapeId="0" xr:uid="{0CDEDA2A-CC02-4274-94DF-90A9E2EFC0E9}">
      <text>
        <r>
          <rPr>
            <b/>
            <sz val="8"/>
            <color indexed="81"/>
            <rFont val="Segoe UI"/>
            <family val="2"/>
          </rPr>
          <t>wzr2hi:</t>
        </r>
        <r>
          <rPr>
            <sz val="8"/>
            <color indexed="81"/>
            <rFont val="Segoe UI"/>
            <family val="2"/>
          </rPr>
          <t xml:space="preserve">
[wzr2hi, 18.03.2019]
RCAR-Enviroment is only available on ST3.x</t>
        </r>
      </text>
    </comment>
    <comment ref="R740" authorId="5" shapeId="0" xr:uid="{561BD61B-A657-49B9-ACF3-642C8B032400}">
      <text>
        <r>
          <rPr>
            <b/>
            <sz val="9"/>
            <color indexed="81"/>
            <rFont val="Segoe UI"/>
            <family val="2"/>
          </rPr>
          <t>Welz Ralph (XC-CI1/ERN7-E):</t>
        </r>
        <r>
          <rPr>
            <sz val="9"/>
            <color indexed="81"/>
            <rFont val="Segoe UI"/>
            <family val="2"/>
          </rPr>
          <t xml:space="preserve">
[wzr2hi, 11.06.2021} Bosch Offer CCS 1.5 DA: Removal of HD compared to NAV.</t>
        </r>
      </text>
    </comment>
    <comment ref="T740" authorId="1" shapeId="0" xr:uid="{F10A4BC6-C6B1-4DA7-9128-9FE5424BBDF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40" authorId="0" shapeId="0" xr:uid="{B0C86032-B492-486D-97F5-69B085D791E6}">
      <text>
        <r>
          <rPr>
            <b/>
            <sz val="8"/>
            <color indexed="81"/>
            <rFont val="Segoe UI"/>
            <family val="2"/>
          </rPr>
          <t>wzr2hi:</t>
        </r>
        <r>
          <rPr>
            <sz val="8"/>
            <color indexed="81"/>
            <rFont val="Segoe UI"/>
            <family val="2"/>
          </rPr>
          <t xml:space="preserve">
[wzr2hi, 18.03.2019]
RCAR-Enviroment is only available on ST3.x</t>
        </r>
      </text>
    </comment>
    <comment ref="O741" authorId="5" shapeId="0" xr:uid="{C0FE8447-1C45-4B67-A7DF-3AE68D9253C1}">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741" authorId="0" shapeId="0" xr:uid="{F3386519-CA8D-4D05-A2B0-C00D2F41859E}">
      <text>
        <r>
          <rPr>
            <b/>
            <sz val="8"/>
            <color indexed="81"/>
            <rFont val="Segoe UI"/>
            <family val="2"/>
          </rPr>
          <t>wzr2hi:</t>
        </r>
        <r>
          <rPr>
            <sz val="8"/>
            <color indexed="81"/>
            <rFont val="Segoe UI"/>
            <family val="2"/>
          </rPr>
          <t xml:space="preserve">
[wzr2hi, 18.03.2019]
RCAR-Enviroment is only available on ST3.x</t>
        </r>
      </text>
    </comment>
    <comment ref="C742" authorId="5" shapeId="0" xr:uid="{9EE6B7D2-2546-4161-BBCD-811108FBFA75}">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[wzr2hi, 29.03.2023] Latest Spec is in VM.
</t>
        </r>
      </text>
    </comment>
    <comment ref="AD742" authorId="0" shapeId="0" xr:uid="{B68A1CDD-4E98-4105-A185-E34D2E95E738}">
      <text>
        <r>
          <rPr>
            <b/>
            <sz val="8"/>
            <color indexed="81"/>
            <rFont val="Segoe UI"/>
            <family val="2"/>
          </rPr>
          <t>wzr2hi:</t>
        </r>
        <r>
          <rPr>
            <sz val="8"/>
            <color indexed="81"/>
            <rFont val="Segoe UI"/>
            <family val="2"/>
          </rPr>
          <t xml:space="preserve">
[wzr2hi, 18.03.2019]
RCAR-Enviroment is only available on ST3.x</t>
        </r>
      </text>
    </comment>
    <comment ref="AD743" authorId="0" shapeId="0" xr:uid="{EA484B98-7B5B-4A83-A6C5-D7503C6FBDCD}">
      <text>
        <r>
          <rPr>
            <b/>
            <sz val="8"/>
            <color indexed="81"/>
            <rFont val="Segoe UI"/>
            <family val="2"/>
          </rPr>
          <t>wzr2hi:</t>
        </r>
        <r>
          <rPr>
            <sz val="8"/>
            <color indexed="81"/>
            <rFont val="Segoe UI"/>
            <family val="2"/>
          </rPr>
          <t xml:space="preserve">
[wzr2hi, 18.03.2019]
RCAR-Enviroment is only available on ST3.x</t>
        </r>
      </text>
    </comment>
    <comment ref="AD744" authorId="0" shapeId="0" xr:uid="{DB55FB6C-2695-4A7B-A882-DC07271A78C6}">
      <text>
        <r>
          <rPr>
            <b/>
            <sz val="8"/>
            <color indexed="81"/>
            <rFont val="Segoe UI"/>
            <family val="2"/>
          </rPr>
          <t>wzr2hi:</t>
        </r>
        <r>
          <rPr>
            <sz val="8"/>
            <color indexed="81"/>
            <rFont val="Segoe UI"/>
            <family val="2"/>
          </rPr>
          <t xml:space="preserve">
[wzr2hi, 18.03.2019]
RCAR-Enviroment is only available on ST3.x</t>
        </r>
      </text>
    </comment>
    <comment ref="AD745" authorId="0" shapeId="0" xr:uid="{49E0A271-40A2-4D2B-8E40-E996685E2810}">
      <text>
        <r>
          <rPr>
            <b/>
            <sz val="8"/>
            <color indexed="81"/>
            <rFont val="Segoe UI"/>
            <family val="2"/>
          </rPr>
          <t>wzr2hi:</t>
        </r>
        <r>
          <rPr>
            <sz val="8"/>
            <color indexed="81"/>
            <rFont val="Segoe UI"/>
            <family val="2"/>
          </rPr>
          <t xml:space="preserve">
[wzr2hi, 18.03.2019]
RCAR-Enviroment is only available on ST3.x</t>
        </r>
      </text>
    </comment>
    <comment ref="R746" authorId="5" shapeId="0" xr:uid="{B095E22C-043E-4EAC-9392-C7CB7608386B}">
      <text>
        <r>
          <rPr>
            <b/>
            <sz val="9"/>
            <color indexed="81"/>
            <rFont val="Segoe UI"/>
            <family val="2"/>
          </rPr>
          <t>Welz Ralph (XC-CI1/ERN7-E):</t>
        </r>
        <r>
          <rPr>
            <sz val="9"/>
            <color indexed="81"/>
            <rFont val="Segoe UI"/>
            <family val="2"/>
          </rPr>
          <t xml:space="preserve">
[wzr2hi, 11.06.2021} Bosch Offer CCS 1.5 DA: Removal of HD compared to NAV.</t>
        </r>
      </text>
    </comment>
    <comment ref="T746" authorId="1" shapeId="0" xr:uid="{3C44FA43-BA0D-496A-BDD8-AA232EB80CED}">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46" authorId="0" shapeId="0" xr:uid="{251ADE54-6EB1-44B7-AE96-BE9C5AA92A55}">
      <text>
        <r>
          <rPr>
            <b/>
            <sz val="8"/>
            <color indexed="81"/>
            <rFont val="Segoe UI"/>
            <family val="2"/>
          </rPr>
          <t>wzr2hi:</t>
        </r>
        <r>
          <rPr>
            <sz val="8"/>
            <color indexed="81"/>
            <rFont val="Segoe UI"/>
            <family val="2"/>
          </rPr>
          <t xml:space="preserve">
[wzr2hi, 18.03.2019]
RCAR-Enviroment is only available on ST3.x</t>
        </r>
      </text>
    </comment>
    <comment ref="O747" authorId="5" shapeId="0" xr:uid="{481FF853-BC85-439F-915B-77189DAF09A0}">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747" authorId="0" shapeId="0" xr:uid="{F722EE5D-B12E-4DC9-AA1F-B4072D17C28F}">
      <text>
        <r>
          <rPr>
            <b/>
            <sz val="8"/>
            <color indexed="81"/>
            <rFont val="Segoe UI"/>
            <family val="2"/>
          </rPr>
          <t>wzr2hi:</t>
        </r>
        <r>
          <rPr>
            <sz val="8"/>
            <color indexed="81"/>
            <rFont val="Segoe UI"/>
            <family val="2"/>
          </rPr>
          <t xml:space="preserve">
[wzr2hi, 18.03.2019]
RCAR-Enviroment is only available on ST3.x</t>
        </r>
      </text>
    </comment>
    <comment ref="C748" authorId="5" shapeId="0" xr:uid="{133C8C7B-270B-4A77-8A22-64968CE00F97}">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[wzr2hi, 29.03.2023] Latest Spec is in VM.
</t>
        </r>
      </text>
    </comment>
    <comment ref="AD748" authorId="0" shapeId="0" xr:uid="{4B959B3A-E5C2-40C0-BB9F-234267FB35EB}">
      <text>
        <r>
          <rPr>
            <b/>
            <sz val="8"/>
            <color indexed="81"/>
            <rFont val="Segoe UI"/>
            <family val="2"/>
          </rPr>
          <t>wzr2hi:</t>
        </r>
        <r>
          <rPr>
            <sz val="8"/>
            <color indexed="81"/>
            <rFont val="Segoe UI"/>
            <family val="2"/>
          </rPr>
          <t xml:space="preserve">
[wzr2hi, 18.03.2019]
RCAR-Enviroment is only available on ST3.x</t>
        </r>
      </text>
    </comment>
    <comment ref="AD749" authorId="0" shapeId="0" xr:uid="{71FF5B43-DED0-453D-8557-ACDABBF6F550}">
      <text>
        <r>
          <rPr>
            <b/>
            <sz val="8"/>
            <color indexed="81"/>
            <rFont val="Segoe UI"/>
            <family val="2"/>
          </rPr>
          <t>wzr2hi:</t>
        </r>
        <r>
          <rPr>
            <sz val="8"/>
            <color indexed="81"/>
            <rFont val="Segoe UI"/>
            <family val="2"/>
          </rPr>
          <t xml:space="preserve">
[wzr2hi, 18.03.2019]
RCAR-Enviroment is only available on ST3.x</t>
        </r>
      </text>
    </comment>
    <comment ref="AD750" authorId="0" shapeId="0" xr:uid="{1F98D0AB-6F35-42E1-82AB-1230D50AB1F9}">
      <text>
        <r>
          <rPr>
            <b/>
            <sz val="8"/>
            <color indexed="81"/>
            <rFont val="Segoe UI"/>
            <family val="2"/>
          </rPr>
          <t>wzr2hi:</t>
        </r>
        <r>
          <rPr>
            <sz val="8"/>
            <color indexed="81"/>
            <rFont val="Segoe UI"/>
            <family val="2"/>
          </rPr>
          <t xml:space="preserve">
[wzr2hi, 18.03.2019]
RCAR-Enviroment is only available on ST3.x</t>
        </r>
      </text>
    </comment>
    <comment ref="AD751" authorId="0" shapeId="0" xr:uid="{BACCAEE3-4895-449E-A07E-3CCFD63A8EB5}">
      <text>
        <r>
          <rPr>
            <b/>
            <sz val="8"/>
            <color indexed="81"/>
            <rFont val="Segoe UI"/>
            <family val="2"/>
          </rPr>
          <t>wzr2hi:</t>
        </r>
        <r>
          <rPr>
            <sz val="8"/>
            <color indexed="81"/>
            <rFont val="Segoe UI"/>
            <family val="2"/>
          </rPr>
          <t xml:space="preserve">
[wzr2hi, 18.03.2019]
RCAR-Enviroment is only available on ST3.x</t>
        </r>
      </text>
    </comment>
    <comment ref="C752" authorId="5" shapeId="0" xr:uid="{C740785D-54CF-481F-8DCF-A591DC34891C}">
      <text>
        <r>
          <rPr>
            <b/>
            <sz val="9"/>
            <color indexed="81"/>
            <rFont val="Segoe UI"/>
            <family val="2"/>
          </rPr>
          <t>Welz Ralph (XC-CI1/ERN7-E):</t>
        </r>
        <r>
          <rPr>
            <sz val="9"/>
            <color indexed="81"/>
            <rFont val="Segoe UI"/>
            <family val="2"/>
          </rPr>
          <t xml:space="preserve">
Attention: Not for GCC Counrties!</t>
        </r>
      </text>
    </comment>
    <comment ref="AD752" authorId="0" shapeId="0" xr:uid="{B971BD5E-E4CF-4DC1-9B63-C923215246B8}">
      <text>
        <r>
          <rPr>
            <b/>
            <sz val="8"/>
            <color indexed="81"/>
            <rFont val="Segoe UI"/>
            <family val="2"/>
          </rPr>
          <t>wzr2hi:</t>
        </r>
        <r>
          <rPr>
            <sz val="8"/>
            <color indexed="81"/>
            <rFont val="Segoe UI"/>
            <family val="2"/>
          </rPr>
          <t xml:space="preserve">
[wzr2hi, 18.03.2019]
RCAR-Enviroment is only available on ST3.x</t>
        </r>
      </text>
    </comment>
    <comment ref="AD753" authorId="0" shapeId="0" xr:uid="{D863C235-3D9F-4150-AD21-D832F4E623A7}">
      <text>
        <r>
          <rPr>
            <b/>
            <sz val="8"/>
            <color indexed="81"/>
            <rFont val="Segoe UI"/>
            <family val="2"/>
          </rPr>
          <t>wzr2hi:</t>
        </r>
        <r>
          <rPr>
            <sz val="8"/>
            <color indexed="81"/>
            <rFont val="Segoe UI"/>
            <family val="2"/>
          </rPr>
          <t xml:space="preserve">
[wzr2hi, 18.03.2019]
RCAR-Enviroment is only available on ST3.x</t>
        </r>
      </text>
    </comment>
    <comment ref="T754" authorId="1" shapeId="0" xr:uid="{FFEAC8CB-541B-42B0-866E-5B1FC1F04DCF}">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54" authorId="0" shapeId="0" xr:uid="{D53FB30C-79A4-4117-89DA-A33BD04F0FE3}">
      <text>
        <r>
          <rPr>
            <b/>
            <sz val="8"/>
            <color indexed="81"/>
            <rFont val="Segoe UI"/>
            <family val="2"/>
          </rPr>
          <t>wzr2hi:</t>
        </r>
        <r>
          <rPr>
            <sz val="8"/>
            <color indexed="81"/>
            <rFont val="Segoe UI"/>
            <family val="2"/>
          </rPr>
          <t xml:space="preserve">
[wzr2hi, 18.03.2019]
RCAR-Enviroment is only available on ST3.x</t>
        </r>
      </text>
    </comment>
    <comment ref="AD755" authorId="0" shapeId="0" xr:uid="{7B47A054-B7E2-4823-B71C-2C2360DC219A}">
      <text>
        <r>
          <rPr>
            <b/>
            <sz val="8"/>
            <color indexed="81"/>
            <rFont val="Segoe UI"/>
            <family val="2"/>
          </rPr>
          <t>wzr2hi:</t>
        </r>
        <r>
          <rPr>
            <sz val="8"/>
            <color indexed="81"/>
            <rFont val="Segoe UI"/>
            <family val="2"/>
          </rPr>
          <t xml:space="preserve">
[wzr2hi, 18.03.2019]
RCAR-Enviroment is only available on ST3.x</t>
        </r>
      </text>
    </comment>
    <comment ref="AD756" authorId="0" shapeId="0" xr:uid="{20D0E28D-FCF7-493F-8F85-59AA42741267}">
      <text>
        <r>
          <rPr>
            <b/>
            <sz val="8"/>
            <color indexed="81"/>
            <rFont val="Segoe UI"/>
            <family val="2"/>
          </rPr>
          <t>wzr2hi:</t>
        </r>
        <r>
          <rPr>
            <sz val="8"/>
            <color indexed="81"/>
            <rFont val="Segoe UI"/>
            <family val="2"/>
          </rPr>
          <t xml:space="preserve">
[wzr2hi, 18.03.2019]
RCAR-Enviroment is only available on ST3.x</t>
        </r>
      </text>
    </comment>
    <comment ref="T757" authorId="1" shapeId="0" xr:uid="{141B2349-A050-4211-BA13-D685B8DFA9E3}">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57" authorId="0" shapeId="0" xr:uid="{12A6688C-8DE4-483F-9188-99AD8E5DB631}">
      <text>
        <r>
          <rPr>
            <b/>
            <sz val="8"/>
            <color indexed="81"/>
            <rFont val="Segoe UI"/>
            <family val="2"/>
          </rPr>
          <t>wzr2hi:</t>
        </r>
        <r>
          <rPr>
            <sz val="8"/>
            <color indexed="81"/>
            <rFont val="Segoe UI"/>
            <family val="2"/>
          </rPr>
          <t xml:space="preserve">
[wzr2hi, 18.03.2019]
RCAR-Enviroment is only available on ST3.x</t>
        </r>
      </text>
    </comment>
    <comment ref="T758" authorId="1" shapeId="0" xr:uid="{F70A9953-1FF9-4B77-A832-1699F2DCBA93}">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58" authorId="0" shapeId="0" xr:uid="{97348436-6FB2-4009-BE0F-9173746D9CF2}">
      <text>
        <r>
          <rPr>
            <b/>
            <sz val="8"/>
            <color indexed="81"/>
            <rFont val="Segoe UI"/>
            <family val="2"/>
          </rPr>
          <t>wzr2hi:</t>
        </r>
        <r>
          <rPr>
            <sz val="8"/>
            <color indexed="81"/>
            <rFont val="Segoe UI"/>
            <family val="2"/>
          </rPr>
          <t xml:space="preserve">
[wzr2hi, 18.03.2019]
RCAR-Enviroment is only available on ST3.x</t>
        </r>
      </text>
    </comment>
    <comment ref="AD759" authorId="0" shapeId="0" xr:uid="{366FB845-DC99-488C-9DE6-CFF137DEE201}">
      <text>
        <r>
          <rPr>
            <b/>
            <sz val="8"/>
            <color indexed="81"/>
            <rFont val="Segoe UI"/>
            <family val="2"/>
          </rPr>
          <t>wzr2hi:</t>
        </r>
        <r>
          <rPr>
            <sz val="8"/>
            <color indexed="81"/>
            <rFont val="Segoe UI"/>
            <family val="2"/>
          </rPr>
          <t xml:space="preserve">
[wzr2hi, 18.03.2019]
RCAR-Enviroment is only available on ST3.x</t>
        </r>
      </text>
    </comment>
    <comment ref="AD760" authorId="0" shapeId="0" xr:uid="{E735969B-3623-4386-9BE4-E28815EE0823}">
      <text>
        <r>
          <rPr>
            <b/>
            <sz val="8"/>
            <color indexed="81"/>
            <rFont val="Segoe UI"/>
            <family val="2"/>
          </rPr>
          <t>wzr2hi:</t>
        </r>
        <r>
          <rPr>
            <sz val="8"/>
            <color indexed="81"/>
            <rFont val="Segoe UI"/>
            <family val="2"/>
          </rPr>
          <t xml:space="preserve">
[wzr2hi, 18.03.2019]
RCAR-Enviroment is only available on ST3.x</t>
        </r>
      </text>
    </comment>
    <comment ref="AD761" authorId="0" shapeId="0" xr:uid="{792AD07C-D52A-44E8-B1B2-8A19C64EBE2E}">
      <text>
        <r>
          <rPr>
            <b/>
            <sz val="8"/>
            <color indexed="81"/>
            <rFont val="Segoe UI"/>
            <family val="2"/>
          </rPr>
          <t>wzr2hi:</t>
        </r>
        <r>
          <rPr>
            <sz val="8"/>
            <color indexed="81"/>
            <rFont val="Segoe UI"/>
            <family val="2"/>
          </rPr>
          <t xml:space="preserve">
[wzr2hi, 18.03.2019]
RCAR-Enviroment is only available on ST3.x</t>
        </r>
      </text>
    </comment>
    <comment ref="AD762" authorId="0" shapeId="0" xr:uid="{47041D05-1697-4397-B16F-AD259221B4A8}">
      <text>
        <r>
          <rPr>
            <b/>
            <sz val="8"/>
            <color indexed="81"/>
            <rFont val="Segoe UI"/>
            <family val="2"/>
          </rPr>
          <t>wzr2hi:</t>
        </r>
        <r>
          <rPr>
            <sz val="8"/>
            <color indexed="81"/>
            <rFont val="Segoe UI"/>
            <family val="2"/>
          </rPr>
          <t xml:space="preserve">
[wzr2hi, 18.03.2019]
RCAR-Enviroment is only available on ST3.x</t>
        </r>
      </text>
    </comment>
    <comment ref="AD763" authorId="0" shapeId="0" xr:uid="{E2E67FAF-B68A-4919-92E3-3E67685FB911}">
      <text>
        <r>
          <rPr>
            <b/>
            <sz val="8"/>
            <color indexed="81"/>
            <rFont val="Segoe UI"/>
            <family val="2"/>
          </rPr>
          <t>wzr2hi:</t>
        </r>
        <r>
          <rPr>
            <sz val="8"/>
            <color indexed="81"/>
            <rFont val="Segoe UI"/>
            <family val="2"/>
          </rPr>
          <t xml:space="preserve">
[wzr2hi, 18.03.2019]
RCAR-Enviroment is only available on ST3.x</t>
        </r>
      </text>
    </comment>
    <comment ref="AD764" authorId="0" shapeId="0" xr:uid="{8F97C8C5-43E7-4F32-B32B-3B36743212E2}">
      <text>
        <r>
          <rPr>
            <b/>
            <sz val="8"/>
            <color indexed="81"/>
            <rFont val="Segoe UI"/>
            <family val="2"/>
          </rPr>
          <t>wzr2hi:</t>
        </r>
        <r>
          <rPr>
            <sz val="8"/>
            <color indexed="81"/>
            <rFont val="Segoe UI"/>
            <family val="2"/>
          </rPr>
          <t xml:space="preserve">
[wzr2hi, 18.03.2019]
RCAR-Enviroment is only available on ST3.x</t>
        </r>
      </text>
    </comment>
    <comment ref="AD765" authorId="0" shapeId="0" xr:uid="{47767238-4974-4A9D-8DBD-80CA57716800}">
      <text>
        <r>
          <rPr>
            <b/>
            <sz val="8"/>
            <color indexed="81"/>
            <rFont val="Segoe UI"/>
            <family val="2"/>
          </rPr>
          <t>wzr2hi:</t>
        </r>
        <r>
          <rPr>
            <sz val="8"/>
            <color indexed="81"/>
            <rFont val="Segoe UI"/>
            <family val="2"/>
          </rPr>
          <t xml:space="preserve">
[wzr2hi, 18.03.2019]
RCAR-Enviroment is only available on ST3.x</t>
        </r>
      </text>
    </comment>
    <comment ref="O766" authorId="1" shapeId="0" xr:uid="{0293D733-48E2-4952-B193-77C29FB979D9}">
      <text>
        <r>
          <rPr>
            <b/>
            <sz val="9"/>
            <color indexed="81"/>
            <rFont val="Segoe UI"/>
            <family val="2"/>
          </rPr>
          <t>Welz Ralph (CM-CI1/ERN1-ESW):</t>
        </r>
        <r>
          <rPr>
            <sz val="9"/>
            <color indexed="81"/>
            <rFont val="Segoe UI"/>
            <family val="2"/>
          </rPr>
          <t xml:space="preserve">
[wzr2hi, 20.11.2019] PRCFSG was extended to work also for ex DA2. VM needs to be updated.</t>
        </r>
      </text>
    </comment>
    <comment ref="AD766" authorId="0" shapeId="0" xr:uid="{08E4D012-42AD-4B3B-A6AB-9D7D8F21A59D}">
      <text>
        <r>
          <rPr>
            <b/>
            <sz val="8"/>
            <color indexed="81"/>
            <rFont val="Segoe UI"/>
            <family val="2"/>
          </rPr>
          <t>wzr2hi:</t>
        </r>
        <r>
          <rPr>
            <sz val="8"/>
            <color indexed="81"/>
            <rFont val="Segoe UI"/>
            <family val="2"/>
          </rPr>
          <t xml:space="preserve">
[wzr2hi, 18.03.2019]
RCAR-Enviroment is only available on ST3.x</t>
        </r>
      </text>
    </comment>
    <comment ref="AD767" authorId="0" shapeId="0" xr:uid="{081E8A4B-582F-4864-B981-094C2A519D53}">
      <text>
        <r>
          <rPr>
            <b/>
            <sz val="8"/>
            <color indexed="81"/>
            <rFont val="Segoe UI"/>
            <family val="2"/>
          </rPr>
          <t>wzr2hi:</t>
        </r>
        <r>
          <rPr>
            <sz val="8"/>
            <color indexed="81"/>
            <rFont val="Segoe UI"/>
            <family val="2"/>
          </rPr>
          <t xml:space="preserve">
[wzr2hi, 18.03.2019]
RCAR-Enviroment is only available on ST3.x</t>
        </r>
      </text>
    </comment>
    <comment ref="AD768" authorId="0" shapeId="0" xr:uid="{5DED0AF8-6222-4E2B-8719-B9799CAA229F}">
      <text>
        <r>
          <rPr>
            <b/>
            <sz val="8"/>
            <color indexed="81"/>
            <rFont val="Segoe UI"/>
            <family val="2"/>
          </rPr>
          <t>wzr2hi:</t>
        </r>
        <r>
          <rPr>
            <sz val="8"/>
            <color indexed="81"/>
            <rFont val="Segoe UI"/>
            <family val="2"/>
          </rPr>
          <t xml:space="preserve">
[wzr2hi, 18.03.2019]
RCAR-Enviroment is only available on ST3.x</t>
        </r>
      </text>
    </comment>
    <comment ref="AD769" authorId="0" shapeId="0" xr:uid="{F29323D1-2B8A-4D9D-AD9A-067922627C4C}">
      <text>
        <r>
          <rPr>
            <b/>
            <sz val="8"/>
            <color indexed="81"/>
            <rFont val="Segoe UI"/>
            <family val="2"/>
          </rPr>
          <t>wzr2hi:</t>
        </r>
        <r>
          <rPr>
            <sz val="8"/>
            <color indexed="81"/>
            <rFont val="Segoe UI"/>
            <family val="2"/>
          </rPr>
          <t xml:space="preserve">
[wzr2hi, 18.03.2019]
RCAR-Enviroment is only available on ST3.x</t>
        </r>
      </text>
    </comment>
    <comment ref="AD770" authorId="0" shapeId="0" xr:uid="{3B40335A-C932-49B6-8655-23AE07CAE50A}">
      <text>
        <r>
          <rPr>
            <b/>
            <sz val="8"/>
            <color indexed="81"/>
            <rFont val="Segoe UI"/>
            <family val="2"/>
          </rPr>
          <t>wzr2hi:</t>
        </r>
        <r>
          <rPr>
            <sz val="8"/>
            <color indexed="81"/>
            <rFont val="Segoe UI"/>
            <family val="2"/>
          </rPr>
          <t xml:space="preserve">
[wzr2hi, 18.03.2019]
RCAR-Enviroment is only available on ST3.x</t>
        </r>
      </text>
    </comment>
    <comment ref="AD771" authorId="0" shapeId="0" xr:uid="{96D363E9-0F09-4015-84DB-AB3AF8BBC38E}">
      <text>
        <r>
          <rPr>
            <b/>
            <sz val="8"/>
            <color indexed="81"/>
            <rFont val="Segoe UI"/>
            <family val="2"/>
          </rPr>
          <t>wzr2hi:</t>
        </r>
        <r>
          <rPr>
            <sz val="8"/>
            <color indexed="81"/>
            <rFont val="Segoe UI"/>
            <family val="2"/>
          </rPr>
          <t xml:space="preserve">
[wzr2hi, 18.03.2019]
RCAR-Enviroment is only available on ST3.x</t>
        </r>
      </text>
    </comment>
    <comment ref="AD772" authorId="0" shapeId="0" xr:uid="{240CF17F-5E13-4FE4-ADD4-51398A2D3B8C}">
      <text>
        <r>
          <rPr>
            <b/>
            <sz val="8"/>
            <color indexed="81"/>
            <rFont val="Segoe UI"/>
            <family val="2"/>
          </rPr>
          <t>wzr2hi:</t>
        </r>
        <r>
          <rPr>
            <sz val="8"/>
            <color indexed="81"/>
            <rFont val="Segoe UI"/>
            <family val="2"/>
          </rPr>
          <t xml:space="preserve">
[wzr2hi, 18.03.2019]
RCAR-Enviroment is only available on ST3.x</t>
        </r>
      </text>
    </comment>
    <comment ref="AD773" authorId="0" shapeId="0" xr:uid="{3A87055C-D7D5-4813-BA90-875BDD773E43}">
      <text>
        <r>
          <rPr>
            <b/>
            <sz val="8"/>
            <color indexed="81"/>
            <rFont val="Segoe UI"/>
            <family val="2"/>
          </rPr>
          <t>wzr2hi:</t>
        </r>
        <r>
          <rPr>
            <sz val="8"/>
            <color indexed="81"/>
            <rFont val="Segoe UI"/>
            <family val="2"/>
          </rPr>
          <t xml:space="preserve">
[wzr2hi, 18.03.2019]
RCAR-Enviroment is only available on ST3.x</t>
        </r>
      </text>
    </comment>
    <comment ref="AD774" authorId="0" shapeId="0" xr:uid="{C8073A0A-A840-42F8-8B4A-645A85D90A1D}">
      <text>
        <r>
          <rPr>
            <b/>
            <sz val="8"/>
            <color indexed="81"/>
            <rFont val="Segoe UI"/>
            <family val="2"/>
          </rPr>
          <t>wzr2hi:</t>
        </r>
        <r>
          <rPr>
            <sz val="8"/>
            <color indexed="81"/>
            <rFont val="Segoe UI"/>
            <family val="2"/>
          </rPr>
          <t xml:space="preserve">
[wzr2hi, 18.03.2019]
RCAR-Enviroment is only available on ST3.x</t>
        </r>
      </text>
    </comment>
    <comment ref="AD775" authorId="0" shapeId="0" xr:uid="{7BCCA7D3-7A84-47F9-81CA-9F96ECC7F72D}">
      <text>
        <r>
          <rPr>
            <b/>
            <sz val="8"/>
            <color indexed="81"/>
            <rFont val="Segoe UI"/>
            <family val="2"/>
          </rPr>
          <t>wzr2hi:</t>
        </r>
        <r>
          <rPr>
            <sz val="8"/>
            <color indexed="81"/>
            <rFont val="Segoe UI"/>
            <family val="2"/>
          </rPr>
          <t xml:space="preserve">
[wzr2hi, 18.03.2019]
RCAR-Enviroment is only available on ST3.x</t>
        </r>
      </text>
    </comment>
    <comment ref="AD776" authorId="0" shapeId="0" xr:uid="{03ECC1E8-59E6-4047-937E-B1E79FFBB481}">
      <text>
        <r>
          <rPr>
            <b/>
            <sz val="8"/>
            <color indexed="81"/>
            <rFont val="Segoe UI"/>
            <family val="2"/>
          </rPr>
          <t>wzr2hi:</t>
        </r>
        <r>
          <rPr>
            <sz val="8"/>
            <color indexed="81"/>
            <rFont val="Segoe UI"/>
            <family val="2"/>
          </rPr>
          <t xml:space="preserve">
[wzr2hi, 18.03.2019]
RCAR-Enviroment is only available on ST3.x</t>
        </r>
      </text>
    </comment>
    <comment ref="AD777" authorId="0" shapeId="0" xr:uid="{3BDD4A22-F87E-42F3-B75F-3326051A6661}">
      <text>
        <r>
          <rPr>
            <b/>
            <sz val="8"/>
            <color indexed="81"/>
            <rFont val="Segoe UI"/>
            <family val="2"/>
          </rPr>
          <t>wzr2hi:</t>
        </r>
        <r>
          <rPr>
            <sz val="8"/>
            <color indexed="81"/>
            <rFont val="Segoe UI"/>
            <family val="2"/>
          </rPr>
          <t xml:space="preserve">
[wzr2hi, 18.03.2019]
RCAR-Enviroment is only available on ST3.x</t>
        </r>
      </text>
    </comment>
    <comment ref="AD778" authorId="0" shapeId="0" xr:uid="{2C7FA1A7-27D5-426E-87E0-BD30CAD8367C}">
      <text>
        <r>
          <rPr>
            <b/>
            <sz val="8"/>
            <color indexed="81"/>
            <rFont val="Segoe UI"/>
            <family val="2"/>
          </rPr>
          <t>wzr2hi:</t>
        </r>
        <r>
          <rPr>
            <sz val="8"/>
            <color indexed="81"/>
            <rFont val="Segoe UI"/>
            <family val="2"/>
          </rPr>
          <t xml:space="preserve">
[wzr2hi, 18.03.2019]
RCAR-Enviroment is only available on ST3.x</t>
        </r>
      </text>
    </comment>
    <comment ref="AD779" authorId="0" shapeId="0" xr:uid="{BC62EDF6-2C75-4965-95D0-9A4F757C1C6A}">
      <text>
        <r>
          <rPr>
            <b/>
            <sz val="8"/>
            <color indexed="81"/>
            <rFont val="Segoe UI"/>
            <family val="2"/>
          </rPr>
          <t>wzr2hi:</t>
        </r>
        <r>
          <rPr>
            <sz val="8"/>
            <color indexed="81"/>
            <rFont val="Segoe UI"/>
            <family val="2"/>
          </rPr>
          <t xml:space="preserve">
[wzr2hi, 18.03.2019]
RCAR-Enviroment is only available on ST3.x</t>
        </r>
      </text>
    </comment>
    <comment ref="AD780" authorId="0" shapeId="0" xr:uid="{E46D59CE-02D8-4B69-9221-0967CF11FF25}">
      <text>
        <r>
          <rPr>
            <b/>
            <sz val="8"/>
            <color indexed="81"/>
            <rFont val="Segoe UI"/>
            <family val="2"/>
          </rPr>
          <t>wzr2hi:</t>
        </r>
        <r>
          <rPr>
            <sz val="8"/>
            <color indexed="81"/>
            <rFont val="Segoe UI"/>
            <family val="2"/>
          </rPr>
          <t xml:space="preserve">
[wzr2hi, 18.03.2019]
RCAR-Enviroment is only available on ST3.x</t>
        </r>
      </text>
    </comment>
    <comment ref="AD781" authorId="0" shapeId="0" xr:uid="{0AE7E999-FAFB-4173-9D13-00D8520B94E8}">
      <text>
        <r>
          <rPr>
            <b/>
            <sz val="8"/>
            <color indexed="81"/>
            <rFont val="Segoe UI"/>
            <family val="2"/>
          </rPr>
          <t>wzr2hi:</t>
        </r>
        <r>
          <rPr>
            <sz val="8"/>
            <color indexed="81"/>
            <rFont val="Segoe UI"/>
            <family val="2"/>
          </rPr>
          <t xml:space="preserve">
[wzr2hi, 18.03.2019]
RCAR-Enviroment is only available on ST3.x</t>
        </r>
      </text>
    </comment>
    <comment ref="AD782" authorId="0" shapeId="0" xr:uid="{6F13387F-BF6B-41B6-B16D-237D7B651403}">
      <text>
        <r>
          <rPr>
            <b/>
            <sz val="8"/>
            <color indexed="81"/>
            <rFont val="Segoe UI"/>
            <family val="2"/>
          </rPr>
          <t>wzr2hi:</t>
        </r>
        <r>
          <rPr>
            <sz val="8"/>
            <color indexed="81"/>
            <rFont val="Segoe UI"/>
            <family val="2"/>
          </rPr>
          <t xml:space="preserve">
[wzr2hi, 18.03.2019]
RCAR-Enviroment is only available on ST3.x</t>
        </r>
      </text>
    </comment>
    <comment ref="AD783" authorId="0" shapeId="0" xr:uid="{87D8C1D2-029E-4DE4-8E00-BF43000ABAF5}">
      <text>
        <r>
          <rPr>
            <b/>
            <sz val="8"/>
            <color indexed="81"/>
            <rFont val="Segoe UI"/>
            <family val="2"/>
          </rPr>
          <t>wzr2hi:</t>
        </r>
        <r>
          <rPr>
            <sz val="8"/>
            <color indexed="81"/>
            <rFont val="Segoe UI"/>
            <family val="2"/>
          </rPr>
          <t xml:space="preserve">
[wzr2hi, 18.03.2019]
RCAR-Enviroment is only available on ST3.x</t>
        </r>
      </text>
    </comment>
    <comment ref="L784" authorId="1" shapeId="0" xr:uid="{DB4C9896-61D3-4334-B3C3-582E9067B619}">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AD784" authorId="0" shapeId="0" xr:uid="{C933130D-11D5-43CA-9481-2EEE84F333B6}">
      <text>
        <r>
          <rPr>
            <b/>
            <sz val="8"/>
            <color indexed="81"/>
            <rFont val="Segoe UI"/>
            <family val="2"/>
          </rPr>
          <t>wzr2hi:</t>
        </r>
        <r>
          <rPr>
            <sz val="8"/>
            <color indexed="81"/>
            <rFont val="Segoe UI"/>
            <family val="2"/>
          </rPr>
          <t xml:space="preserve">
[wzr2hi, 18.03.2019]
RCAR-Enviroment is only available on ST3.x</t>
        </r>
      </text>
    </comment>
    <comment ref="R785" authorId="5" shapeId="0" xr:uid="{6452DF37-F67F-431F-AC58-271C39AEDA18}">
      <text>
        <r>
          <rPr>
            <b/>
            <sz val="9"/>
            <color indexed="81"/>
            <rFont val="Segoe UI"/>
            <family val="2"/>
          </rPr>
          <t>Welz Ralph (XC-CI1/ERN7-E):</t>
        </r>
        <r>
          <rPr>
            <sz val="9"/>
            <color indexed="81"/>
            <rFont val="Segoe UI"/>
            <family val="2"/>
          </rPr>
          <t xml:space="preserve">
[wzr2hi, 11.06.2021} Bosch Offer CCS 1.5 DA: Removal of HD compared to NAV.</t>
        </r>
      </text>
    </comment>
    <comment ref="T785" authorId="1" shapeId="0" xr:uid="{D235D109-EFB2-4D0C-B71E-DC9B99202A4A}">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85" authorId="0" shapeId="0" xr:uid="{43B1A54D-8D04-40A2-A170-03C22F8A611A}">
      <text>
        <r>
          <rPr>
            <b/>
            <sz val="8"/>
            <color indexed="81"/>
            <rFont val="Segoe UI"/>
            <family val="2"/>
          </rPr>
          <t>wzr2hi:</t>
        </r>
        <r>
          <rPr>
            <sz val="8"/>
            <color indexed="81"/>
            <rFont val="Segoe UI"/>
            <family val="2"/>
          </rPr>
          <t xml:space="preserve">
[wzr2hi, 18.03.2019]
RCAR-Enviroment is only available on ST3.x</t>
        </r>
      </text>
    </comment>
    <comment ref="O786" authorId="5" shapeId="0" xr:uid="{F3BE01D0-829B-4F10-A3FD-299CDC17D8B0}">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786" authorId="0" shapeId="0" xr:uid="{40CF9EAB-1D88-413E-923E-BF2C7A79B0DE}">
      <text>
        <r>
          <rPr>
            <b/>
            <sz val="8"/>
            <color indexed="81"/>
            <rFont val="Segoe UI"/>
            <family val="2"/>
          </rPr>
          <t>wzr2hi:</t>
        </r>
        <r>
          <rPr>
            <sz val="8"/>
            <color indexed="81"/>
            <rFont val="Segoe UI"/>
            <family val="2"/>
          </rPr>
          <t xml:space="preserve">
[wzr2hi, 18.03.2019]
RCAR-Enviroment is only available on ST3.x</t>
        </r>
      </text>
    </comment>
    <comment ref="C787" authorId="5" shapeId="0" xr:uid="{170D80C9-8DBD-4C14-9934-C8876FDA89E9}">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t>
        </r>
      </text>
    </comment>
    <comment ref="AD787" authorId="0" shapeId="0" xr:uid="{783F1C79-702D-4905-8635-4D6711B991F4}">
      <text>
        <r>
          <rPr>
            <b/>
            <sz val="8"/>
            <color indexed="81"/>
            <rFont val="Segoe UI"/>
            <family val="2"/>
          </rPr>
          <t>wzr2hi:</t>
        </r>
        <r>
          <rPr>
            <sz val="8"/>
            <color indexed="81"/>
            <rFont val="Segoe UI"/>
            <family val="2"/>
          </rPr>
          <t xml:space="preserve">
[wzr2hi, 18.03.2019]
RCAR-Enviroment is only available on ST3.x</t>
        </r>
      </text>
    </comment>
    <comment ref="C788" authorId="5" shapeId="0" xr:uid="{D6A45AB6-48B3-42B1-92B3-B3D169BF1A7D}">
      <text>
        <r>
          <rPr>
            <b/>
            <sz val="9"/>
            <color indexed="81"/>
            <rFont val="Segoe UI"/>
            <family val="2"/>
          </rPr>
          <t>Welz Ralph (XC-CI1/ERN7-E):</t>
        </r>
        <r>
          <rPr>
            <sz val="9"/>
            <color indexed="81"/>
            <rFont val="Segoe UI"/>
            <family val="2"/>
          </rPr>
          <t xml:space="preserve">
[wzr2hi, 08.12.2022] After introduction of new spec for SDB cuts in CCS1.5 DA this  FCID shall not be re-used.</t>
        </r>
      </text>
    </comment>
    <comment ref="AD788" authorId="0" shapeId="0" xr:uid="{338F80EC-195E-49CC-A561-8FF16A85F4B4}">
      <text>
        <r>
          <rPr>
            <b/>
            <sz val="8"/>
            <color indexed="81"/>
            <rFont val="Segoe UI"/>
            <family val="2"/>
          </rPr>
          <t>wzr2hi:</t>
        </r>
        <r>
          <rPr>
            <sz val="8"/>
            <color indexed="81"/>
            <rFont val="Segoe UI"/>
            <family val="2"/>
          </rPr>
          <t xml:space="preserve">
[wzr2hi, 18.03.2019]
RCAR-Enviroment is only available on ST3.x</t>
        </r>
      </text>
    </comment>
    <comment ref="C789" authorId="5" shapeId="0" xr:uid="{117ED9DD-2484-4408-B352-52FD77D9513F}">
      <text>
        <r>
          <rPr>
            <b/>
            <sz val="9"/>
            <color indexed="81"/>
            <rFont val="Segoe UI"/>
            <family val="2"/>
          </rPr>
          <t>Welz Ralph (XC-CI1/ERN7-E):</t>
        </r>
        <r>
          <rPr>
            <sz val="9"/>
            <color indexed="81"/>
            <rFont val="Segoe UI"/>
            <family val="2"/>
          </rPr>
          <t xml:space="preserve">
[wzr2hi, 08.12.2022] After introduction of new spec for SDB cuts in CCS1.5 DA this  FCID shall not be re-used.</t>
        </r>
      </text>
    </comment>
    <comment ref="AD789" authorId="0" shapeId="0" xr:uid="{1023E71E-9453-477A-848E-D98AF574BE5B}">
      <text>
        <r>
          <rPr>
            <b/>
            <sz val="8"/>
            <color indexed="81"/>
            <rFont val="Segoe UI"/>
            <family val="2"/>
          </rPr>
          <t>wzr2hi:</t>
        </r>
        <r>
          <rPr>
            <sz val="8"/>
            <color indexed="81"/>
            <rFont val="Segoe UI"/>
            <family val="2"/>
          </rPr>
          <t xml:space="preserve">
[wzr2hi, 18.03.2019]
RCAR-Enviroment is only available on ST3.x</t>
        </r>
      </text>
    </comment>
    <comment ref="C790" authorId="5" shapeId="0" xr:uid="{8C02D2B8-C971-4310-A0FE-7291DD3F4103}">
      <text>
        <r>
          <rPr>
            <b/>
            <sz val="9"/>
            <color indexed="81"/>
            <rFont val="Segoe UI"/>
            <family val="2"/>
          </rPr>
          <t>Welz Ralph (XC-CI1/ERN7-E):</t>
        </r>
        <r>
          <rPr>
            <sz val="9"/>
            <color indexed="81"/>
            <rFont val="Segoe UI"/>
            <family val="2"/>
          </rPr>
          <t xml:space="preserve">
[wzr2hi, 08.12.2022] [wzr2hi, 08.12.2022] After introduction of new spec for SDB cuts in CCS1.5 DA this  FCID shall not be re-used. Index A2-1045.-.M-TN got even orphaned. There is no config entry anymore.</t>
        </r>
      </text>
    </comment>
    <comment ref="AD790" authorId="0" shapeId="0" xr:uid="{5EF7F0F4-E9D2-4393-9C31-169277BB863E}">
      <text>
        <r>
          <rPr>
            <b/>
            <sz val="8"/>
            <color indexed="81"/>
            <rFont val="Segoe UI"/>
            <family val="2"/>
          </rPr>
          <t>wzr2hi:</t>
        </r>
        <r>
          <rPr>
            <sz val="8"/>
            <color indexed="81"/>
            <rFont val="Segoe UI"/>
            <family val="2"/>
          </rPr>
          <t xml:space="preserve">
[wzr2hi, 18.03.2019]
RCAR-Enviroment is only available on ST3.x</t>
        </r>
      </text>
    </comment>
    <comment ref="AD791" authorId="0" shapeId="0" xr:uid="{71FE0325-7AB0-419C-8CE3-185DE06A6938}">
      <text>
        <r>
          <rPr>
            <b/>
            <sz val="8"/>
            <color indexed="81"/>
            <rFont val="Segoe UI"/>
            <family val="2"/>
          </rPr>
          <t>wzr2hi:</t>
        </r>
        <r>
          <rPr>
            <sz val="8"/>
            <color indexed="81"/>
            <rFont val="Segoe UI"/>
            <family val="2"/>
          </rPr>
          <t xml:space="preserve">
[wzr2hi, 18.03.2019]
RCAR-Enviroment is only available on ST3.x</t>
        </r>
      </text>
    </comment>
    <comment ref="AD792" authorId="0" shapeId="0" xr:uid="{C8E91F5D-9928-4892-9476-77A274991330}">
      <text>
        <r>
          <rPr>
            <b/>
            <sz val="8"/>
            <color indexed="81"/>
            <rFont val="Segoe UI"/>
            <family val="2"/>
          </rPr>
          <t>wzr2hi:</t>
        </r>
        <r>
          <rPr>
            <sz val="8"/>
            <color indexed="81"/>
            <rFont val="Segoe UI"/>
            <family val="2"/>
          </rPr>
          <t xml:space="preserve">
[wzr2hi, 18.03.2019]
RCAR-Enviroment is only available on ST3.x</t>
        </r>
      </text>
    </comment>
    <comment ref="T793" authorId="1" shapeId="0" xr:uid="{9F2B942B-0FA4-4842-8A93-C4471D5D392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93" authorId="0" shapeId="0" xr:uid="{35B44279-B7CF-41CD-8749-49BD2FF7270B}">
      <text>
        <r>
          <rPr>
            <b/>
            <sz val="8"/>
            <color indexed="81"/>
            <rFont val="Segoe UI"/>
            <family val="2"/>
          </rPr>
          <t>wzr2hi:</t>
        </r>
        <r>
          <rPr>
            <sz val="8"/>
            <color indexed="81"/>
            <rFont val="Segoe UI"/>
            <family val="2"/>
          </rPr>
          <t xml:space="preserve">
[wzr2hi, 18.03.2019]
RCAR-Enviroment is only available on ST3.x</t>
        </r>
      </text>
    </comment>
    <comment ref="AD794" authorId="0" shapeId="0" xr:uid="{DB493CB1-24AC-4963-9B64-08D36D95B32F}">
      <text>
        <r>
          <rPr>
            <b/>
            <sz val="8"/>
            <color indexed="81"/>
            <rFont val="Segoe UI"/>
            <family val="2"/>
          </rPr>
          <t>wzr2hi:</t>
        </r>
        <r>
          <rPr>
            <sz val="8"/>
            <color indexed="81"/>
            <rFont val="Segoe UI"/>
            <family val="2"/>
          </rPr>
          <t xml:space="preserve">
[wzr2hi, 18.03.2019]
RCAR-Enviroment is only available on ST3.x</t>
        </r>
      </text>
    </comment>
    <comment ref="R795" authorId="5" shapeId="0" xr:uid="{73EB989B-8DF5-4E5F-9D8E-8F4F72271AE7}">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T795" authorId="1" shapeId="0" xr:uid="{4B74E5A6-78E9-49F5-9169-7767505D075D}">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95" authorId="0" shapeId="0" xr:uid="{0FBC87B1-142A-4B55-8D34-D52AA42F6A20}">
      <text>
        <r>
          <rPr>
            <b/>
            <sz val="8"/>
            <color indexed="81"/>
            <rFont val="Segoe UI"/>
            <family val="2"/>
          </rPr>
          <t>wzr2hi:</t>
        </r>
        <r>
          <rPr>
            <sz val="8"/>
            <color indexed="81"/>
            <rFont val="Segoe UI"/>
            <family val="2"/>
          </rPr>
          <t xml:space="preserve">
[wzr2hi, 18.03.2019]
RCAR-Enviroment is only available on ST3.x</t>
        </r>
      </text>
    </comment>
    <comment ref="AD796" authorId="0" shapeId="0" xr:uid="{CCA6B312-3079-4A4F-8F38-1C1D8D912BA6}">
      <text>
        <r>
          <rPr>
            <b/>
            <sz val="8"/>
            <color indexed="81"/>
            <rFont val="Segoe UI"/>
            <family val="2"/>
          </rPr>
          <t>wzr2hi:</t>
        </r>
        <r>
          <rPr>
            <sz val="8"/>
            <color indexed="81"/>
            <rFont val="Segoe UI"/>
            <family val="2"/>
          </rPr>
          <t xml:space="preserve">
[wzr2hi, 18.03.2019]
RCAR-Enviroment is only available on ST3.x</t>
        </r>
      </text>
    </comment>
    <comment ref="T797" authorId="1" shapeId="0" xr:uid="{0EA097FA-57AA-4EDB-919D-FA68EDB99878}">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97" authorId="0" shapeId="0" xr:uid="{21CAEF8E-64B0-45A9-8B5E-AC0E04C8F474}">
      <text>
        <r>
          <rPr>
            <b/>
            <sz val="8"/>
            <color indexed="81"/>
            <rFont val="Segoe UI"/>
            <family val="2"/>
          </rPr>
          <t>wzr2hi:</t>
        </r>
        <r>
          <rPr>
            <sz val="8"/>
            <color indexed="81"/>
            <rFont val="Segoe UI"/>
            <family val="2"/>
          </rPr>
          <t xml:space="preserve">
[wzr2hi, 18.03.2019]
RCAR-Enviroment is only available on ST3.x</t>
        </r>
      </text>
    </comment>
    <comment ref="R798" authorId="5" shapeId="0" xr:uid="{30148271-D145-4CF1-B3A1-10DDE43132A3}">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T798" authorId="1" shapeId="0" xr:uid="{2CF8597E-4C80-4F54-A058-9E4AB7D34FE2}">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98" authorId="0" shapeId="0" xr:uid="{C540BD03-7E14-4D07-B17C-C8E611320C56}">
      <text>
        <r>
          <rPr>
            <b/>
            <sz val="8"/>
            <color indexed="81"/>
            <rFont val="Segoe UI"/>
            <family val="2"/>
          </rPr>
          <t>wzr2hi:</t>
        </r>
        <r>
          <rPr>
            <sz val="8"/>
            <color indexed="81"/>
            <rFont val="Segoe UI"/>
            <family val="2"/>
          </rPr>
          <t xml:space="preserve">
[wzr2hi, 18.03.2019]
RCAR-Enviroment is only available on ST3.x</t>
        </r>
      </text>
    </comment>
    <comment ref="R799" authorId="5" shapeId="0" xr:uid="{F7C2215C-6AFE-4286-ABDE-6434D9F9364F}">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AD799" authorId="0" shapeId="0" xr:uid="{42CDE2C2-44BE-496B-A82B-3D346CA65D65}">
      <text>
        <r>
          <rPr>
            <b/>
            <sz val="8"/>
            <color indexed="81"/>
            <rFont val="Segoe UI"/>
            <family val="2"/>
          </rPr>
          <t>wzr2hi:</t>
        </r>
        <r>
          <rPr>
            <sz val="8"/>
            <color indexed="81"/>
            <rFont val="Segoe UI"/>
            <family val="2"/>
          </rPr>
          <t xml:space="preserve">
[wzr2hi, 18.03.2019]
RCAR-Enviroment is only available on ST3.x</t>
        </r>
      </text>
    </comment>
    <comment ref="R800" authorId="5" shapeId="0" xr:uid="{6FAB54AD-2C35-481B-BC67-584AB6518EE6}">
      <text>
        <r>
          <rPr>
            <b/>
            <sz val="9"/>
            <color indexed="81"/>
            <rFont val="Segoe UI"/>
            <family val="2"/>
          </rPr>
          <t>Welz Ralph (XC-CI1/ERN7-E):</t>
        </r>
        <r>
          <rPr>
            <sz val="9"/>
            <color indexed="81"/>
            <rFont val="Segoe UI"/>
            <family val="2"/>
          </rPr>
          <t xml:space="preserve">
[wzr2hi, 09.02.2022] VM states HD, deviating from recent change to AM/FM for US/CAN and DAB for MEX.</t>
        </r>
      </text>
    </comment>
    <comment ref="AD800" authorId="0" shapeId="0" xr:uid="{1411E096-B4EC-446F-B068-E4B806147A0B}">
      <text>
        <r>
          <rPr>
            <b/>
            <sz val="8"/>
            <color indexed="81"/>
            <rFont val="Segoe UI"/>
            <family val="2"/>
          </rPr>
          <t>wzr2hi:</t>
        </r>
        <r>
          <rPr>
            <sz val="8"/>
            <color indexed="81"/>
            <rFont val="Segoe UI"/>
            <family val="2"/>
          </rPr>
          <t xml:space="preserve">
[wzr2hi, 18.03.2019]
RCAR-Enviroment is only available on ST3.x</t>
        </r>
      </text>
    </comment>
    <comment ref="AD801" authorId="0" shapeId="0" xr:uid="{7CAAD9CE-8314-4219-922A-0A5B23973613}">
      <text>
        <r>
          <rPr>
            <b/>
            <sz val="8"/>
            <color indexed="81"/>
            <rFont val="Segoe UI"/>
            <family val="2"/>
          </rPr>
          <t>wzr2hi:</t>
        </r>
        <r>
          <rPr>
            <sz val="8"/>
            <color indexed="81"/>
            <rFont val="Segoe UI"/>
            <family val="2"/>
          </rPr>
          <t xml:space="preserve">
[wzr2hi, 18.03.2019]
RCAR-Enviroment is only available on ST3.x</t>
        </r>
      </text>
    </comment>
    <comment ref="AD802" authorId="0" shapeId="0" xr:uid="{ED2A402B-3FCF-45FC-B6BD-BED9E8AD26E8}">
      <text>
        <r>
          <rPr>
            <b/>
            <sz val="8"/>
            <color indexed="81"/>
            <rFont val="Segoe UI"/>
            <family val="2"/>
          </rPr>
          <t>wzr2hi:</t>
        </r>
        <r>
          <rPr>
            <sz val="8"/>
            <color indexed="81"/>
            <rFont val="Segoe UI"/>
            <family val="2"/>
          </rPr>
          <t xml:space="preserve">
[wzr2hi, 18.03.2019]
RCAR-Enviroment is only available on ST3.x</t>
        </r>
      </text>
    </comment>
    <comment ref="AD803" authorId="0" shapeId="0" xr:uid="{E74E4B29-E3D1-4372-B3C5-7588F657DF9B}">
      <text>
        <r>
          <rPr>
            <b/>
            <sz val="8"/>
            <color indexed="81"/>
            <rFont val="Segoe UI"/>
            <family val="2"/>
          </rPr>
          <t>wzr2hi:</t>
        </r>
        <r>
          <rPr>
            <sz val="8"/>
            <color indexed="81"/>
            <rFont val="Segoe UI"/>
            <family val="2"/>
          </rPr>
          <t xml:space="preserve">
[wzr2hi, 18.03.2019]
RCAR-Enviroment is only available on ST3.x</t>
        </r>
      </text>
    </comment>
    <comment ref="AD804" authorId="0" shapeId="0" xr:uid="{794CEAC7-FD2B-451E-8A9B-1E96B306CCF3}">
      <text>
        <r>
          <rPr>
            <b/>
            <sz val="8"/>
            <color indexed="81"/>
            <rFont val="Segoe UI"/>
            <family val="2"/>
          </rPr>
          <t>wzr2hi:</t>
        </r>
        <r>
          <rPr>
            <sz val="8"/>
            <color indexed="81"/>
            <rFont val="Segoe UI"/>
            <family val="2"/>
          </rPr>
          <t xml:space="preserve">
[wzr2hi, 18.03.2019]
RCAR-Enviroment is only available on ST3.x</t>
        </r>
      </text>
    </comment>
    <comment ref="AD805" authorId="0" shapeId="0" xr:uid="{4928EA08-5B0E-4EBA-B9B5-DEC7E1B62BC3}">
      <text>
        <r>
          <rPr>
            <b/>
            <sz val="8"/>
            <color indexed="81"/>
            <rFont val="Segoe UI"/>
            <family val="2"/>
          </rPr>
          <t>wzr2hi:</t>
        </r>
        <r>
          <rPr>
            <sz val="8"/>
            <color indexed="81"/>
            <rFont val="Segoe UI"/>
            <family val="2"/>
          </rPr>
          <t xml:space="preserve">
[wzr2hi, 18.03.2019]
RCAR-Enviroment is only available on ST3.x</t>
        </r>
      </text>
    </comment>
    <comment ref="AD806" authorId="0" shapeId="0" xr:uid="{14DA2A69-BC1B-456C-852F-DF43BD0124C4}">
      <text>
        <r>
          <rPr>
            <b/>
            <sz val="8"/>
            <color indexed="81"/>
            <rFont val="Segoe UI"/>
            <family val="2"/>
          </rPr>
          <t>wzr2hi:</t>
        </r>
        <r>
          <rPr>
            <sz val="8"/>
            <color indexed="81"/>
            <rFont val="Segoe UI"/>
            <family val="2"/>
          </rPr>
          <t xml:space="preserve">
[wzr2hi, 18.03.2019]
RCAR-Enviroment is only available on ST3.x</t>
        </r>
      </text>
    </comment>
    <comment ref="AD807" authorId="0" shapeId="0" xr:uid="{007CD5F6-440F-410B-97D6-0E8A2B794DF1}">
      <text>
        <r>
          <rPr>
            <b/>
            <sz val="8"/>
            <color indexed="81"/>
            <rFont val="Segoe UI"/>
            <family val="2"/>
          </rPr>
          <t>wzr2hi:</t>
        </r>
        <r>
          <rPr>
            <sz val="8"/>
            <color indexed="81"/>
            <rFont val="Segoe UI"/>
            <family val="2"/>
          </rPr>
          <t xml:space="preserve">
[wzr2hi, 18.03.2019]
RCAR-Enviroment is only available on ST3.x</t>
        </r>
      </text>
    </comment>
    <comment ref="AD808" authorId="0" shapeId="0" xr:uid="{848C1C1A-3A90-4EDE-A5AC-B5D4013151EC}">
      <text>
        <r>
          <rPr>
            <b/>
            <sz val="8"/>
            <color indexed="81"/>
            <rFont val="Segoe UI"/>
            <family val="2"/>
          </rPr>
          <t>wzr2hi:</t>
        </r>
        <r>
          <rPr>
            <sz val="8"/>
            <color indexed="81"/>
            <rFont val="Segoe UI"/>
            <family val="2"/>
          </rPr>
          <t xml:space="preserve">
[wzr2hi, 18.03.2019]
RCAR-Enviroment is only available on ST3.x</t>
        </r>
      </text>
    </comment>
    <comment ref="AD809" authorId="0" shapeId="0" xr:uid="{76180871-46AC-4EF5-A8F3-F37E295D2CBB}">
      <text>
        <r>
          <rPr>
            <b/>
            <sz val="8"/>
            <color indexed="81"/>
            <rFont val="Segoe UI"/>
            <family val="2"/>
          </rPr>
          <t>wzr2hi:</t>
        </r>
        <r>
          <rPr>
            <sz val="8"/>
            <color indexed="81"/>
            <rFont val="Segoe UI"/>
            <family val="2"/>
          </rPr>
          <t xml:space="preserve">
[wzr2hi, 18.03.2019]
RCAR-Enviroment is only available on ST3.x</t>
        </r>
      </text>
    </comment>
    <comment ref="T810" authorId="1" shapeId="0" xr:uid="{5B0DDDC5-9DC9-49EE-BCF9-EBCD054ED821}">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10" authorId="0" shapeId="0" xr:uid="{8849BE83-00BE-4EFD-A6B2-B614DE641C53}">
      <text>
        <r>
          <rPr>
            <b/>
            <sz val="8"/>
            <color indexed="81"/>
            <rFont val="Segoe UI"/>
            <family val="2"/>
          </rPr>
          <t>wzr2hi:</t>
        </r>
        <r>
          <rPr>
            <sz val="8"/>
            <color indexed="81"/>
            <rFont val="Segoe UI"/>
            <family val="2"/>
          </rPr>
          <t xml:space="preserve">
[wzr2hi, 18.03.2019]
RCAR-Enviroment is only available on ST3.x</t>
        </r>
      </text>
    </comment>
    <comment ref="AD811" authorId="0" shapeId="0" xr:uid="{2CE960C1-E731-487B-8057-D73305718F2B}">
      <text>
        <r>
          <rPr>
            <b/>
            <sz val="8"/>
            <color indexed="81"/>
            <rFont val="Segoe UI"/>
            <family val="2"/>
          </rPr>
          <t>wzr2hi:</t>
        </r>
        <r>
          <rPr>
            <sz val="8"/>
            <color indexed="81"/>
            <rFont val="Segoe UI"/>
            <family val="2"/>
          </rPr>
          <t xml:space="preserve">
[wzr2hi, 18.03.2019]
RCAR-Enviroment is only available on ST3.x</t>
        </r>
      </text>
    </comment>
    <comment ref="AD812" authorId="0" shapeId="0" xr:uid="{FFC728A6-F126-4296-8021-2660F7134C52}">
      <text>
        <r>
          <rPr>
            <b/>
            <sz val="8"/>
            <color indexed="81"/>
            <rFont val="Segoe UI"/>
            <family val="2"/>
          </rPr>
          <t>wzr2hi:</t>
        </r>
        <r>
          <rPr>
            <sz val="8"/>
            <color indexed="81"/>
            <rFont val="Segoe UI"/>
            <family val="2"/>
          </rPr>
          <t xml:space="preserve">
[wzr2hi, 18.03.2019]
RCAR-Enviroment is only available on ST3.x</t>
        </r>
      </text>
    </comment>
    <comment ref="T813" authorId="1" shapeId="0" xr:uid="{B61EF8D3-CE64-43A8-86A6-2D635A17656F}">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13" authorId="0" shapeId="0" xr:uid="{474A52F0-23C9-4777-AC10-933798F2E512}">
      <text>
        <r>
          <rPr>
            <b/>
            <sz val="8"/>
            <color indexed="81"/>
            <rFont val="Segoe UI"/>
            <family val="2"/>
          </rPr>
          <t>wzr2hi:</t>
        </r>
        <r>
          <rPr>
            <sz val="8"/>
            <color indexed="81"/>
            <rFont val="Segoe UI"/>
            <family val="2"/>
          </rPr>
          <t xml:space="preserve">
[wzr2hi, 18.03.2019]
RCAR-Enviroment is only available on ST3.x</t>
        </r>
      </text>
    </comment>
    <comment ref="R814" authorId="5" shapeId="0" xr:uid="{51D3F671-0F51-45EF-A412-96737B70A757}">
      <text>
        <r>
          <rPr>
            <b/>
            <sz val="9"/>
            <color indexed="81"/>
            <rFont val="Segoe UI"/>
            <family val="2"/>
          </rPr>
          <t>Welz Ralph (XC-CI1/ERN7-E):</t>
        </r>
        <r>
          <rPr>
            <sz val="9"/>
            <color indexed="81"/>
            <rFont val="Segoe UI"/>
            <family val="2"/>
          </rPr>
          <t xml:space="preserve">
[wzr2hi, 04.10.2022] According to Jürgen Boes MMC ordered the same setup as Nissan. MMC got also the VM and did not complain. So we can assume MMC dropped HD compared to ST3.1.</t>
        </r>
      </text>
    </comment>
    <comment ref="T814" authorId="1" shapeId="0" xr:uid="{5A5A0710-723D-4ACB-9E1E-70AF64C37D78}">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14" authorId="0" shapeId="0" xr:uid="{9BCB77C8-F91B-43B7-B9B9-400741B7289B}">
      <text>
        <r>
          <rPr>
            <b/>
            <sz val="8"/>
            <color indexed="81"/>
            <rFont val="Segoe UI"/>
            <family val="2"/>
          </rPr>
          <t>wzr2hi:</t>
        </r>
        <r>
          <rPr>
            <sz val="8"/>
            <color indexed="81"/>
            <rFont val="Segoe UI"/>
            <family val="2"/>
          </rPr>
          <t xml:space="preserve">
[wzr2hi, 18.03.2019]
RCAR-Enviroment is only available on ST3.x</t>
        </r>
      </text>
    </comment>
    <comment ref="AD815" authorId="0" shapeId="0" xr:uid="{527EDB15-C798-4E80-BA47-84F698632E0A}">
      <text>
        <r>
          <rPr>
            <b/>
            <sz val="8"/>
            <color indexed="81"/>
            <rFont val="Segoe UI"/>
            <family val="2"/>
          </rPr>
          <t>wzr2hi:</t>
        </r>
        <r>
          <rPr>
            <sz val="8"/>
            <color indexed="81"/>
            <rFont val="Segoe UI"/>
            <family val="2"/>
          </rPr>
          <t xml:space="preserve">
[wzr2hi, 18.03.2019]
RCAR-Enviroment is only available on ST3.x</t>
        </r>
      </text>
    </comment>
    <comment ref="AD816" authorId="0" shapeId="0" xr:uid="{7549CEFF-4C3F-4D61-8185-04C98D549937}">
      <text>
        <r>
          <rPr>
            <b/>
            <sz val="8"/>
            <color indexed="81"/>
            <rFont val="Segoe UI"/>
            <family val="2"/>
          </rPr>
          <t>wzr2hi:</t>
        </r>
        <r>
          <rPr>
            <sz val="8"/>
            <color indexed="81"/>
            <rFont val="Segoe UI"/>
            <family val="2"/>
          </rPr>
          <t xml:space="preserve">
[wzr2hi, 18.03.2019]
RCAR-Enviroment is only available on ST3.x</t>
        </r>
      </text>
    </comment>
    <comment ref="T817" authorId="1" shapeId="0" xr:uid="{ED9278C6-B135-4F00-B16B-A20669D0DBDA}">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17" authorId="0" shapeId="0" xr:uid="{C5F23A70-11EE-49A0-9A6A-4C7CABD69FB1}">
      <text>
        <r>
          <rPr>
            <b/>
            <sz val="8"/>
            <color indexed="81"/>
            <rFont val="Segoe UI"/>
            <family val="2"/>
          </rPr>
          <t>wzr2hi:</t>
        </r>
        <r>
          <rPr>
            <sz val="8"/>
            <color indexed="81"/>
            <rFont val="Segoe UI"/>
            <family val="2"/>
          </rPr>
          <t xml:space="preserve">
[wzr2hi, 18.03.2019]
RCAR-Enviroment is only available on ST3.x</t>
        </r>
      </text>
    </comment>
    <comment ref="O818" authorId="5" shapeId="0" xr:uid="{E74098B6-E614-42B4-B1E5-E2F8CF1A4239}">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 16.01.2023] According to Marcus Fach the new SDB Spec Sheet is confirmed by Nissan and Renault. Nissan CCS1.5 DA devices get EUR_FSG. However, implementation of this old sample is still EUR_NLU as of now..
[wrz2hi, 29.03.2023] Requirements of MMC are not clear. Current opinion is MMC DA eq. NISSAN DA.</t>
        </r>
      </text>
    </comment>
    <comment ref="AD818" authorId="0" shapeId="0" xr:uid="{137E6694-05CD-42B0-9DC2-2F7D4C75B82D}">
      <text>
        <r>
          <rPr>
            <b/>
            <sz val="8"/>
            <color indexed="81"/>
            <rFont val="Segoe UI"/>
            <family val="2"/>
          </rPr>
          <t>wzr2hi:</t>
        </r>
        <r>
          <rPr>
            <sz val="8"/>
            <color indexed="81"/>
            <rFont val="Segoe UI"/>
            <family val="2"/>
          </rPr>
          <t xml:space="preserve">
[wzr2hi, 18.03.2019]
RCAR-Enviroment is only available on ST3.x</t>
        </r>
      </text>
    </comment>
    <comment ref="AD819" authorId="0" shapeId="0" xr:uid="{CD750D87-51E9-45AB-93FF-E268E66B31D2}">
      <text>
        <r>
          <rPr>
            <b/>
            <sz val="8"/>
            <color indexed="81"/>
            <rFont val="Segoe UI"/>
            <family val="2"/>
          </rPr>
          <t>wzr2hi:</t>
        </r>
        <r>
          <rPr>
            <sz val="8"/>
            <color indexed="81"/>
            <rFont val="Segoe UI"/>
            <family val="2"/>
          </rPr>
          <t xml:space="preserve">
[wzr2hi, 18.03.2019]
RCAR-Enviroment is only available on ST3.x</t>
        </r>
      </text>
    </comment>
    <comment ref="AD820" authorId="0" shapeId="0" xr:uid="{B5554EF6-FE58-4CE6-A19B-654F0C17AFCE}">
      <text>
        <r>
          <rPr>
            <b/>
            <sz val="8"/>
            <color indexed="81"/>
            <rFont val="Segoe UI"/>
            <family val="2"/>
          </rPr>
          <t>wzr2hi:</t>
        </r>
        <r>
          <rPr>
            <sz val="8"/>
            <color indexed="81"/>
            <rFont val="Segoe UI"/>
            <family val="2"/>
          </rPr>
          <t xml:space="preserve">
[wzr2hi, 18.03.2019]
RCAR-Enviroment is only available on ST3.x</t>
        </r>
      </text>
    </comment>
    <comment ref="O821" authorId="5" shapeId="0" xr:uid="{ABDBE6E9-0BFD-40E8-A7CD-CE790C84AA7B}">
      <text>
        <r>
          <rPr>
            <b/>
            <sz val="9"/>
            <color indexed="81"/>
            <rFont val="Segoe UI"/>
            <family val="2"/>
          </rPr>
          <t>Welz Ralph (XC-CI1/ERN7-E):</t>
        </r>
        <r>
          <rPr>
            <sz val="9"/>
            <color indexed="81"/>
            <rFont val="Segoe UI"/>
            <family val="2"/>
          </rPr>
          <t xml:space="preserve">
[wzr2hi, 29.03.2023] Latest PRCFSG versions have also Dutch (one Russion speaker has been dropped). This makes a "GOM" DA possible.</t>
        </r>
      </text>
    </comment>
    <comment ref="AD821" authorId="0" shapeId="0" xr:uid="{F502942F-C28C-404A-87C2-4C316F582CED}">
      <text>
        <r>
          <rPr>
            <b/>
            <sz val="8"/>
            <color indexed="81"/>
            <rFont val="Segoe UI"/>
            <family val="2"/>
          </rPr>
          <t>wzr2hi:</t>
        </r>
        <r>
          <rPr>
            <sz val="8"/>
            <color indexed="81"/>
            <rFont val="Segoe UI"/>
            <family val="2"/>
          </rPr>
          <t xml:space="preserve">
[wzr2hi, 18.03.2019]
RCAR-Enviroment is only available on ST3.x</t>
        </r>
      </text>
    </comment>
    <comment ref="AD822" authorId="0" shapeId="0" xr:uid="{1A4CF9E6-7A80-4138-80BE-6437395C6AE5}">
      <text>
        <r>
          <rPr>
            <b/>
            <sz val="8"/>
            <color indexed="81"/>
            <rFont val="Segoe UI"/>
            <family val="2"/>
          </rPr>
          <t>wzr2hi:</t>
        </r>
        <r>
          <rPr>
            <sz val="8"/>
            <color indexed="81"/>
            <rFont val="Segoe UI"/>
            <family val="2"/>
          </rPr>
          <t xml:space="preserve">
[wzr2hi, 18.03.2019]
RCAR-Enviroment is only available on ST3.x</t>
        </r>
      </text>
    </comment>
    <comment ref="AD823" authorId="0" shapeId="0" xr:uid="{CCC225D5-1257-45F5-B6F7-EAF4B061F706}">
      <text>
        <r>
          <rPr>
            <b/>
            <sz val="8"/>
            <color indexed="81"/>
            <rFont val="Segoe UI"/>
            <family val="2"/>
          </rPr>
          <t>wzr2hi:</t>
        </r>
        <r>
          <rPr>
            <sz val="8"/>
            <color indexed="81"/>
            <rFont val="Segoe UI"/>
            <family val="2"/>
          </rPr>
          <t xml:space="preserve">
[wzr2hi, 18.03.2019]
RCAR-Enviroment is only available on ST3.x</t>
        </r>
      </text>
    </comment>
    <comment ref="AD824" authorId="0" shapeId="0" xr:uid="{37AD1454-F25D-45FA-AADE-130D06D7AF51}">
      <text>
        <r>
          <rPr>
            <b/>
            <sz val="8"/>
            <color indexed="81"/>
            <rFont val="Segoe UI"/>
            <family val="2"/>
          </rPr>
          <t>wzr2hi:</t>
        </r>
        <r>
          <rPr>
            <sz val="8"/>
            <color indexed="81"/>
            <rFont val="Segoe UI"/>
            <family val="2"/>
          </rPr>
          <t xml:space="preserve">
[wzr2hi, 18.03.2019]
RCAR-Enviroment is only available on ST3.x</t>
        </r>
      </text>
    </comment>
    <comment ref="AD825" authorId="0" shapeId="0" xr:uid="{F63D17A4-55B0-4333-B10D-0A1D4E9D1B6A}">
      <text>
        <r>
          <rPr>
            <b/>
            <sz val="8"/>
            <color indexed="81"/>
            <rFont val="Segoe UI"/>
            <family val="2"/>
          </rPr>
          <t>wzr2hi:</t>
        </r>
        <r>
          <rPr>
            <sz val="8"/>
            <color indexed="81"/>
            <rFont val="Segoe UI"/>
            <family val="2"/>
          </rPr>
          <t xml:space="preserve">
[wzr2hi, 18.03.2019]
RCAR-Enviroment is only available on ST3.x</t>
        </r>
      </text>
    </comment>
    <comment ref="AD826" authorId="0" shapeId="0" xr:uid="{951BD8F1-765D-40B0-B94B-5F751A1A6D72}">
      <text>
        <r>
          <rPr>
            <b/>
            <sz val="8"/>
            <color indexed="81"/>
            <rFont val="Segoe UI"/>
            <family val="2"/>
          </rPr>
          <t>wzr2hi:</t>
        </r>
        <r>
          <rPr>
            <sz val="8"/>
            <color indexed="81"/>
            <rFont val="Segoe UI"/>
            <family val="2"/>
          </rPr>
          <t xml:space="preserve">
[wzr2hi, 18.03.2019]
RCAR-Enviroment is only available on ST3.x</t>
        </r>
      </text>
    </comment>
    <comment ref="AD827" authorId="0" shapeId="0" xr:uid="{CE31CB17-00C4-4C5A-8C34-8797F14A226A}">
      <text>
        <r>
          <rPr>
            <b/>
            <sz val="8"/>
            <color indexed="81"/>
            <rFont val="Segoe UI"/>
            <family val="2"/>
          </rPr>
          <t>wzr2hi:</t>
        </r>
        <r>
          <rPr>
            <sz val="8"/>
            <color indexed="81"/>
            <rFont val="Segoe UI"/>
            <family val="2"/>
          </rPr>
          <t xml:space="preserve">
[wzr2hi, 18.03.2019]
RCAR-Enviroment is only available on ST3.x</t>
        </r>
      </text>
    </comment>
    <comment ref="AD828" authorId="0" shapeId="0" xr:uid="{8619C3FF-D05D-40F4-957D-AFB67280D35C}">
      <text>
        <r>
          <rPr>
            <b/>
            <sz val="8"/>
            <color indexed="81"/>
            <rFont val="Segoe UI"/>
            <family val="2"/>
          </rPr>
          <t>wzr2hi:</t>
        </r>
        <r>
          <rPr>
            <sz val="8"/>
            <color indexed="81"/>
            <rFont val="Segoe UI"/>
            <family val="2"/>
          </rPr>
          <t xml:space="preserve">
[wzr2hi, 18.03.2019]
RCAR-Enviroment is only available on ST3.x</t>
        </r>
      </text>
    </comment>
    <comment ref="AD829" authorId="0" shapeId="0" xr:uid="{D9D64632-29CB-4FA2-8B2C-316A8FC286A5}">
      <text>
        <r>
          <rPr>
            <b/>
            <sz val="8"/>
            <color indexed="81"/>
            <rFont val="Segoe UI"/>
            <family val="2"/>
          </rPr>
          <t>wzr2hi:</t>
        </r>
        <r>
          <rPr>
            <sz val="8"/>
            <color indexed="81"/>
            <rFont val="Segoe UI"/>
            <family val="2"/>
          </rPr>
          <t xml:space="preserve">
[wzr2hi, 18.03.2019]
RCAR-Enviroment is only available on ST3.x</t>
        </r>
      </text>
    </comment>
    <comment ref="R830" authorId="5" shapeId="0" xr:uid="{1CE75E07-6468-4A06-B363-69154E48B882}">
      <text>
        <r>
          <rPr>
            <b/>
            <sz val="9"/>
            <color indexed="81"/>
            <rFont val="Segoe UI"/>
            <family val="2"/>
          </rPr>
          <t>Welz Ralph (XC-CI1/ERN7-E):</t>
        </r>
        <r>
          <rPr>
            <sz val="9"/>
            <color indexed="81"/>
            <rFont val="Segoe UI"/>
            <family val="2"/>
          </rPr>
          <t xml:space="preserve">
[wzr2hi, 04.10.2022] According to Jürgen Boes MMC ordered the same setup as Nissan. MMC got also the VM and did not complain. So we can assume MMC dropped HD compared to ST3.1.</t>
        </r>
      </text>
    </comment>
    <comment ref="T830" authorId="1" shapeId="0" xr:uid="{C2CAD2BC-BBAA-4A24-874D-FA434BDB2DA1}">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30" authorId="0" shapeId="0" xr:uid="{5F6AA4AD-5545-42F3-83F3-921D0F49F62D}">
      <text>
        <r>
          <rPr>
            <b/>
            <sz val="8"/>
            <color indexed="81"/>
            <rFont val="Segoe UI"/>
            <family val="2"/>
          </rPr>
          <t>wzr2hi:</t>
        </r>
        <r>
          <rPr>
            <sz val="8"/>
            <color indexed="81"/>
            <rFont val="Segoe UI"/>
            <family val="2"/>
          </rPr>
          <t xml:space="preserve">
[wzr2hi, 18.03.2019]
RCAR-Enviroment is only available on ST3.x</t>
        </r>
      </text>
    </comment>
    <comment ref="AD831" authorId="0" shapeId="0" xr:uid="{C431F012-45D6-4FEF-BDED-334F5D86FA06}">
      <text>
        <r>
          <rPr>
            <b/>
            <sz val="8"/>
            <color indexed="81"/>
            <rFont val="Segoe UI"/>
            <family val="2"/>
          </rPr>
          <t>wzr2hi:</t>
        </r>
        <r>
          <rPr>
            <sz val="8"/>
            <color indexed="81"/>
            <rFont val="Segoe UI"/>
            <family val="2"/>
          </rPr>
          <t xml:space="preserve">
[wzr2hi, 18.03.2019]
RCAR-Enviroment is only available on ST3.x</t>
        </r>
      </text>
    </comment>
    <comment ref="AD832" authorId="0" shapeId="0" xr:uid="{A03E812D-26BE-4B5B-86CB-DA491957A8D8}">
      <text>
        <r>
          <rPr>
            <b/>
            <sz val="8"/>
            <color indexed="81"/>
            <rFont val="Segoe UI"/>
            <family val="2"/>
          </rPr>
          <t>wzr2hi:</t>
        </r>
        <r>
          <rPr>
            <sz val="8"/>
            <color indexed="81"/>
            <rFont val="Segoe UI"/>
            <family val="2"/>
          </rPr>
          <t xml:space="preserve">
[wzr2hi, 18.03.2019]
RCAR-Enviroment is only available on ST3.x</t>
        </r>
      </text>
    </comment>
    <comment ref="AD833" authorId="0" shapeId="0" xr:uid="{C7EFD186-81BB-45E2-8CC6-A0C7F2769A2C}">
      <text>
        <r>
          <rPr>
            <b/>
            <sz val="8"/>
            <color indexed="81"/>
            <rFont val="Segoe UI"/>
            <family val="2"/>
          </rPr>
          <t>wzr2hi:</t>
        </r>
        <r>
          <rPr>
            <sz val="8"/>
            <color indexed="81"/>
            <rFont val="Segoe UI"/>
            <family val="2"/>
          </rPr>
          <t xml:space="preserve">
[wzr2hi, 18.03.2019]
RCAR-Enviroment is only available on ST3.x</t>
        </r>
      </text>
    </comment>
    <comment ref="AD834" authorId="0" shapeId="0" xr:uid="{3F3E54C6-4510-4FEA-A941-B4D10EC1CF96}">
      <text>
        <r>
          <rPr>
            <b/>
            <sz val="8"/>
            <color indexed="81"/>
            <rFont val="Segoe UI"/>
            <family val="2"/>
          </rPr>
          <t>wzr2hi:</t>
        </r>
        <r>
          <rPr>
            <sz val="8"/>
            <color indexed="81"/>
            <rFont val="Segoe UI"/>
            <family val="2"/>
          </rPr>
          <t xml:space="preserve">
[wzr2hi, 18.03.2019]
RCAR-Enviroment is only available on ST3.x</t>
        </r>
      </text>
    </comment>
    <comment ref="AD835" authorId="0" shapeId="0" xr:uid="{ADF148AD-9CC3-4D25-A748-E39B0A9EEE51}">
      <text>
        <r>
          <rPr>
            <b/>
            <sz val="8"/>
            <color indexed="81"/>
            <rFont val="Segoe UI"/>
            <family val="2"/>
          </rPr>
          <t>wzr2hi:</t>
        </r>
        <r>
          <rPr>
            <sz val="8"/>
            <color indexed="81"/>
            <rFont val="Segoe UI"/>
            <family val="2"/>
          </rPr>
          <t xml:space="preserve">
[wzr2hi, 18.03.2019]
RCAR-Enviroment is only available on ST3.x</t>
        </r>
      </text>
    </comment>
    <comment ref="AD836" authorId="0" shapeId="0" xr:uid="{9D87533E-8BBE-4384-860D-0121FFE4A1FF}">
      <text>
        <r>
          <rPr>
            <b/>
            <sz val="8"/>
            <color indexed="81"/>
            <rFont val="Segoe UI"/>
            <family val="2"/>
          </rPr>
          <t>wzr2hi:</t>
        </r>
        <r>
          <rPr>
            <sz val="8"/>
            <color indexed="81"/>
            <rFont val="Segoe UI"/>
            <family val="2"/>
          </rPr>
          <t xml:space="preserve">
[wzr2hi, 18.03.2019]
RCAR-Enviroment is only available on ST3.x</t>
        </r>
      </text>
    </comment>
    <comment ref="AD837" authorId="0" shapeId="0" xr:uid="{06ECA77A-8380-441E-8EB1-070936926FE1}">
      <text>
        <r>
          <rPr>
            <b/>
            <sz val="8"/>
            <color indexed="81"/>
            <rFont val="Segoe UI"/>
            <family val="2"/>
          </rPr>
          <t>wzr2hi:</t>
        </r>
        <r>
          <rPr>
            <sz val="8"/>
            <color indexed="81"/>
            <rFont val="Segoe UI"/>
            <family val="2"/>
          </rPr>
          <t xml:space="preserve">
[wzr2hi, 18.03.2019]
RCAR-Enviroment is only available on ST3.x</t>
        </r>
      </text>
    </comment>
    <comment ref="AD838" authorId="0" shapeId="0" xr:uid="{FC3C0C4F-580D-4618-815A-85BF9232AC70}">
      <text>
        <r>
          <rPr>
            <b/>
            <sz val="8"/>
            <color indexed="81"/>
            <rFont val="Segoe UI"/>
            <family val="2"/>
          </rPr>
          <t>wzr2hi:</t>
        </r>
        <r>
          <rPr>
            <sz val="8"/>
            <color indexed="81"/>
            <rFont val="Segoe UI"/>
            <family val="2"/>
          </rPr>
          <t xml:space="preserve">
[wzr2hi, 18.03.2019]
RCAR-Enviroment is only available on ST3.x</t>
        </r>
      </text>
    </comment>
    <comment ref="AD839" authorId="0" shapeId="0" xr:uid="{F7D2F010-BAF9-4ED5-817E-8913A82205B5}">
      <text>
        <r>
          <rPr>
            <b/>
            <sz val="8"/>
            <color indexed="81"/>
            <rFont val="Segoe UI"/>
            <family val="2"/>
          </rPr>
          <t>wzr2hi:</t>
        </r>
        <r>
          <rPr>
            <sz val="8"/>
            <color indexed="81"/>
            <rFont val="Segoe UI"/>
            <family val="2"/>
          </rPr>
          <t xml:space="preserve">
[wzr2hi, 18.03.2019]
RCAR-Enviroment is only available on ST3.x</t>
        </r>
      </text>
    </comment>
    <comment ref="AD840" authorId="0" shapeId="0" xr:uid="{C2C78E29-74BA-4C60-989B-7E22FFC66C83}">
      <text>
        <r>
          <rPr>
            <b/>
            <sz val="8"/>
            <color indexed="81"/>
            <rFont val="Segoe UI"/>
            <family val="2"/>
          </rPr>
          <t>wzr2hi:</t>
        </r>
        <r>
          <rPr>
            <sz val="8"/>
            <color indexed="81"/>
            <rFont val="Segoe UI"/>
            <family val="2"/>
          </rPr>
          <t xml:space="preserve">
[wzr2hi, 18.03.2019]
RCAR-Enviroment is only available on ST3.x</t>
        </r>
      </text>
    </comment>
    <comment ref="AD841" authorId="0" shapeId="0" xr:uid="{4466773F-2006-4BEB-A4DA-7F9A6A7A44BA}">
      <text>
        <r>
          <rPr>
            <b/>
            <sz val="8"/>
            <color indexed="81"/>
            <rFont val="Segoe UI"/>
            <family val="2"/>
          </rPr>
          <t>wzr2hi:</t>
        </r>
        <r>
          <rPr>
            <sz val="8"/>
            <color indexed="81"/>
            <rFont val="Segoe UI"/>
            <family val="2"/>
          </rPr>
          <t xml:space="preserve">
[wzr2hi, 18.03.2019]
RCAR-Enviroment is only available on ST3.x</t>
        </r>
      </text>
    </comment>
    <comment ref="AD842" authorId="0" shapeId="0" xr:uid="{45E45202-313D-4B39-82B2-C140A1D34C1B}">
      <text>
        <r>
          <rPr>
            <b/>
            <sz val="8"/>
            <color indexed="81"/>
            <rFont val="Segoe UI"/>
            <family val="2"/>
          </rPr>
          <t>wzr2hi:</t>
        </r>
        <r>
          <rPr>
            <sz val="8"/>
            <color indexed="81"/>
            <rFont val="Segoe UI"/>
            <family val="2"/>
          </rPr>
          <t xml:space="preserve">
[wzr2hi, 18.03.2019]
RCAR-Enviroment is only available on ST3.x</t>
        </r>
      </text>
    </comment>
    <comment ref="AD843" authorId="0" shapeId="0" xr:uid="{CD420525-474F-45E5-97DF-CDA4656AD14E}">
      <text>
        <r>
          <rPr>
            <b/>
            <sz val="8"/>
            <color indexed="81"/>
            <rFont val="Segoe UI"/>
            <family val="2"/>
          </rPr>
          <t>wzr2hi:</t>
        </r>
        <r>
          <rPr>
            <sz val="8"/>
            <color indexed="81"/>
            <rFont val="Segoe UI"/>
            <family val="2"/>
          </rPr>
          <t xml:space="preserve">
[wzr2hi, 18.03.2019]
RCAR-Enviroment is only available on ST3.x</t>
        </r>
      </text>
    </comment>
    <comment ref="AD844" authorId="0" shapeId="0" xr:uid="{73649AF5-FB7E-4469-A984-FC40025B0116}">
      <text>
        <r>
          <rPr>
            <b/>
            <sz val="8"/>
            <color indexed="81"/>
            <rFont val="Segoe UI"/>
            <family val="2"/>
          </rPr>
          <t>wzr2hi:</t>
        </r>
        <r>
          <rPr>
            <sz val="8"/>
            <color indexed="81"/>
            <rFont val="Segoe UI"/>
            <family val="2"/>
          </rPr>
          <t xml:space="preserve">
[wzr2hi, 18.03.2019]
RCAR-Enviroment is only available on ST3.x</t>
        </r>
      </text>
    </comment>
    <comment ref="T845" authorId="1" shapeId="0" xr:uid="{B9A16017-1E07-4BAC-8673-C27D205D2E82}">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45" authorId="0" shapeId="0" xr:uid="{019550A0-D2B8-451F-A94A-CDE058B6A269}">
      <text>
        <r>
          <rPr>
            <b/>
            <sz val="8"/>
            <color indexed="81"/>
            <rFont val="Segoe UI"/>
            <family val="2"/>
          </rPr>
          <t>wzr2hi:</t>
        </r>
        <r>
          <rPr>
            <sz val="8"/>
            <color indexed="81"/>
            <rFont val="Segoe UI"/>
            <family val="2"/>
          </rPr>
          <t xml:space="preserve">
[wzr2hi, 18.03.2019]
RCAR-Enviroment is only available on ST3.x</t>
        </r>
      </text>
    </comment>
    <comment ref="AD846" authorId="0" shapeId="0" xr:uid="{10497EB7-5D9C-4567-BD5C-98B0281BF0C4}">
      <text>
        <r>
          <rPr>
            <b/>
            <sz val="8"/>
            <color indexed="81"/>
            <rFont val="Segoe UI"/>
            <family val="2"/>
          </rPr>
          <t>wzr2hi:</t>
        </r>
        <r>
          <rPr>
            <sz val="8"/>
            <color indexed="81"/>
            <rFont val="Segoe UI"/>
            <family val="2"/>
          </rPr>
          <t xml:space="preserve">
[wzr2hi, 18.03.2019]
RCAR-Enviroment is only available on ST3.x</t>
        </r>
      </text>
    </comment>
    <comment ref="AD847" authorId="0" shapeId="0" xr:uid="{E0E17FE0-0EA2-40BA-8DF4-5F3F4F0D0EB3}">
      <text>
        <r>
          <rPr>
            <b/>
            <sz val="8"/>
            <color indexed="81"/>
            <rFont val="Segoe UI"/>
            <family val="2"/>
          </rPr>
          <t>wzr2hi:</t>
        </r>
        <r>
          <rPr>
            <sz val="8"/>
            <color indexed="81"/>
            <rFont val="Segoe UI"/>
            <family val="2"/>
          </rPr>
          <t xml:space="preserve">
[wzr2hi, 18.03.2019]
RCAR-Enviroment is only available on ST3.x</t>
        </r>
      </text>
    </comment>
    <comment ref="O848" authorId="5" shapeId="0" xr:uid="{D8E7173A-EC10-4C1C-BE0A-347BFA8DACEE}">
      <text>
        <r>
          <rPr>
            <b/>
            <sz val="9"/>
            <color indexed="81"/>
            <rFont val="Segoe UI"/>
            <family val="2"/>
          </rPr>
          <t>Welz Ralph (XC-CI1/ERN7-E):</t>
        </r>
        <r>
          <rPr>
            <sz val="9"/>
            <color indexed="81"/>
            <rFont val="Segoe UI"/>
            <family val="2"/>
          </rPr>
          <t xml:space="preserve">
[wzr2hi, 29.03.2023] Latest PRCFSG versions have also Dutch (one Russion speaker has been dropped). This makes a "GOM" DA possible.</t>
        </r>
      </text>
    </comment>
    <comment ref="AD848" authorId="0" shapeId="0" xr:uid="{0381FA70-5599-4253-8FCF-22F2DAB6EFFB}">
      <text>
        <r>
          <rPr>
            <b/>
            <sz val="8"/>
            <color indexed="81"/>
            <rFont val="Segoe UI"/>
            <family val="2"/>
          </rPr>
          <t>wzr2hi:</t>
        </r>
        <r>
          <rPr>
            <sz val="8"/>
            <color indexed="81"/>
            <rFont val="Segoe UI"/>
            <family val="2"/>
          </rPr>
          <t xml:space="preserve">
[wzr2hi, 18.03.2019]
RCAR-Enviroment is only available on ST3.x</t>
        </r>
      </text>
    </comment>
    <comment ref="AD849" authorId="0" shapeId="0" xr:uid="{81C9B93A-0DE4-4305-AFBF-E33559A1E8EA}">
      <text>
        <r>
          <rPr>
            <b/>
            <sz val="8"/>
            <color indexed="81"/>
            <rFont val="Segoe UI"/>
            <family val="2"/>
          </rPr>
          <t>wzr2hi:</t>
        </r>
        <r>
          <rPr>
            <sz val="8"/>
            <color indexed="81"/>
            <rFont val="Segoe UI"/>
            <family val="2"/>
          </rPr>
          <t xml:space="preserve">
[wzr2hi, 18.03.2019]
RCAR-Enviroment is only available on ST3.x</t>
        </r>
      </text>
    </comment>
    <comment ref="R850" authorId="5" shapeId="0" xr:uid="{3D5218D9-AE9F-49BC-84AD-3F4A96A3B880}">
      <text>
        <r>
          <rPr>
            <b/>
            <sz val="9"/>
            <color indexed="81"/>
            <rFont val="Segoe UI"/>
            <family val="2"/>
          </rPr>
          <t>Welz Ralph (XC-CI1/ERN7-E):</t>
        </r>
        <r>
          <rPr>
            <sz val="9"/>
            <color indexed="81"/>
            <rFont val="Segoe UI"/>
            <family val="2"/>
          </rPr>
          <t xml:space="preserve">
[wzr2hi, 11.06.2021} Bosch Offer CCS 1.5 DA: Removal of HD compared to NAV.</t>
        </r>
      </text>
    </comment>
    <comment ref="T850" authorId="1" shapeId="0" xr:uid="{259ABF32-8D84-43E1-807B-D875F2E3920E}">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50" authorId="0" shapeId="0" xr:uid="{DC7DE6C8-A208-4F88-B1EC-7038D2255C55}">
      <text>
        <r>
          <rPr>
            <b/>
            <sz val="8"/>
            <color indexed="81"/>
            <rFont val="Segoe UI"/>
            <family val="2"/>
          </rPr>
          <t>wzr2hi:</t>
        </r>
        <r>
          <rPr>
            <sz val="8"/>
            <color indexed="81"/>
            <rFont val="Segoe UI"/>
            <family val="2"/>
          </rPr>
          <t xml:space="preserve">
[wzr2hi, 18.03.2019]
RCAR-Enviroment is only available on ST3.x</t>
        </r>
      </text>
    </comment>
    <comment ref="O851" authorId="5" shapeId="0" xr:uid="{B73A21D4-62FC-4627-87F4-9EED1D4BF66B}">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851" authorId="0" shapeId="0" xr:uid="{5316B3B4-58B2-4D9B-AF1B-AFFFCB617657}">
      <text>
        <r>
          <rPr>
            <b/>
            <sz val="8"/>
            <color indexed="81"/>
            <rFont val="Segoe UI"/>
            <family val="2"/>
          </rPr>
          <t>wzr2hi:</t>
        </r>
        <r>
          <rPr>
            <sz val="8"/>
            <color indexed="81"/>
            <rFont val="Segoe UI"/>
            <family val="2"/>
          </rPr>
          <t xml:space="preserve">
[wzr2hi, 18.03.2019]
RCAR-Enviroment is only available on ST3.x</t>
        </r>
      </text>
    </comment>
    <comment ref="C852" authorId="5" shapeId="0" xr:uid="{7C183B7F-7857-46AD-A410-52CD592614D1}">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[wzr2hi, 29.03.2023] Latest Spec is in VM.
</t>
        </r>
      </text>
    </comment>
    <comment ref="AD852" authorId="0" shapeId="0" xr:uid="{BBB5133D-43D9-4220-8E72-A71DB43AC5EC}">
      <text>
        <r>
          <rPr>
            <b/>
            <sz val="8"/>
            <color indexed="81"/>
            <rFont val="Segoe UI"/>
            <family val="2"/>
          </rPr>
          <t>wzr2hi:</t>
        </r>
        <r>
          <rPr>
            <sz val="8"/>
            <color indexed="81"/>
            <rFont val="Segoe UI"/>
            <family val="2"/>
          </rPr>
          <t xml:space="preserve">
[wzr2hi, 18.03.2019]
RCAR-Enviroment is only available on ST3.x</t>
        </r>
      </text>
    </comment>
    <comment ref="AD853" authorId="0" shapeId="0" xr:uid="{4F6E3DC5-7988-47D2-BFDF-FB8D4A03EA47}">
      <text>
        <r>
          <rPr>
            <b/>
            <sz val="8"/>
            <color indexed="81"/>
            <rFont val="Segoe UI"/>
            <family val="2"/>
          </rPr>
          <t>wzr2hi:</t>
        </r>
        <r>
          <rPr>
            <sz val="8"/>
            <color indexed="81"/>
            <rFont val="Segoe UI"/>
            <family val="2"/>
          </rPr>
          <t xml:space="preserve">
[wzr2hi, 18.03.2019]
RCAR-Enviroment is only available on ST3.x</t>
        </r>
      </text>
    </comment>
    <comment ref="AD854" authorId="0" shapeId="0" xr:uid="{5C65113F-6EAD-46D6-AA03-684A098342AF}">
      <text>
        <r>
          <rPr>
            <b/>
            <sz val="8"/>
            <color indexed="81"/>
            <rFont val="Segoe UI"/>
            <family val="2"/>
          </rPr>
          <t>wzr2hi:</t>
        </r>
        <r>
          <rPr>
            <sz val="8"/>
            <color indexed="81"/>
            <rFont val="Segoe UI"/>
            <family val="2"/>
          </rPr>
          <t xml:space="preserve">
[wzr2hi, 18.03.2019]
RCAR-Enviroment is only available on ST3.x</t>
        </r>
      </text>
    </comment>
    <comment ref="AD855" authorId="0" shapeId="0" xr:uid="{67FDDD8A-055D-4CE9-83CD-4961F3AF9E6A}">
      <text>
        <r>
          <rPr>
            <b/>
            <sz val="8"/>
            <color indexed="81"/>
            <rFont val="Segoe UI"/>
            <family val="2"/>
          </rPr>
          <t>wzr2hi:</t>
        </r>
        <r>
          <rPr>
            <sz val="8"/>
            <color indexed="81"/>
            <rFont val="Segoe UI"/>
            <family val="2"/>
          </rPr>
          <t xml:space="preserve">
[wzr2hi, 18.03.2019]
RCAR-Enviroment is only available on ST3.x</t>
        </r>
      </text>
    </comment>
    <comment ref="R856" authorId="5" shapeId="0" xr:uid="{B10C6CF0-3FB1-48B3-9CFC-B2FCC40B6555}">
      <text>
        <r>
          <rPr>
            <b/>
            <sz val="9"/>
            <color indexed="81"/>
            <rFont val="Segoe UI"/>
            <family val="2"/>
          </rPr>
          <t>Welz Ralph (XC-CI1/ERN7-E):</t>
        </r>
        <r>
          <rPr>
            <sz val="9"/>
            <color indexed="81"/>
            <rFont val="Segoe UI"/>
            <family val="2"/>
          </rPr>
          <t xml:space="preserve">
[wzr2hi, 11.06.2021} Bosch Offer CCS 1.5 DA: Removal of HD compared to NAV.</t>
        </r>
      </text>
    </comment>
    <comment ref="T856" authorId="1" shapeId="0" xr:uid="{583840AB-3441-4DCE-85FD-84476C3528ED}">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56" authorId="0" shapeId="0" xr:uid="{89448E2B-864B-42A1-852E-85011DBE8A17}">
      <text>
        <r>
          <rPr>
            <b/>
            <sz val="8"/>
            <color indexed="81"/>
            <rFont val="Segoe UI"/>
            <family val="2"/>
          </rPr>
          <t>wzr2hi:</t>
        </r>
        <r>
          <rPr>
            <sz val="8"/>
            <color indexed="81"/>
            <rFont val="Segoe UI"/>
            <family val="2"/>
          </rPr>
          <t xml:space="preserve">
[wzr2hi, 18.03.2019]
RCAR-Enviroment is only available on ST3.x</t>
        </r>
      </text>
    </comment>
    <comment ref="O857" authorId="5" shapeId="0" xr:uid="{4413C4B1-602B-48A2-952C-A3D367ABD65D}">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857" authorId="0" shapeId="0" xr:uid="{F51F3F60-0025-4059-814C-F6001EC63AA2}">
      <text>
        <r>
          <rPr>
            <b/>
            <sz val="8"/>
            <color indexed="81"/>
            <rFont val="Segoe UI"/>
            <family val="2"/>
          </rPr>
          <t>wzr2hi:</t>
        </r>
        <r>
          <rPr>
            <sz val="8"/>
            <color indexed="81"/>
            <rFont val="Segoe UI"/>
            <family val="2"/>
          </rPr>
          <t xml:space="preserve">
[wzr2hi, 18.03.2019]
RCAR-Enviroment is only available on ST3.x</t>
        </r>
      </text>
    </comment>
    <comment ref="C858" authorId="5" shapeId="0" xr:uid="{25A55618-50CE-495A-989D-020208B740D5}">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[wzr2hi, 29.03.2023] Latest Spec is in VM.
</t>
        </r>
      </text>
    </comment>
    <comment ref="AD858" authorId="0" shapeId="0" xr:uid="{A4D40031-747F-4425-9B09-B498075EB3D4}">
      <text>
        <r>
          <rPr>
            <b/>
            <sz val="8"/>
            <color indexed="81"/>
            <rFont val="Segoe UI"/>
            <family val="2"/>
          </rPr>
          <t>wzr2hi:</t>
        </r>
        <r>
          <rPr>
            <sz val="8"/>
            <color indexed="81"/>
            <rFont val="Segoe UI"/>
            <family val="2"/>
          </rPr>
          <t xml:space="preserve">
[wzr2hi, 18.03.2019]
RCAR-Enviroment is only available on ST3.x</t>
        </r>
      </text>
    </comment>
    <comment ref="AD859" authorId="0" shapeId="0" xr:uid="{F306E98D-3BC4-4BDF-BA38-F79641C61979}">
      <text>
        <r>
          <rPr>
            <b/>
            <sz val="8"/>
            <color indexed="81"/>
            <rFont val="Segoe UI"/>
            <family val="2"/>
          </rPr>
          <t>wzr2hi:</t>
        </r>
        <r>
          <rPr>
            <sz val="8"/>
            <color indexed="81"/>
            <rFont val="Segoe UI"/>
            <family val="2"/>
          </rPr>
          <t xml:space="preserve">
[wzr2hi, 18.03.2019]
RCAR-Enviroment is only available on ST3.x</t>
        </r>
      </text>
    </comment>
    <comment ref="AD860" authorId="0" shapeId="0" xr:uid="{A3F12FEB-1452-4401-9E11-D9EE9210BAAD}">
      <text>
        <r>
          <rPr>
            <b/>
            <sz val="8"/>
            <color indexed="81"/>
            <rFont val="Segoe UI"/>
            <family val="2"/>
          </rPr>
          <t>wzr2hi:</t>
        </r>
        <r>
          <rPr>
            <sz val="8"/>
            <color indexed="81"/>
            <rFont val="Segoe UI"/>
            <family val="2"/>
          </rPr>
          <t xml:space="preserve">
[wzr2hi, 18.03.2019]
RCAR-Enviroment is only available on ST3.x</t>
        </r>
      </text>
    </comment>
    <comment ref="AD861" authorId="0" shapeId="0" xr:uid="{28587CF5-2CAC-4744-8CC2-0D1B23C99676}">
      <text>
        <r>
          <rPr>
            <b/>
            <sz val="8"/>
            <color indexed="81"/>
            <rFont val="Segoe UI"/>
            <family val="2"/>
          </rPr>
          <t>wzr2hi:</t>
        </r>
        <r>
          <rPr>
            <sz val="8"/>
            <color indexed="81"/>
            <rFont val="Segoe UI"/>
            <family val="2"/>
          </rPr>
          <t xml:space="preserve">
[wzr2hi, 18.03.2019]
RCAR-Enviroment is only available on ST3.x</t>
        </r>
      </text>
    </comment>
    <comment ref="C862" authorId="5" shapeId="0" xr:uid="{B6CDB9C0-E573-4231-9FCB-99CE5B15CACA}">
      <text>
        <r>
          <rPr>
            <b/>
            <sz val="9"/>
            <color indexed="81"/>
            <rFont val="Segoe UI"/>
            <family val="2"/>
          </rPr>
          <t>Welz Ralph (XC-CI1/ERN7-E):</t>
        </r>
        <r>
          <rPr>
            <sz val="9"/>
            <color indexed="81"/>
            <rFont val="Segoe UI"/>
            <family val="2"/>
          </rPr>
          <t xml:space="preserve">
Attention: Not for GCC Counrties!</t>
        </r>
      </text>
    </comment>
    <comment ref="AD862" authorId="0" shapeId="0" xr:uid="{CAD48EBD-C164-4648-957E-956A3CC8149B}">
      <text>
        <r>
          <rPr>
            <b/>
            <sz val="8"/>
            <color indexed="81"/>
            <rFont val="Segoe UI"/>
            <family val="2"/>
          </rPr>
          <t>wzr2hi:</t>
        </r>
        <r>
          <rPr>
            <sz val="8"/>
            <color indexed="81"/>
            <rFont val="Segoe UI"/>
            <family val="2"/>
          </rPr>
          <t xml:space="preserve">
[wzr2hi, 18.03.2019]
RCAR-Enviroment is only available on ST3.x</t>
        </r>
      </text>
    </comment>
    <comment ref="AD863" authorId="0" shapeId="0" xr:uid="{C569EDF8-E03A-4597-85F4-059A65EC0EA8}">
      <text>
        <r>
          <rPr>
            <b/>
            <sz val="8"/>
            <color indexed="81"/>
            <rFont val="Segoe UI"/>
            <family val="2"/>
          </rPr>
          <t>wzr2hi:</t>
        </r>
        <r>
          <rPr>
            <sz val="8"/>
            <color indexed="81"/>
            <rFont val="Segoe UI"/>
            <family val="2"/>
          </rPr>
          <t xml:space="preserve">
[wzr2hi, 18.03.2019]
RCAR-Enviroment is only available on ST3.x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wzr2hi</author>
    <author>Welz Ralph (CM-CI1/ERN1-ESW)</author>
    <author>Welz Ralph (XC-CI1/ERN7-E)</author>
  </authors>
  <commentList>
    <comment ref="E1" authorId="0" shapeId="0" xr:uid="{00000000-0006-0000-0100-000001000000}">
      <text>
        <r>
          <rPr>
            <b/>
            <sz val="8"/>
            <color indexed="81"/>
            <rFont val="Segoe UI"/>
            <family val="2"/>
          </rPr>
          <t>wzr2hi:</t>
        </r>
        <r>
          <rPr>
            <sz val="8"/>
            <color indexed="81"/>
            <rFont val="Segoe UI"/>
            <family val="2"/>
          </rPr>
          <t xml:space="preserve">
Will influence Gracenote Partition !!!</t>
        </r>
      </text>
    </comment>
    <comment ref="Q1" authorId="0" shapeId="0" xr:uid="{00000000-0006-0000-0100-000002000000}">
      <text>
        <r>
          <rPr>
            <b/>
            <sz val="8"/>
            <color indexed="81"/>
            <rFont val="Segoe UI"/>
            <family val="2"/>
          </rPr>
          <t>wzr2hi:</t>
        </r>
        <r>
          <rPr>
            <sz val="8"/>
            <color indexed="81"/>
            <rFont val="Segoe UI"/>
            <family val="2"/>
          </rPr>
          <t xml:space="preserve">
Driven by SDB Data.
For mapping  see sheet "SDB vs GN"</t>
        </r>
      </text>
    </comment>
    <comment ref="T1" authorId="0" shapeId="0" xr:uid="{00000000-0006-0000-0100-000003000000}">
      <text>
        <r>
          <rPr>
            <b/>
            <sz val="8"/>
            <color indexed="81"/>
            <rFont val="Segoe UI"/>
            <family val="2"/>
          </rPr>
          <t>wzr2hi:</t>
        </r>
        <r>
          <rPr>
            <sz val="8"/>
            <color indexed="81"/>
            <rFont val="Segoe UI"/>
            <family val="2"/>
          </rPr>
          <t xml:space="preserve">
For Map-Cut-Definitions see Variant Matrix of Nissan A-IVI, Renault A-IVI and Nissan-P-IVI</t>
        </r>
      </text>
    </comment>
    <comment ref="V1" authorId="0" shapeId="0" xr:uid="{00000000-0006-0000-0100-000004000000}">
      <text>
        <r>
          <rPr>
            <b/>
            <sz val="8"/>
            <color indexed="81"/>
            <rFont val="Segoe UI"/>
            <family val="2"/>
          </rPr>
          <t>wzr2hi:</t>
        </r>
        <r>
          <rPr>
            <sz val="8"/>
            <color indexed="81"/>
            <rFont val="Segoe UI"/>
            <family val="2"/>
          </rPr>
          <t xml:space="preserve">
CPLD on Fascia: Filter the Variant Matrix” in the column “Fascia raw PCB type” for “P42M” and get all the affected part numbers. According to Michael Reger there are no other Facias planned to have a CPLD.
FPGA on Sub-PCB: Filter the Variant Matrix” in the column “Sub PCB config” for “Sx” and "Ux" and get all the affected part numbers.
Double check: Must be in line with has DVD and/or TV.</t>
        </r>
      </text>
    </comment>
    <comment ref="W1" authorId="0" shapeId="0" xr:uid="{00000000-0006-0000-0100-000005000000}">
      <text>
        <r>
          <rPr>
            <b/>
            <sz val="8"/>
            <color indexed="81"/>
            <rFont val="Segoe UI"/>
            <family val="2"/>
          </rPr>
          <t>wzr2hi:</t>
        </r>
        <r>
          <rPr>
            <sz val="8"/>
            <color indexed="81"/>
            <rFont val="Segoe UI"/>
            <family val="2"/>
          </rPr>
          <t xml:space="preserve">
CPLD CORE on main PCB.
Symbolic names are not yet final, we do not know which variants to come.</t>
        </r>
      </text>
    </comment>
    <comment ref="X1" authorId="0" shapeId="0" xr:uid="{00000000-0006-0000-0100-000006000000}">
      <text>
        <r>
          <rPr>
            <b/>
            <sz val="8"/>
            <color indexed="81"/>
            <rFont val="Segoe UI"/>
            <family val="2"/>
          </rPr>
          <t>wzr2hi:</t>
        </r>
        <r>
          <rPr>
            <sz val="8"/>
            <color indexed="81"/>
            <rFont val="Segoe UI"/>
            <family val="2"/>
          </rPr>
          <t xml:space="preserve">
This line controls a generator script which generates snippets for download manifest files.
Default value shall be "use".
Each FCID should be in "use" exactly once, also if a FCID is only in a deprecated (dark grey marked) line. Currently there is no valid use case to ignore a FCID altogether.
If a FCID is in more than one line, then only one of those lines should be in "use". The other lines should be "ignored".
If a FCID shall be blocked by Download, but data shall occur in manifest xml, the line shall be marked with "block" (all STx.x) or "block_le20" (all ST2.0 and lower) or "block_le21" (all ST2.1 and lower)</t>
        </r>
      </text>
    </comment>
    <comment ref="T2" authorId="0" shapeId="0" xr:uid="{00000000-0006-0000-0100-000007000000}">
      <text>
        <r>
          <rPr>
            <b/>
            <sz val="8"/>
            <color indexed="81"/>
            <rFont val="Segoe UI"/>
            <family val="2"/>
          </rPr>
          <t>wzr2hi:</t>
        </r>
        <r>
          <rPr>
            <sz val="8"/>
            <color indexed="81"/>
            <rFont val="Segoe UI"/>
            <family val="2"/>
          </rPr>
          <t xml:space="preserve">
Driven by initial order of customer (spec tender), but later update to 2.1-Map-Cut not ruled-out.
This XLS will not be adapted for such targets.</t>
        </r>
      </text>
    </comment>
    <comment ref="D3" authorId="0" shapeId="0" xr:uid="{00000000-0006-0000-0100-000008000000}">
      <text>
        <r>
          <rPr>
            <b/>
            <sz val="8"/>
            <color indexed="81"/>
            <rFont val="Segoe UI"/>
            <family val="2"/>
          </rPr>
          <t>wzr2hi:</t>
        </r>
        <r>
          <rPr>
            <sz val="8"/>
            <color indexed="81"/>
            <rFont val="Segoe UI"/>
            <family val="2"/>
          </rPr>
          <t xml:space="preserve">
[25.01.18] JPN-Navi does not fit anymore into this RFS. So RFS_2J was created.</t>
        </r>
      </text>
    </comment>
    <comment ref="I3" authorId="0" shapeId="0" xr:uid="{00000000-0006-0000-0100-000009000000}">
      <text>
        <r>
          <rPr>
            <b/>
            <sz val="8"/>
            <color indexed="81"/>
            <rFont val="Segoe UI"/>
            <family val="2"/>
          </rPr>
          <t>wzr2hi:</t>
        </r>
        <r>
          <rPr>
            <sz val="8"/>
            <color indexed="81"/>
            <rFont val="Segoe UI"/>
            <family val="2"/>
          </rPr>
          <t xml:space="preserve">
Driven by initial order of customer (spec tender), but later update to Nissan_HMI_Scope_2.1 not ruled-out.
This XLS will not be adapted for such targets.</t>
        </r>
      </text>
    </comment>
    <comment ref="R3" authorId="1" shapeId="0" xr:uid="{00000000-0006-0000-0100-00000A000000}">
      <text>
        <r>
          <rPr>
            <b/>
            <sz val="9"/>
            <color indexed="81"/>
            <rFont val="Segoe UI"/>
            <family val="2"/>
          </rPr>
          <t>Welz Ralph (CM-CI1/ERN1-ESW):</t>
        </r>
        <r>
          <rPr>
            <sz val="9"/>
            <color indexed="81"/>
            <rFont val="Segoe UI"/>
            <family val="2"/>
          </rPr>
          <t xml:space="preserve">
[wzr2hi, 11.09.2019] SXM-Module is mounted, but FW shall never updated.</t>
        </r>
      </text>
    </comment>
    <comment ref="W3" authorId="0" shapeId="0" xr:uid="{00000000-0006-0000-0100-00000B000000}">
      <text>
        <r>
          <rPr>
            <b/>
            <sz val="8"/>
            <color indexed="81"/>
            <rFont val="Segoe UI"/>
            <family val="2"/>
          </rPr>
          <t>wzr2hi:</t>
        </r>
        <r>
          <rPr>
            <sz val="8"/>
            <color indexed="81"/>
            <rFont val="Segoe UI"/>
            <family val="2"/>
          </rPr>
          <t xml:space="preserve">
Symbolic names are not yet final, we do not know which variants to come.</t>
        </r>
      </text>
    </comment>
    <comment ref="D4" authorId="0" shapeId="0" xr:uid="{00000000-0006-0000-0100-00000C000000}">
      <text>
        <r>
          <rPr>
            <b/>
            <sz val="8"/>
            <color indexed="81"/>
            <rFont val="Segoe UI"/>
            <family val="2"/>
          </rPr>
          <t>wzr2hi:</t>
        </r>
        <r>
          <rPr>
            <sz val="8"/>
            <color indexed="81"/>
            <rFont val="Segoe UI"/>
            <family val="2"/>
          </rPr>
          <t xml:space="preserve">
[wzr2hi, 27.10.17] deprecated, removed from implementation</t>
        </r>
      </text>
    </comment>
    <comment ref="W4" authorId="0" shapeId="0" xr:uid="{00000000-0006-0000-0100-00000D000000}">
      <text>
        <r>
          <rPr>
            <b/>
            <sz val="8"/>
            <color indexed="81"/>
            <rFont val="Segoe UI"/>
            <family val="2"/>
          </rPr>
          <t>wzr2hi:</t>
        </r>
        <r>
          <rPr>
            <sz val="8"/>
            <color indexed="81"/>
            <rFont val="Segoe UI"/>
            <family val="2"/>
          </rPr>
          <t xml:space="preserve">
Symbolic names are not yet final, we do not know which variants to come.</t>
        </r>
      </text>
    </comment>
    <comment ref="W5" authorId="0" shapeId="0" xr:uid="{00000000-0006-0000-0100-00000E000000}">
      <text>
        <r>
          <rPr>
            <b/>
            <sz val="8"/>
            <color indexed="81"/>
            <rFont val="Segoe UI"/>
            <family val="2"/>
          </rPr>
          <t>wzr2hi:</t>
        </r>
        <r>
          <rPr>
            <sz val="8"/>
            <color indexed="81"/>
            <rFont val="Segoe UI"/>
            <family val="2"/>
          </rPr>
          <t xml:space="preserve">
Symbolic names are not yet final, we do not know which variants to come.</t>
        </r>
      </text>
    </comment>
    <comment ref="D8" authorId="0" shapeId="0" xr:uid="{00000000-0006-0000-0100-00000F000000}">
      <text>
        <r>
          <rPr>
            <b/>
            <sz val="8"/>
            <color indexed="81"/>
            <rFont val="Segoe UI"/>
            <family val="2"/>
          </rPr>
          <t>wzr2hi:</t>
        </r>
        <r>
          <rPr>
            <sz val="8"/>
            <color indexed="81"/>
            <rFont val="Segoe UI"/>
            <family val="2"/>
          </rPr>
          <t xml:space="preserve">
[wzr2hi, 25.10.17] deprecated, removed from implementation
</t>
        </r>
      </text>
    </comment>
    <comment ref="D9" authorId="0" shapeId="0" xr:uid="{00000000-0006-0000-0100-000010000000}">
      <text>
        <r>
          <rPr>
            <b/>
            <sz val="8"/>
            <color indexed="81"/>
            <rFont val="Segoe UI"/>
            <family val="2"/>
          </rPr>
          <t>wzr2hi:</t>
        </r>
        <r>
          <rPr>
            <sz val="8"/>
            <color indexed="81"/>
            <rFont val="Segoe UI"/>
            <family val="2"/>
          </rPr>
          <t xml:space="preserve">
[wzr2hi, 27.10.17] renamed rivie_nav_obi to rivie_nav_full</t>
        </r>
      </text>
    </comment>
    <comment ref="D10" authorId="0" shapeId="0" xr:uid="{00000000-0006-0000-0100-000011000000}">
      <text>
        <r>
          <rPr>
            <b/>
            <sz val="8"/>
            <color indexed="81"/>
            <rFont val="Segoe UI"/>
            <family val="2"/>
          </rPr>
          <t>wzr2hi:</t>
        </r>
        <r>
          <rPr>
            <sz val="8"/>
            <color indexed="81"/>
            <rFont val="Segoe UI"/>
            <family val="2"/>
          </rPr>
          <t xml:space="preserve">
[wzr2hi, 25.10.17] deprecated, removed from implementation
[wzr2hi, 27.10.17] renamed rivie_nav_obi_chn to rivie_nav_full_chn</t>
        </r>
      </text>
    </comment>
    <comment ref="O11" authorId="2" shapeId="0" xr:uid="{6D3D7ED9-1495-4DA1-8A25-E1E171908684}">
      <text>
        <r>
          <rPr>
            <b/>
            <sz val="9"/>
            <color indexed="81"/>
            <rFont val="Segoe UI"/>
            <family val="2"/>
          </rPr>
          <t xml:space="preserve">[wzr2hi, 21.02.2025]: </t>
        </r>
        <r>
          <rPr>
            <sz val="9"/>
            <color indexed="81"/>
            <rFont val="Segoe UI"/>
            <family val="2"/>
          </rPr>
          <t xml:space="preserve">Deprecated: </t>
        </r>
        <r>
          <rPr>
            <sz val="9"/>
            <color indexed="81"/>
            <rFont val="Segoe UI"/>
            <family val="2"/>
          </rPr>
          <t>P1 flavours were still real ADRs in the very first Gen4 devices before SBR was introduced. There should be no new such devices anymore.</t>
        </r>
      </text>
    </comment>
    <comment ref="D12" authorId="0" shapeId="0" xr:uid="{00000000-0006-0000-0100-000012000000}">
      <text>
        <r>
          <rPr>
            <b/>
            <sz val="8"/>
            <color indexed="81"/>
            <rFont val="Segoe UI"/>
            <family val="2"/>
          </rPr>
          <t>wzr2hi:</t>
        </r>
        <r>
          <rPr>
            <sz val="8"/>
            <color indexed="81"/>
            <rFont val="Segoe UI"/>
            <family val="2"/>
          </rPr>
          <t xml:space="preserve">
[wzr2hi, 27.10.17] renamed rivie_da_obi to rivie_da_core</t>
        </r>
      </text>
    </comment>
    <comment ref="I12" authorId="1" shapeId="0" xr:uid="{00000000-0006-0000-0100-000013000000}">
      <text>
        <r>
          <rPr>
            <b/>
            <sz val="9"/>
            <color indexed="81"/>
            <rFont val="Segoe UI"/>
            <family val="2"/>
          </rPr>
          <t>Welz Ralph (CM-CI1/ERN1-ESW):</t>
        </r>
        <r>
          <rPr>
            <sz val="9"/>
            <color indexed="81"/>
            <rFont val="Segoe UI"/>
            <family val="2"/>
          </rPr>
          <t xml:space="preserve">
[wzr2hi, 23.01.2020] Just a temporary name.</t>
        </r>
      </text>
    </comment>
    <comment ref="D16" authorId="0" shapeId="0" xr:uid="{00000000-0006-0000-0100-000014000000}">
      <text>
        <r>
          <rPr>
            <b/>
            <sz val="8"/>
            <color indexed="81"/>
            <rFont val="Segoe UI"/>
            <family val="2"/>
          </rPr>
          <t>wzr2hi:</t>
        </r>
        <r>
          <rPr>
            <sz val="8"/>
            <color indexed="81"/>
            <rFont val="Segoe UI"/>
            <family val="2"/>
          </rPr>
          <t xml:space="preserve">
[wzr2hi, 27.10.17] renamed rivie_nav_obi to rivie_nav_full</t>
        </r>
      </text>
    </comment>
    <comment ref="D18" authorId="0" shapeId="0" xr:uid="{00000000-0006-0000-0100-000015000000}">
      <text>
        <r>
          <rPr>
            <b/>
            <sz val="8"/>
            <color indexed="81"/>
            <rFont val="Segoe UI"/>
            <family val="2"/>
          </rPr>
          <t>wzr2hi:</t>
        </r>
        <r>
          <rPr>
            <sz val="8"/>
            <color indexed="81"/>
            <rFont val="Segoe UI"/>
            <family val="2"/>
          </rPr>
          <t xml:space="preserve">
[wzr2hi, 27.10.17] renamed rivie_da_obi to rivie_da_core</t>
        </r>
      </text>
    </comment>
    <comment ref="O18" authorId="2" shapeId="0" xr:uid="{4BFFA14C-10DD-41E3-B472-69E4CFD3B547}">
      <text>
        <r>
          <rPr>
            <b/>
            <sz val="9"/>
            <color indexed="81"/>
            <rFont val="Segoe UI"/>
            <family val="2"/>
          </rPr>
          <t xml:space="preserve">Welz Ralph (XC-CI1/ERN7-E):
</t>
        </r>
        <r>
          <rPr>
            <sz val="9"/>
            <color indexed="81"/>
            <rFont val="Segoe UI"/>
            <family val="2"/>
          </rPr>
          <t>According to Johann Fuhrmann, there is no specific HW for HD on the  PCBs (HD comes as sub-modulation on AMFM). The HD column in VM is just for license tracking.</t>
        </r>
      </text>
    </comment>
    <comment ref="D20" authorId="0" shapeId="0" xr:uid="{00000000-0006-0000-0100-000016000000}">
      <text>
        <r>
          <rPr>
            <b/>
            <sz val="8"/>
            <color indexed="81"/>
            <rFont val="Segoe UI"/>
            <family val="2"/>
          </rPr>
          <t>wzr2hi:</t>
        </r>
        <r>
          <rPr>
            <sz val="8"/>
            <color indexed="81"/>
            <rFont val="Segoe UI"/>
            <family val="2"/>
          </rPr>
          <t xml:space="preserve">
[25.01.18] JPN-Navi does not fit anymore into this RFS. So RFS_2J was created.</t>
        </r>
      </text>
    </comment>
    <comment ref="D21" authorId="0" shapeId="0" xr:uid="{00000000-0006-0000-0100-000017000000}">
      <text>
        <r>
          <rPr>
            <b/>
            <sz val="8"/>
            <color indexed="81"/>
            <rFont val="Segoe UI"/>
            <family val="2"/>
          </rPr>
          <t>wzr2hi:</t>
        </r>
        <r>
          <rPr>
            <sz val="8"/>
            <color indexed="81"/>
            <rFont val="Segoe UI"/>
            <family val="2"/>
          </rPr>
          <t xml:space="preserve">
[wzr2hi, 21.06.2018] Content not yet clear.</t>
        </r>
      </text>
    </comment>
    <comment ref="D22" authorId="0" shapeId="0" xr:uid="{00000000-0006-0000-0100-000018000000}">
      <text>
        <r>
          <rPr>
            <b/>
            <sz val="8"/>
            <color indexed="81"/>
            <rFont val="Segoe UI"/>
            <family val="2"/>
          </rPr>
          <t>wzr2hi:</t>
        </r>
        <r>
          <rPr>
            <sz val="8"/>
            <color indexed="81"/>
            <rFont val="Segoe UI"/>
            <family val="2"/>
          </rPr>
          <t xml:space="preserve">
[wzr2hi, 30.04.2019] Daimler canceled, but manifest.xml still existing and partly maintained. Should be able to reactivate if needed.</t>
        </r>
      </text>
    </comment>
    <comment ref="B27" authorId="0" shapeId="0" xr:uid="{00000000-0006-0000-0100-000019000000}">
      <text>
        <r>
          <rPr>
            <b/>
            <sz val="8"/>
            <color indexed="81"/>
            <rFont val="Segoe UI"/>
            <family val="2"/>
          </rPr>
          <t>wzr2hi:</t>
        </r>
        <r>
          <rPr>
            <sz val="8"/>
            <color indexed="81"/>
            <rFont val="Segoe UI"/>
            <family val="2"/>
          </rPr>
          <t xml:space="preserve">
1GB mounted.
0,5GB default DTB.
Derived from 0693.</t>
        </r>
      </text>
    </comment>
    <comment ref="B28" authorId="0" shapeId="0" xr:uid="{00000000-0006-0000-0100-00001A000000}">
      <text>
        <r>
          <rPr>
            <b/>
            <sz val="8"/>
            <color indexed="81"/>
            <rFont val="Segoe UI"/>
            <family val="2"/>
          </rPr>
          <t>wzr2hi:</t>
        </r>
        <r>
          <rPr>
            <sz val="8"/>
            <color indexed="81"/>
            <rFont val="Segoe UI"/>
            <family val="2"/>
          </rPr>
          <t xml:space="preserve">
2GB mounted.
1GB default DTB.
Derived from 0691.</t>
        </r>
      </text>
    </comment>
    <comment ref="B29" authorId="0" shapeId="0" xr:uid="{00000000-0006-0000-0100-00001B000000}">
      <text>
        <r>
          <rPr>
            <b/>
            <sz val="8"/>
            <color indexed="81"/>
            <rFont val="Segoe UI"/>
            <family val="2"/>
          </rPr>
          <t>wzr2hi:</t>
        </r>
        <r>
          <rPr>
            <sz val="8"/>
            <color indexed="81"/>
            <rFont val="Segoe UI"/>
            <family val="2"/>
          </rPr>
          <t xml:space="preserve">
2GB mounted.
1GB default DTB.
Derived from 0692.</t>
        </r>
      </text>
    </comment>
    <comment ref="B30" authorId="0" shapeId="0" xr:uid="{00000000-0006-0000-0100-00001C000000}">
      <text>
        <r>
          <rPr>
            <b/>
            <sz val="8"/>
            <color indexed="81"/>
            <rFont val="Segoe UI"/>
            <family val="2"/>
          </rPr>
          <t>wzr2hi:</t>
        </r>
        <r>
          <rPr>
            <sz val="8"/>
            <color indexed="81"/>
            <rFont val="Segoe UI"/>
            <family val="2"/>
          </rPr>
          <t xml:space="preserve">
1GB mounted.
0,5GB default DTB.
Derived from 0695.</t>
        </r>
      </text>
    </comment>
    <comment ref="B31" authorId="0" shapeId="0" xr:uid="{00000000-0006-0000-0100-00001D000000}">
      <text>
        <r>
          <rPr>
            <b/>
            <sz val="8"/>
            <color indexed="81"/>
            <rFont val="Segoe UI"/>
            <family val="2"/>
          </rPr>
          <t>wzr2hi:</t>
        </r>
        <r>
          <rPr>
            <sz val="8"/>
            <color indexed="81"/>
            <rFont val="Segoe UI"/>
            <family val="2"/>
          </rPr>
          <t xml:space="preserve">
2GB mounted.
1GB default DTB.
Derived from 0694.</t>
        </r>
      </text>
    </comment>
    <comment ref="B32" authorId="0" shapeId="0" xr:uid="{00000000-0006-0000-0100-00001E000000}">
      <text>
        <r>
          <rPr>
            <b/>
            <sz val="8"/>
            <color indexed="81"/>
            <rFont val="Segoe UI"/>
            <family val="2"/>
          </rPr>
          <t>wzr2hi:</t>
        </r>
        <r>
          <rPr>
            <sz val="8"/>
            <color indexed="81"/>
            <rFont val="Segoe UI"/>
            <family val="2"/>
          </rPr>
          <t xml:space="preserve">
2GB mounted.
1GB default DTB.
Derived from 0698.</t>
        </r>
      </text>
    </comment>
    <comment ref="D32" authorId="1" shapeId="0" xr:uid="{00000000-0006-0000-0100-00001F000000}">
      <text>
        <r>
          <rPr>
            <b/>
            <sz val="9"/>
            <color indexed="81"/>
            <rFont val="Segoe UI"/>
            <family val="2"/>
          </rPr>
          <t>Welz Ralph (CM-CI1/ERN1-ESW):</t>
        </r>
        <r>
          <rPr>
            <sz val="9"/>
            <color indexed="81"/>
            <rFont val="Segoe UI"/>
            <family val="2"/>
          </rPr>
          <t xml:space="preserve">
[wzr2hi, 03.03.2020] Currently we need a special RFS to support H3. This should vanish one day.</t>
        </r>
      </text>
    </comment>
    <comment ref="A36" authorId="0" shapeId="0" xr:uid="{00000000-0006-0000-0100-000020000000}">
      <text>
        <r>
          <rPr>
            <b/>
            <sz val="8"/>
            <color indexed="81"/>
            <rFont val="Segoe UI"/>
            <family val="2"/>
          </rPr>
          <t>wzr2hi:</t>
        </r>
        <r>
          <rPr>
            <sz val="8"/>
            <color indexed="81"/>
            <rFont val="Segoe UI"/>
            <family val="2"/>
          </rPr>
          <t xml:space="preserve">
With Ethernet</t>
        </r>
      </text>
    </comment>
    <comment ref="D36" authorId="1" shapeId="0" xr:uid="{9C416A57-0FFF-45B5-94F1-F86490488D56}">
      <text>
        <r>
          <rPr>
            <b/>
            <sz val="9"/>
            <color indexed="81"/>
            <rFont val="Segoe UI"/>
            <family val="2"/>
          </rPr>
          <t>Welz Ralph (CM-CI1/ERN1-ESW):</t>
        </r>
        <r>
          <rPr>
            <sz val="9"/>
            <color indexed="81"/>
            <rFont val="Segoe UI"/>
            <family val="2"/>
          </rPr>
          <t xml:space="preserve">
[wzr2hi, 29.09.2022] Currently there is no H3-based RFS ordered.</t>
        </r>
      </text>
    </comment>
    <comment ref="A37" authorId="1" shapeId="0" xr:uid="{00000000-0006-0000-0100-000021000000}">
      <text>
        <r>
          <rPr>
            <b/>
            <sz val="9"/>
            <color indexed="81"/>
            <rFont val="Segoe UI"/>
            <family val="2"/>
          </rPr>
          <t>Welz Ralph (CM-CI1/ERN1-ESW):</t>
        </r>
        <r>
          <rPr>
            <sz val="9"/>
            <color indexed="81"/>
            <rFont val="Segoe UI"/>
            <family val="2"/>
          </rPr>
          <t xml:space="preserve">
[wzr2hi, 04.09.2019] Same as 0699 (DL) but with different USB PHY TX CTRL</t>
        </r>
      </text>
    </comment>
    <comment ref="A38" authorId="1" shapeId="0" xr:uid="{00000000-0006-0000-0100-000022000000}">
      <text>
        <r>
          <rPr>
            <b/>
            <sz val="9"/>
            <color indexed="81"/>
            <rFont val="Segoe UI"/>
            <family val="2"/>
          </rPr>
          <t>Welz Ralph (CM-CI1/ERN1-ESW):</t>
        </r>
        <r>
          <rPr>
            <sz val="9"/>
            <color indexed="81"/>
            <rFont val="Segoe UI"/>
            <family val="2"/>
          </rPr>
          <t xml:space="preserve">
[wzr2hi, 04.09.2019] Same as 0694 (DL) but with different USB PHY TX CTRL</t>
        </r>
      </text>
    </comment>
    <comment ref="A39" authorId="1" shapeId="0" xr:uid="{00000000-0006-0000-0100-000023000000}">
      <text>
        <r>
          <rPr>
            <b/>
            <sz val="9"/>
            <color indexed="81"/>
            <rFont val="Segoe UI"/>
            <family val="2"/>
          </rPr>
          <t>Welz Ralph (CM-CI1/ERN1-ESW):</t>
        </r>
        <r>
          <rPr>
            <sz val="9"/>
            <color indexed="81"/>
            <rFont val="Segoe UI"/>
            <family val="2"/>
          </rPr>
          <t xml:space="preserve">
[wzr2hi, 04.09.2019] Same as 0698 (Quad) but with different DMA 128MB</t>
        </r>
      </text>
    </comment>
  </commentList>
</comments>
</file>

<file path=xl/sharedStrings.xml><?xml version="1.0" encoding="utf-8"?>
<sst xmlns="http://schemas.openxmlformats.org/spreadsheetml/2006/main" count="23805" uniqueCount="2940">
  <si>
    <t>Nissan</t>
  </si>
  <si>
    <t>Renault</t>
  </si>
  <si>
    <t>Navigation</t>
  </si>
  <si>
    <t>Korea_Navigation</t>
  </si>
  <si>
    <t>No_Navigation</t>
  </si>
  <si>
    <t>Japan_Navigation</t>
  </si>
  <si>
    <t>Nissan Scope 1</t>
  </si>
  <si>
    <t>No_Map</t>
  </si>
  <si>
    <t>Gracenote</t>
  </si>
  <si>
    <t>No_Arkamys</t>
  </si>
  <si>
    <t>Arkamys_Classic</t>
  </si>
  <si>
    <t>Arkamys_Auditorium</t>
  </si>
  <si>
    <t>eCore</t>
  </si>
  <si>
    <t>V850_Scope_1</t>
  </si>
  <si>
    <t>No_Gracenote</t>
  </si>
  <si>
    <t>0683 (DL)</t>
  </si>
  <si>
    <t>0684 (Quad)</t>
  </si>
  <si>
    <t>0685 (Single)</t>
  </si>
  <si>
    <t>Nissan Scope 1 (Miyata edition)</t>
  </si>
  <si>
    <t>V850_Scope_2 
(former V850_common)</t>
  </si>
  <si>
    <t xml:space="preserve">V850_Scope_2 </t>
  </si>
  <si>
    <t>SXM</t>
  </si>
  <si>
    <t>Nissan Scope 2 MID Navi NAR (MEX)</t>
  </si>
  <si>
    <t>Nissan Scope 2 MID Navi NAR (HD)</t>
  </si>
  <si>
    <t>Hyperlink</t>
  </si>
  <si>
    <t>Topic</t>
  </si>
  <si>
    <t>https://hi-dms.de.bosch.com/docushare/dsweb/ServicesLib/Document-633905/History/</t>
  </si>
  <si>
    <t>0686 (Single)</t>
  </si>
  <si>
    <t>SW_Variant_ID / FCID</t>
  </si>
  <si>
    <t>RFS</t>
  </si>
  <si>
    <t>Grouping (only naming)</t>
  </si>
  <si>
    <t>Nissan Scope 2 MID Navi NAR (FM)</t>
  </si>
  <si>
    <t>https://hi-dms.de.bosch.com/docushare/dsweb/Services/Document-454721</t>
  </si>
  <si>
    <t>Board-Ids</t>
  </si>
  <si>
    <t>System Variant Table</t>
  </si>
  <si>
    <t>https://hi-dms.de.bosch.com/docushare/dsweb/Get/Document-734406/A-IVI-Variant-Matrix_v01.00_d66.xlsm</t>
  </si>
  <si>
    <t>Board ID/DTB</t>
  </si>
  <si>
    <t>Sticks</t>
  </si>
  <si>
    <t>Partition table</t>
  </si>
  <si>
    <t>Nissan Scope 0 (Scope 2) NAR</t>
  </si>
  <si>
    <t>Stick 1</t>
  </si>
  <si>
    <t>Stick 2</t>
  </si>
  <si>
    <t>Stick 3</t>
  </si>
  <si>
    <t>Stick 4</t>
  </si>
  <si>
    <t>Stick 5</t>
  </si>
  <si>
    <t>??? (Quad)</t>
  </si>
  <si>
    <t>Nissan Scope 0 (Scope 2) EUR DAB</t>
  </si>
  <si>
    <t>Nissan Scope 0 (Scope 2) EUR FM</t>
  </si>
  <si>
    <t>Transferred to PD</t>
  </si>
  <si>
    <t>Nissan Scope 0 (Scope 1) EUR</t>
  </si>
  <si>
    <t>B-Sample: Nissan Scope 2 MID Navi NAR (HD)</t>
  </si>
  <si>
    <t>068B (Quad)</t>
  </si>
  <si>
    <t>SDB Data</t>
  </si>
  <si>
    <t>No_SDB</t>
  </si>
  <si>
    <t>EUR_SDB</t>
  </si>
  <si>
    <t>JPN_SDB</t>
  </si>
  <si>
    <t>SDB regions</t>
  </si>
  <si>
    <t>V850
(depends on Board-ID)</t>
  </si>
  <si>
    <t>Map Data (only 
for production)</t>
  </si>
  <si>
    <t>AARS_IVI_S2_AC_FM</t>
  </si>
  <si>
    <t>AARS_IVI_S2_AC_HD</t>
  </si>
  <si>
    <t>AARS_IVI_S2_AC_DAB</t>
  </si>
  <si>
    <t>Nissan Scope 2 DA RUS (AM/FM)</t>
  </si>
  <si>
    <t>AARS_IVI_S1_NA_FM</t>
  </si>
  <si>
    <t>AARS_IVI_S0_NA_DAB</t>
  </si>
  <si>
    <t>Bosch Partnumber (HW-Index)</t>
  </si>
  <si>
    <t>Comment</t>
  </si>
  <si>
    <t>ADR_FW_Type</t>
  </si>
  <si>
    <t>PARTITION_SCHEMA8_NissanScope1</t>
  </si>
  <si>
    <t>8 GB (EU)
PARTITION_SCHEMA8_NissanScope1</t>
  </si>
  <si>
    <t>Arkamys
(Part of ADR)</t>
  </si>
  <si>
    <t>7.510.750.828-01 (HW03)</t>
  </si>
  <si>
    <t>Renault Scope 2 MID Navi NAR (FM) eCore</t>
  </si>
  <si>
    <t>RUS_SDB</t>
  </si>
  <si>
    <t>NAM_SDB
(USA, Canada, Mexiko)</t>
  </si>
  <si>
    <t>RUS_SDB
(Russia)</t>
  </si>
  <si>
    <t>PRC_SDB
(China, Macao, Hong Kong)</t>
  </si>
  <si>
    <t>GOM_SDB
(Taiwan and Global other markets)</t>
  </si>
  <si>
    <t>JPN_SDB
(Japan)</t>
  </si>
  <si>
    <t>LAC_SDB
(Latin America)</t>
  </si>
  <si>
    <t>Nissan Scope 2 MID Navi EUR (DAB)</t>
  </si>
  <si>
    <t>DevSample Nissan Scope 2 MID Navi EUR (DAB)</t>
  </si>
  <si>
    <t>B-Sample: Nissan Scope 2 MID Navi EUR (DAB)</t>
  </si>
  <si>
    <t>Renault Scope 2 MID Navi EUR DAB (FM) eCore</t>
  </si>
  <si>
    <t>NAM_SDB</t>
  </si>
  <si>
    <t>731_EUR</t>
  </si>
  <si>
    <t>727_NAM</t>
  </si>
  <si>
    <t>0689 (DL)</t>
  </si>
  <si>
    <t>0688 (Single)</t>
  </si>
  <si>
    <t>068A (Single)</t>
  </si>
  <si>
    <t>068E (Quad)</t>
  </si>
  <si>
    <t>068D (Single)</t>
  </si>
  <si>
    <t>0696 (Quad)</t>
  </si>
  <si>
    <t>Renault Scope 2 Entry Navi EUR DAB eCore</t>
  </si>
  <si>
    <t>Renault Scope 2 MID Navi EUR DAB eCore</t>
  </si>
  <si>
    <t>0691 (DL)</t>
  </si>
  <si>
    <t>Nissan Scope 2 MID Navi US (HD)</t>
  </si>
  <si>
    <t>PRC_SDB</t>
  </si>
  <si>
    <t>GOM_SDB</t>
  </si>
  <si>
    <t>32 GB (EU, RUS, Others…. Entry/MID Nissan)
PARTITION_SCHEMA32_NavEntryMidNissanEu</t>
  </si>
  <si>
    <t>32 GB (NAR/MEX, CN, …. Entry/MID Nissan)
PARTITION_SCHEMA32_NavEntryMidNissanNarChn</t>
  </si>
  <si>
    <t>0692 (Quad)</t>
  </si>
  <si>
    <t>0693 (Single)</t>
  </si>
  <si>
    <t>Nissan Scope 2 DA EUR (AM/FM)</t>
  </si>
  <si>
    <t>0694 (DL)</t>
  </si>
  <si>
    <t>Nissan Scope 2 MID Navi MEX (HD)</t>
  </si>
  <si>
    <t>0695 (Single)</t>
  </si>
  <si>
    <t>7.510.750.869-01('HW 001') - 0696 (S)</t>
  </si>
  <si>
    <t>Nissan Scope 2 MID Navi PRC (AM/FM)</t>
  </si>
  <si>
    <t>Nissan Scope 2 MID Navi ASEAN (AM/FM)</t>
  </si>
  <si>
    <t>DA-Entry</t>
  </si>
  <si>
    <t>16 GB (Renault Variants NAR, EU, .. Entry)
PARTITION_SCHEMA16_NavEntryRenaultEuNarChn</t>
  </si>
  <si>
    <t>16 GB (all Variants NAR, EU, .. Mid, Nissan Scope 0 Entry)
PARTITION_SCHEMA16_NavEntryMidAllianceOther</t>
  </si>
  <si>
    <t>Nissan Scope 0 (Scope 2) PRC</t>
  </si>
  <si>
    <t>B-Sample: Nissan Scope 2 MID Navi China (AM/FM)</t>
  </si>
  <si>
    <t>B-Sample: Nissan Scope 2 MID Navi China (DAB)</t>
  </si>
  <si>
    <t>[06.06.16] 0x689 = Teseo 2 (checked OK)</t>
  </si>
  <si>
    <t>[06.06.16] 0x68A = Teseo 2 (checked OK)</t>
  </si>
  <si>
    <t>[06.06.16] Inconsistencies for this variant. According to variant table Board-ID changed from 0x68A (Teseo 2, SingleCore) to 0x691 (Teseo 3, DualLite). Changed to  0x691 (Teseo 3, DualLite) for partnumber 7.510.750.807-01( ' ' ) based on VariantMatrix</t>
  </si>
  <si>
    <t>Partition scheme was weared, but accepted as OK.[06.06.16] 0x68B = Teseo 2 (checked OK)</t>
  </si>
  <si>
    <t>Variantentabelle hatte 16 GB als CRQ und 32GB als Ist-Stand gelistet. Reduziert von 32 GB auf 16 GB. [06.06.16] 0x68D = Teseo 2 (checked OK).</t>
  </si>
  <si>
    <t>[06.06.16] 0x68E = Teseo 2 (checked OK).</t>
  </si>
  <si>
    <t>[06.06.16] 0x68D = Teseo 3 (checked OK).</t>
  </si>
  <si>
    <t>[06.06.16] 0x691 = Teseo 3 (checked OK).</t>
  </si>
  <si>
    <t>[06.06.16] 0x696 = Teseo 3 (checked OK).</t>
  </si>
  <si>
    <t>GCC_SDB</t>
  </si>
  <si>
    <t>LAC_SDB</t>
  </si>
  <si>
    <t>831_AUSKRJPN</t>
  </si>
  <si>
    <t>735_LA</t>
  </si>
  <si>
    <t>B-Sample: Nissan Scope 2 MID Navi Russland (DAB)</t>
  </si>
  <si>
    <t>B-Sample: Nissan Scope 2 MID Navi Latin America (DAB)</t>
  </si>
  <si>
    <t>B-Sample: Nissan Scope 2 MID Navi GOM (DAB)</t>
  </si>
  <si>
    <t>B-Sample: Nissan Scope 2 MID Navi Australien (DAB)</t>
  </si>
  <si>
    <t>AARS_IVI_S2_AC_DARC</t>
  </si>
  <si>
    <t>AARS_IVI_S0_NA_HD</t>
  </si>
  <si>
    <t>7.510.750.928-01</t>
  </si>
  <si>
    <t>0699 (DL)</t>
  </si>
  <si>
    <t>Renault Scope 2.1 MID Navi EUR DAB eCore</t>
  </si>
  <si>
    <t>7.500.750.817-01</t>
  </si>
  <si>
    <t>734_CN_831_AUSKRJPN</t>
  </si>
  <si>
    <t>0701 (Quad)</t>
  </si>
  <si>
    <t>7.510.750.872-01</t>
  </si>
  <si>
    <t>Renault Scope 2.1 Entry Navi EUR DAB</t>
  </si>
  <si>
    <t>069A (Quad)</t>
  </si>
  <si>
    <t>7.510.750.877-01</t>
  </si>
  <si>
    <t>Nissan Scope 2 DA-MID NAR (AM/FM)</t>
  </si>
  <si>
    <t>Nissan Scope 2 DA-MID RUS (AM/FM)</t>
  </si>
  <si>
    <t>7.500.750.807-01</t>
  </si>
  <si>
    <t>7.500.750.811-01</t>
  </si>
  <si>
    <t>7.500.750.813-01</t>
  </si>
  <si>
    <t>069B (Single)</t>
  </si>
  <si>
    <t>069C (DL)</t>
  </si>
  <si>
    <t>069D (Quad)</t>
  </si>
  <si>
    <t>7.510.750.845-01</t>
  </si>
  <si>
    <t>7.510.750.874-01</t>
  </si>
  <si>
    <t>Renault Scope 2.1 Mid Navi EUR (Mahgreb) (AM/FM)</t>
  </si>
  <si>
    <t>Renault Scope 2.1 Entry Navi EUR (Mahgreb) (AM/FM)</t>
  </si>
  <si>
    <t>Separation of FCIDs regarding MID, Entry, DA shall be done in the future if needed. Scope 1 V850 does not work with Teseo. Therefore Teseo can not be updated. Changed in Variant table</t>
  </si>
  <si>
    <t>Scope 1 V850 does not work with Teseo. Therefore Teseo can not be updated. Changed in Variant table</t>
  </si>
  <si>
    <t>Changed to FCID 5 to support also SDS correctly. In addition ADR set to AARS_IVI_S1_NA_FM in order to have correclty working ADR SW. ADR SW ADR3_IVI_S0_NA_HD is to old. Scope 1 V850 does not work with Teseo. Therefore Teseo can not be updated. Changed in Variant table</t>
  </si>
  <si>
    <t>HW-Variant ID ERNIE</t>
  </si>
  <si>
    <t>386
386
377
350
429
436</t>
  </si>
  <si>
    <t>353
355</t>
  </si>
  <si>
    <t>356, 383</t>
  </si>
  <si>
    <t>361
365
360</t>
  </si>
  <si>
    <r>
      <rPr>
        <sz val="10"/>
        <color rgb="FFFF0000"/>
        <rFont val="Arial"/>
        <family val="2"/>
      </rPr>
      <t xml:space="preserve">390, 391, </t>
    </r>
    <r>
      <rPr>
        <sz val="10"/>
        <rFont val="Arial"/>
        <family val="2"/>
      </rPr>
      <t>392, 393</t>
    </r>
  </si>
  <si>
    <t>368
369</t>
  </si>
  <si>
    <t>375
378
379</t>
  </si>
  <si>
    <t xml:space="preserve">
421</t>
  </si>
  <si>
    <t>422
423
463</t>
  </si>
  <si>
    <t>424
425
460
458
457</t>
  </si>
  <si>
    <t>366
440</t>
  </si>
  <si>
    <t>420
434</t>
  </si>
  <si>
    <t>0702 (Quad)</t>
  </si>
  <si>
    <t>7.510.750.926-02</t>
  </si>
  <si>
    <t>7.510.750.928-02</t>
  </si>
  <si>
    <t>0703 (Quad Plus)</t>
  </si>
  <si>
    <t>7.510.750.929-02</t>
  </si>
  <si>
    <t xml:space="preserve">Added 7.510.750.895-01 </t>
  </si>
  <si>
    <t>Renault Scope 2.1 Entry Navi EUR (Mahgreb) (DAB)</t>
  </si>
  <si>
    <t>Renault Scope 2.1 Entry Navi GOM (India) (DRM)</t>
  </si>
  <si>
    <t>AARS_IVI_S2_AC_DRM</t>
  </si>
  <si>
    <t>7.510.750.845-99</t>
  </si>
  <si>
    <t>7.510.750.845-98</t>
  </si>
  <si>
    <t>7.510.750.845-97</t>
  </si>
  <si>
    <t>[06.06.16] 0x692 = Teseo 3 (checked OK).
[wzr2hi, 28.10.16] 7.510.750.863-01('HW 001') - 0692 (Quad) removed due to different Board-ID - replaced by FCID 81 below</t>
  </si>
  <si>
    <t>[06.06.16] 0x691 = Teseo 3 (checked OK).
[wzr2hi, 28.10.16] 7.510.750.864-01('HW 001') - 0691 (DL) removed due to different Board-ID - replaced by FCID 80 below</t>
  </si>
  <si>
    <t>069F (DL)</t>
  </si>
  <si>
    <t xml:space="preserve">427
</t>
  </si>
  <si>
    <t>459
514
516</t>
  </si>
  <si>
    <t xml:space="preserve">476
471
</t>
  </si>
  <si>
    <t xml:space="preserve">124
131
</t>
  </si>
  <si>
    <t>385
531
346
530</t>
  </si>
  <si>
    <t>533
534</t>
  </si>
  <si>
    <t>389
351</t>
  </si>
  <si>
    <t>388
352</t>
  </si>
  <si>
    <t>542
536</t>
  </si>
  <si>
    <t>364
362
363
359</t>
  </si>
  <si>
    <t xml:space="preserve">472
</t>
  </si>
  <si>
    <r>
      <t>Nissan Scope 2 MID Navi GOM (</t>
    </r>
    <r>
      <rPr>
        <sz val="10"/>
        <color rgb="FFFF0000"/>
        <rFont val="Arial"/>
        <family val="2"/>
      </rPr>
      <t>AM/FM</t>
    </r>
    <r>
      <rPr>
        <sz val="10"/>
        <rFont val="Arial"/>
        <family val="2"/>
      </rPr>
      <t>, ex EUR)</t>
    </r>
  </si>
  <si>
    <r>
      <t>Nissan Scope 2 MID Navi LAC (</t>
    </r>
    <r>
      <rPr>
        <sz val="10"/>
        <color rgb="FFFF0000"/>
        <rFont val="Arial"/>
        <family val="2"/>
      </rPr>
      <t>AM/FM</t>
    </r>
    <r>
      <rPr>
        <sz val="10"/>
        <rFont val="Arial"/>
        <family val="2"/>
      </rPr>
      <t>, ex EUR)</t>
    </r>
  </si>
  <si>
    <t>7.510.750.845-96</t>
  </si>
  <si>
    <t>Nissan Scope 2 Entry DA MEX (AM/FM)</t>
  </si>
  <si>
    <t>Nissan Scope 2 Entry DA NAR (HD)</t>
  </si>
  <si>
    <t>069E (Single)</t>
  </si>
  <si>
    <t>7.515.750.889-02</t>
  </si>
  <si>
    <t>A-Sample: Nissan Scope 2 DA-MID NAR (FM)</t>
  </si>
  <si>
    <t>Nissan Scope 2 DA-MID NAR (HD)</t>
  </si>
  <si>
    <t>7.510.750.845-02</t>
  </si>
  <si>
    <t>B-Sample: Nissan Scope 2 Entry Navi EUR (DAB)</t>
  </si>
  <si>
    <t>A-Sample: Renault Scope 2.1 Entry Navi EUR (DAB)</t>
  </si>
  <si>
    <t>Nissan Scope 2 Entry DA WW (AM/FM)</t>
  </si>
  <si>
    <t>7.510.750.849-01</t>
  </si>
  <si>
    <t>8 GB (MID All Variants after ST2.0 NAR, EU….)
PARTITION_SCHEMA8_DaMid</t>
  </si>
  <si>
    <t>8 GB (Entry All Variants after ST2.0 NAR, EU….)
PARTITION_SCHEMA8_DaEntry</t>
  </si>
  <si>
    <t>7.500.750.820-01</t>
  </si>
  <si>
    <t>Nissan Scope 2 Entry Navi US (HD)</t>
  </si>
  <si>
    <t>517
518</t>
  </si>
  <si>
    <t>520
522
595</t>
  </si>
  <si>
    <t>521
523
427</t>
  </si>
  <si>
    <t>433
344</t>
  </si>
  <si>
    <t>7.515.750.889-03</t>
  </si>
  <si>
    <t>Renault Scope 2.1 Entry Navi EUR (DAB)</t>
  </si>
  <si>
    <t xml:space="preserve">Changed grouping name to Nissan, but anyway there is no corresponding part at the moment. </t>
  </si>
  <si>
    <t>Nissan Scope 2 DA-MID WW (ASEAN/PRC/LAC) (AM/FM)</t>
  </si>
  <si>
    <t>???</t>
  </si>
  <si>
    <t>[wzr2hi, 31.01.2017] This configuration (Board-ID+Processor) was never manufactured. So this line is obsolete and replaced by line below.</t>
  </si>
  <si>
    <t>Variant table defines "NAM/LAC/GCC" for SDB. This was ignored.
Why do have DAs an SDB-region at all? Decision by SM/PD/PM 13.01.17 DA Variants do not have SDB, nor Gracenote data. 
[wzr2hi, 31.01.2017] 7.505.750.895-02 replaced by FCID 0x0068 below.
[wzr2hi, 31.01.2017] 7.500.750.806-01 replaced by FCID 0x0068 below.
[wzr2hi, 31.01.2017] 7.505.750.806-01 replaced by FCID 0x0068 below.</t>
  </si>
  <si>
    <t>[06.06.16] 0x693 = Teseo 3 (checked OK).
[wzr2hi, 23.08.2016] 7.500.750.807-01 replaced by FCID 0x003D below.
[wzr2hi, 31.01.2017] 7.500.750.806-01 replaced by FCID 0x0068 below</t>
  </si>
  <si>
    <t>[06.06.16] 0x691 = Teseo 3 (checked OK).
[wzr2hi, 23.08.2016] 7.510.750.845-01 replaced by FCID 0x0040 below.
[wzr2hi, 31.01.2017] 7.510.750.849-01 replaced by FCID 0x005E below.</t>
  </si>
  <si>
    <t>06A2 (DL)</t>
  </si>
  <si>
    <t>[wzr2hi, 27.10.2016] Special FCID for RoW-Test requested by Olaf</t>
  </si>
  <si>
    <t>06A1 (Quad)</t>
  </si>
  <si>
    <t>[wzr2hi, 28.10.2016] New FCID requested by Stefan Scherber
[wzr2hi, 03.02.2017] According to DBU: 7.510.750.864-02 replaced by FCID 0x006A
[wzr2hi, 03.02.2017] According to DBU: 7.515.750.864-02 replaced by FCID 0x006A</t>
  </si>
  <si>
    <r>
      <t xml:space="preserve">[06.06.16] 0x695 = Teseo 3 (checked OK).
</t>
    </r>
    <r>
      <rPr>
        <sz val="10"/>
        <color theme="1"/>
        <rFont val="Arial"/>
        <family val="2"/>
      </rPr>
      <t>[08.02.2017, ihn2si]; deleted,  replaced by FCID 0x005A below.</t>
    </r>
  </si>
  <si>
    <t>Inconsistent data in variant matrix. Nav device without map and SDB data.
[wzr2hi, 09.02.2017] Variant Matrix now contains EUR info for SDB/GN/MAP.</t>
  </si>
  <si>
    <t>PARTITION_SCHEMA64__NavRenault</t>
  </si>
  <si>
    <t>64 GB (all RenaultVariants, Nissan P-IVI) -&gt; Nissan TBC
PARTITION_SCHEMA64__NavRenault</t>
  </si>
  <si>
    <t>PARTITION_SCHEMA128__NavPiviJpn</t>
  </si>
  <si>
    <t>7.513.750.801-01</t>
  </si>
  <si>
    <t>Nissan Scope 2 MID Navi Russland (AM/FM)</t>
  </si>
  <si>
    <t>7.503.750.811-01</t>
  </si>
  <si>
    <t>Nissan Scope 2 DA-MID EUR (DAB)</t>
  </si>
  <si>
    <t>7.503.750.812-01</t>
  </si>
  <si>
    <t>???
???</t>
  </si>
  <si>
    <t>7.510.750.926-03</t>
  </si>
  <si>
    <t>7.510.750.928-03</t>
  </si>
  <si>
    <t>7.510.750.929-03</t>
  </si>
  <si>
    <t>AARS_IVI_S2_AC_FMSD</t>
  </si>
  <si>
    <t>[wzr2hi, 07.03.2017] New FCID due to new Board-ID</t>
  </si>
  <si>
    <t>7.510.750.920-03</t>
  </si>
  <si>
    <t>[wzr2hi, 23.02.2017] Added 7.510.750.920-03, Reenabled SXM.
[wzr2hi, 07.03.2017] 7.510.750.920-03 replaced by FCID 0x0072 below.</t>
  </si>
  <si>
    <t>0704 (Quad)</t>
  </si>
  <si>
    <t>[wzr2hi, 08.03.2017] Changed Board-ID to 06A1 according to VM v187</t>
  </si>
  <si>
    <t>PARTITION_SCHEMA16__Nav</t>
  </si>
  <si>
    <t>PARTITION_SCHEMA8__DASdb</t>
  </si>
  <si>
    <t>PARTITION_SCHEMA32__NavLargeSdb</t>
  </si>
  <si>
    <t>PARTITION_SCHEMA32__NavSmallSdb</t>
  </si>
  <si>
    <t>547
431
???
???
???</t>
  </si>
  <si>
    <t>???
???
???
???</t>
  </si>
  <si>
    <t>???
???
???
???
???</t>
  </si>
  <si>
    <t>light green</t>
  </si>
  <si>
    <t>review ok in last iteration -&gt; change to white before current review</t>
  </si>
  <si>
    <r>
      <rPr>
        <sz val="7"/>
        <color theme="1"/>
        <rFont val="Times New Roman"/>
        <family val="1"/>
      </rPr>
      <t xml:space="preserve"> </t>
    </r>
    <r>
      <rPr>
        <sz val="10"/>
        <color theme="1"/>
        <rFont val="Arial"/>
        <family val="2"/>
      </rPr>
      <t>orange</t>
    </r>
  </si>
  <si>
    <t>review nok in last iteration -&gt; to be clarified/fixed -&gt; if clarified/fixed change to yellow again</t>
  </si>
  <si>
    <t>yellow</t>
  </si>
  <si>
    <t>review needed, if ok change to light green, if nok change to orange</t>
  </si>
  <si>
    <t>gray</t>
  </si>
  <si>
    <t>lines with orphaned FCID, that is no partnumber anymore in this FCID -&gt; we need to discuss if we delete/hide those lines.</t>
  </si>
  <si>
    <t>8GB (all Renault Entry-DAs)
PARTITION_SCHEMA8__DA</t>
  </si>
  <si>
    <t>8GB (all Nissan Entry-DAs / all Alliance Mid-DAs)
PARTITION_SCHEMA8__DASdb</t>
  </si>
  <si>
    <t>16GB (all Variants with this eMMC size)
PARTITION_SCHEMA16__Nav</t>
  </si>
  <si>
    <t xml:space="preserve">64GB (all Variants with this eMMC size)
PARTITION_SCHEMA64__NavRenault </t>
  </si>
  <si>
    <t>128GB (all Variants with this eMMC size)
PARTITION_SCHEMA128__NavPiviJpn</t>
  </si>
  <si>
    <t>8GB (Scope1 EU)
PARTITION_SCHEMA8_NissanScope1</t>
  </si>
  <si>
    <t>7.510.750.804-01 (HW04),
7.510.750.804-97 (HW04),
7.503.750.804-01 (HW05),
7.503.750.801-01 (HW05),
7.503.750.804-02 (HW05),
7.503.750.801-02 (HW05)</t>
  </si>
  <si>
    <t>7.510.750.803-01 (HW02;HW03)</t>
  </si>
  <si>
    <t>7.510.750.808-01( 'HW 001' ), 
7.510.750.840-01( 'HW 001' ), 
7.510.750.841-01( 'HW 001' )</t>
  </si>
  <si>
    <t>7.510.750.866-01('HW 001')</t>
  </si>
  <si>
    <t>7.510.750.887-01('HW 001')</t>
  </si>
  <si>
    <t>7.510.750.850-01,
7.510.750.889-01,
7.510.750.895-01</t>
  </si>
  <si>
    <t>7.510.750.880-01,
7.510.750.880-02,
7.510.750.882-01,
7.510.750.882-02</t>
  </si>
  <si>
    <t>7.510.750.883-01,
7.510.750.883-02</t>
  </si>
  <si>
    <t>7.510.750.884-01,
7.510.750.884-02,
7.510.750.885-01,
7.510.750.885-02</t>
  </si>
  <si>
    <r>
      <rPr>
        <strike/>
        <sz val="10"/>
        <color theme="1"/>
        <rFont val="Arial"/>
        <family val="2"/>
      </rPr>
      <t>7.510.750.807-01('HW 001')[discarded]</t>
    </r>
    <r>
      <rPr>
        <sz val="10"/>
        <color theme="1"/>
        <rFont val="Arial"/>
        <family val="2"/>
      </rPr>
      <t>, 
7.510.750.867-01('HW 001')</t>
    </r>
  </si>
  <si>
    <r>
      <t xml:space="preserve">7.510.750.843-01('HW 001'), 
</t>
    </r>
    <r>
      <rPr>
        <strike/>
        <sz val="10"/>
        <color theme="1"/>
        <rFont val="Arial"/>
        <family val="2"/>
      </rPr>
      <t>7.510.750.849-01('HW 001')[discarded],</t>
    </r>
    <r>
      <rPr>
        <sz val="10"/>
        <color theme="1"/>
        <rFont val="Arial"/>
        <family val="2"/>
      </rPr>
      <t xml:space="preserve"> 
</t>
    </r>
    <r>
      <rPr>
        <strike/>
        <sz val="10"/>
        <color theme="1"/>
        <rFont val="Arial"/>
        <family val="2"/>
      </rPr>
      <t>7.510.750.845-01('HW 001')[discarded],</t>
    </r>
    <r>
      <rPr>
        <sz val="10"/>
        <color theme="1"/>
        <rFont val="Arial"/>
        <family val="2"/>
      </rPr>
      <t xml:space="preserve"> 
7.510.750.815-01('HW 001')</t>
    </r>
  </si>
  <si>
    <t>7.510.750.862-01('HW 001')[discarded]</t>
  </si>
  <si>
    <t>7.510.750.864-01('HW 001')[discarded]</t>
  </si>
  <si>
    <r>
      <t xml:space="preserve">7.510.750.813-01('HW 001'),
</t>
    </r>
    <r>
      <rPr>
        <strike/>
        <sz val="10"/>
        <color theme="1"/>
        <rFont val="Arial"/>
        <family val="2"/>
      </rPr>
      <t>7.510.750.863-01('HW 001')[discarded]</t>
    </r>
  </si>
  <si>
    <t>7.500.750.806-01('HW 001')[discarded],
7.500.750.807-01('HW 001')[discarded]</t>
  </si>
  <si>
    <t>7.500.750.811-01('HW 001')[discarded]</t>
  </si>
  <si>
    <t>7.500.750.813-01('HW 001')[discarded]</t>
  </si>
  <si>
    <t>7.500.750.808-01('HW 001')[discarded]</t>
  </si>
  <si>
    <t>7.500.750.805-01('HW 001')[discarded]</t>
  </si>
  <si>
    <r>
      <t xml:space="preserve">7.510.750.920-02,
</t>
    </r>
    <r>
      <rPr>
        <strike/>
        <sz val="10"/>
        <color theme="1"/>
        <rFont val="Arial"/>
        <family val="2"/>
      </rPr>
      <t>7.510.750.920-03[discarded]</t>
    </r>
  </si>
  <si>
    <t>7.510.750.845-02[discarded]</t>
  </si>
  <si>
    <t>7.500.750.808-01[discarded],
7.500.750.805-01[discarded],
7.505.750.805-01[discarded],
7.505.750.808-01[discarded]</t>
  </si>
  <si>
    <t>7.500.750.821-01[discarded]</t>
  </si>
  <si>
    <t>7.510.750.849-01[discarded]</t>
  </si>
  <si>
    <t>7.510.750.862-01[discarded],
7.515.750.801-01[discarded]</t>
  </si>
  <si>
    <t>7.500.750.822-01[discarded],
7.505.750.897-01[discarded]</t>
  </si>
  <si>
    <t>7.510.750.887-99</t>
  </si>
  <si>
    <t>7.510.750.835-99</t>
  </si>
  <si>
    <t>[wzr2hi, 25.04.2017] Special FCID for JPN development on at least two units at Joachim Schneider</t>
  </si>
  <si>
    <r>
      <t>Nissan Scope 2 MID Navi PRC (</t>
    </r>
    <r>
      <rPr>
        <sz val="10"/>
        <color rgb="FFFF0000"/>
        <rFont val="Arial"/>
        <family val="2"/>
      </rPr>
      <t>AM/FM,</t>
    </r>
    <r>
      <rPr>
        <sz val="10"/>
        <rFont val="Arial"/>
        <family val="2"/>
      </rPr>
      <t xml:space="preserve"> ex EUR)</t>
    </r>
  </si>
  <si>
    <t>7.510.750.806-98</t>
  </si>
  <si>
    <t>[wzr2hi, 26.04.2017] Special FCID for KOR development on at least 7 units at Shelah</t>
  </si>
  <si>
    <t>Renault Scope 2.1 Mid Navi KOR (ex EUR, ex DAB)</t>
  </si>
  <si>
    <t>7.510.750.876-98</t>
  </si>
  <si>
    <t>[wzr2hi, 26.04.2017] Special FCID for KOR development on at least 10 units at Shelah</t>
  </si>
  <si>
    <t>NAM/MEX</t>
  </si>
  <si>
    <t>SAM Arg/Chl</t>
  </si>
  <si>
    <t>Africa/SAF/AUS/NZ</t>
  </si>
  <si>
    <t>MEA/CA/ISR/IND</t>
  </si>
  <si>
    <t>EUR/MAG/TURK</t>
  </si>
  <si>
    <t>RUS</t>
  </si>
  <si>
    <t>JP/KOR</t>
  </si>
  <si>
    <t>APAC/TWN/PRC</t>
  </si>
  <si>
    <t>GOM/THAI/VIET</t>
  </si>
  <si>
    <t>SDB</t>
  </si>
  <si>
    <t>SDB_NAM</t>
  </si>
  <si>
    <t>SDB_LAC</t>
  </si>
  <si>
    <t>SDB_ASR</t>
  </si>
  <si>
    <t>SDB_GCC</t>
  </si>
  <si>
    <t>SDB_EUR</t>
  </si>
  <si>
    <t>SDB_RUS</t>
  </si>
  <si>
    <t>SDB_JPN</t>
  </si>
  <si>
    <t>SDB_PRC</t>
  </si>
  <si>
    <t>SDB_GOM</t>
  </si>
  <si>
    <t>831_734</t>
  </si>
  <si>
    <t>734 only</t>
  </si>
  <si>
    <t>According to Stefan Weber 26.04.2017 via eMail für Scope2.1:</t>
  </si>
  <si>
    <t>Scope2:</t>
  </si>
  <si>
    <t>ASR gibt es nicht</t>
  </si>
  <si>
    <t>für Australien</t>
  </si>
  <si>
    <t>die ST2.0/ST2.1 Unterscheidung schwirrte mir auch schon durch den Kopf.</t>
  </si>
  <si>
    <r>
      <t xml:space="preserve">ST2.0 hat aktuell noch die alte Aufteilung, da stimmt meine Tabelle natürlich nicht. Da ist PRC </t>
    </r>
    <r>
      <rPr>
        <sz val="10"/>
        <color theme="1"/>
        <rFont val="Wingdings"/>
        <charset val="2"/>
      </rPr>
      <t>à</t>
    </r>
    <r>
      <rPr>
        <sz val="10"/>
        <color theme="1"/>
        <rFont val="Arial"/>
        <family val="2"/>
      </rPr>
      <t xml:space="preserve"> 734 und Australische Ausprägung mit EUR </t>
    </r>
    <r>
      <rPr>
        <sz val="10"/>
        <color theme="1"/>
        <rFont val="Wingdings"/>
        <charset val="2"/>
      </rPr>
      <t>à</t>
    </r>
    <r>
      <rPr>
        <sz val="10"/>
        <color theme="1"/>
        <rFont val="Arial"/>
        <family val="2"/>
      </rPr>
      <t xml:space="preserve"> 831.</t>
    </r>
  </si>
  <si>
    <t>[Igor] Bitte prüft, ob der Typ 831_AUSKRJPN_ (GOM) für die GN korrekt ist. Es könnte auch 734_CN_831_AUSKRJPN (GOM) leider kann ich das nicht sagen.
[wzr2hi, 26.04.2017] Laut Stefan Weber gilt immer GCC_SDB/731_EUR.</t>
  </si>
  <si>
    <t>[wzr2h, 27.10.2016] Special FCID for RoW-Test requested by Olaf
[wzr2hi, 26.04.2017] Changed GN_734 to 734_CN_831_AUSKRJPN according to Stefan Weber.</t>
  </si>
  <si>
    <t>0x689 = Teseo 2 (checked)
[wzr2hi, 26.04.2017] Changed GN_734 to 734_CN_831_AUSKRJPN according to Stefan Weber.</t>
  </si>
  <si>
    <t>New variants to support China development. 0x689 = Teseo 2 (checked)
[wzr2hi, 26.04.2017] Changed GN_734 to 734_CN_831_AUSKRJPN according to Stefan Weber.</t>
  </si>
  <si>
    <t>New variants to support China development.
[wzr2hi, 26.04.2017] Changed GN_734 to 734_CN_831_AUSKRJPN according to Stefan Weber.</t>
  </si>
  <si>
    <t>[06.06.16] 0x691 = Teseo 3 (checked OK).
[wzr2hi, 31.01.2017] 7.510.750.862-01 replaced by FCID 005F below.
[wzr2hi, 26.04.2017] Changed GN_734 to 734_CN_831_AUSKRJPN according to Stefan Weber.</t>
  </si>
  <si>
    <t>[wzr2hi, 31.01.2017] This configuration (Board-ID+Processor) was never manufactured. So this line is obsolete and replaced by line below.
[wzr2hi, 26.04.2017] Changed GN_734 to 734_CN_831_AUSKRJPN according to Stefan Weber.</t>
  </si>
  <si>
    <t>rnaivi_da</t>
  </si>
  <si>
    <t>rnaivi_nav</t>
  </si>
  <si>
    <t>npivi_nav</t>
  </si>
  <si>
    <t>rivie_nav</t>
  </si>
  <si>
    <t>rivie_da</t>
  </si>
  <si>
    <t>[06.06.16] 0x693 = Teseo 3 (checked OK).
[wzr2hi, 23.08.2016] 7.500.750.813-01 replaced by FCID 0x003F below.
[wzr2hi, 23.08.2016] FCID 0038/0x0026 obsolete and blocked.</t>
  </si>
  <si>
    <t>[06.06.16] 0x693 = Teseo 3 (checked OK).
[wzr2hi, 23.08.2016] 7.500.750.811-01 replaced by FCID 0x003E below.
[wzr2hi, 23.08.2016] FCID 0037/0x0025 obsolete and blocked.</t>
  </si>
  <si>
    <t>nivic</t>
  </si>
  <si>
    <t>RFS
(as in Manifest)</t>
  </si>
  <si>
    <t>Customer
(fixed by RFS)</t>
  </si>
  <si>
    <t>Type
(fixed by RFS)</t>
  </si>
  <si>
    <t>HMI
(fixed by RFS)</t>
  </si>
  <si>
    <t>FPGA/CPLD</t>
  </si>
  <si>
    <t>7.515.750.829-01</t>
  </si>
  <si>
    <t>7.510.750.871-01,
7.510.750.881-01,
7.510.750.879-01,
7.510.750.879-02,
7.510.750.881-02</t>
  </si>
  <si>
    <t>[wzr2hi, 28.10.2016] New FCID requested by Stefan Scherber
NAM/MEX Map kept according to variability definition
Added: 7.515.750.800-01
[wzr2hi, 31.01.2017] 7.510.750.848-01 replaced by FCID 0x0067 below.
[wzr2hi, 31.01.2017] 7.510.750.848-02 replaced by FCID 0x0067 below.
[wzr2hi, 31.01.2017] 7.515.750.800-01 replaced by FCID 0x0067 below.
[wzr2hi, 28.04.2017] Added 7.510.750.901-01 ("HW-UBoot")</t>
  </si>
  <si>
    <t xml:space="preserve">[06.06.16] 0x696 = Teseo 3 (checked OK). Please use FCID 44. This is a double. 
</t>
  </si>
  <si>
    <t>[06.06.16] 0x68E = Teseo 2 (checked OK).
[wzr2hi, 22.08.16] This is the only Renault-Variant with SXM</t>
  </si>
  <si>
    <t>FPGA_updatable</t>
  </si>
  <si>
    <t>Review:</t>
  </si>
  <si>
    <t>Turn green fields to white</t>
  </si>
  <si>
    <t>Turn yellow fields to green (if ok) or to orange (if not ok). Add comment for review finding.</t>
  </si>
  <si>
    <t>Turn orange fields to yellow for next review cycle, if review finding seems to be fixed.</t>
  </si>
  <si>
    <t>Add new lines or change cells:</t>
  </si>
  <si>
    <t>Turn fields to yellow for review.</t>
  </si>
  <si>
    <t>Discard full lines for obsolete FCIDs:</t>
  </si>
  <si>
    <t>Discard line for obsolete part number.</t>
  </si>
  <si>
    <t>Turn line to grey if no part number is in the line anymore.</t>
  </si>
  <si>
    <t>Turn "unfixable" things to red. Possibly an action should follwow to block devices.</t>
  </si>
  <si>
    <t>Special:</t>
  </si>
  <si>
    <t>Keep color coding for "RFS as in Manifest"</t>
  </si>
  <si>
    <t>Nissan Scope 2 MID Navi GCC (AM/FM)</t>
  </si>
  <si>
    <t>Nissan Scope 2 MID Navi LAC (AM/FM)</t>
  </si>
  <si>
    <t>687 und 688 haben die selbe Teilenummer in der Variantenmatrix. Problem! 
Lösung:
- Umbau auf 32 GB, d.h. auf 688 migrieren
- Crashen erwartet
Partition scheme was weired, but accepted as OK.</t>
  </si>
  <si>
    <t>ASR_SDB</t>
  </si>
  <si>
    <t>7.510.750.985-01</t>
  </si>
  <si>
    <t>7.510.750.988-01</t>
  </si>
  <si>
    <t>7.510.750.989-01</t>
  </si>
  <si>
    <t>7.500.750.835-01</t>
  </si>
  <si>
    <t>7.500.750.836-01</t>
  </si>
  <si>
    <t>7.500.750.838-01</t>
  </si>
  <si>
    <t>7.510.750.991-01</t>
  </si>
  <si>
    <t>7.510.750.990-01</t>
  </si>
  <si>
    <t>7.500.750.837-01</t>
  </si>
  <si>
    <t>Nissan Scope 2 MID Navi GOM (AM/FM)</t>
  </si>
  <si>
    <t>Nissan Scope 2 MID DA PRC (AM/FM)</t>
  </si>
  <si>
    <t>Nissan Scope 2 MID DA ASR (AM/FM)</t>
  </si>
  <si>
    <t>Nissan Scope 2 MID DA RUS (AM/FM)</t>
  </si>
  <si>
    <t>ASR_SDB
(Africa/SAF/AUS/NZ)</t>
  </si>
  <si>
    <t>[wzr2hi, 08.05.2017] Added 7.500.750.837-01 for DSB6.Hi ("Fake-Device" based on TBD !!!). Must stay in unique FCID to allow crazy changes.</t>
  </si>
  <si>
    <t>[wzr2hi, 08.05.2017] Added 7.500.750.838-01 for DSB6.Hi ("Fake-Device" based on TBD !!!). Must stay in unique FCID to allow crazy changes.</t>
  </si>
  <si>
    <t>[wzr2hi, 08.05.2017] Added 7.510.750.990-01 for DSB6.Hi ("Fake-Device" based on TBD !!!). Must stay in unique FCID to allow crazy changes.</t>
  </si>
  <si>
    <t>V850_Scope_2</t>
  </si>
  <si>
    <t>7.515.750.814-01</t>
  </si>
  <si>
    <t>7.515.750.815-01</t>
  </si>
  <si>
    <t>7.515.750.831-01</t>
  </si>
  <si>
    <t>SDB: NAM/LAC/GCC cannot be handled by SW within one partnumber. It is not possible to have 3 different sets of SDB-Data in the same device. Currently NAM is assumed by SW. 
Decision by SM/PD/PM 13.01.17 DA Variants do not have SDB, nor Gracenote data. Therefore added LAC/GCC.
[wzr2hi, 09.05.2017] Removed LAC/GCC from the Grouping again. VM column destination is clear about NAM.</t>
  </si>
  <si>
    <t>7.510.750.983-01,
7.510.750.987-01,
7.510.750.850-99</t>
  </si>
  <si>
    <t>Nissan Scope 2 MID Navi TWN (AM/FM)</t>
  </si>
  <si>
    <r>
      <t xml:space="preserve">Nissan Scope 2 MID DA </t>
    </r>
    <r>
      <rPr>
        <sz val="10"/>
        <color rgb="FFFF0000"/>
        <rFont val="Arial"/>
        <family val="2"/>
      </rPr>
      <t>MEA</t>
    </r>
    <r>
      <rPr>
        <sz val="10"/>
        <color theme="1"/>
        <rFont val="Arial"/>
        <family val="2"/>
      </rPr>
      <t xml:space="preserve"> (AM/FM)</t>
    </r>
  </si>
  <si>
    <r>
      <t xml:space="preserve">Nissan Scope 2 DA-MID </t>
    </r>
    <r>
      <rPr>
        <strike/>
        <sz val="10"/>
        <rFont val="Arial"/>
        <family val="2"/>
      </rPr>
      <t>WW</t>
    </r>
    <r>
      <rPr>
        <sz val="10"/>
        <rFont val="Arial"/>
        <family val="2"/>
      </rPr>
      <t xml:space="preserve"> (ASEAN/PRC/</t>
    </r>
    <r>
      <rPr>
        <strike/>
        <sz val="10"/>
        <rFont val="Arial"/>
        <family val="2"/>
      </rPr>
      <t>LAC</t>
    </r>
    <r>
      <rPr>
        <sz val="10"/>
        <rFont val="Arial"/>
        <family val="2"/>
      </rPr>
      <t>) (AM/FM)</t>
    </r>
  </si>
  <si>
    <t xml:space="preserve">
[wzr2hi, 15.03.2017] Added 7.507.750.822-01
[wzr2hi, 15.03.2017] Added 7.507.750.824-01
[wzr2hi, 15.03.2017] Added 7.507.750.826-01
[wzr2hi, 18.05.2017] 7.505.750.897-01 replaced by FCID 0x0xxx below (due to collision after SDB consolidation).</t>
  </si>
  <si>
    <t>7.505.750.897-01</t>
  </si>
  <si>
    <r>
      <t xml:space="preserve">Nissan Scope 2 MID Navi </t>
    </r>
    <r>
      <rPr>
        <sz val="10"/>
        <color rgb="FFFF0000"/>
        <rFont val="Arial"/>
        <family val="2"/>
      </rPr>
      <t>MEA</t>
    </r>
    <r>
      <rPr>
        <sz val="10"/>
        <rFont val="Arial"/>
        <family val="2"/>
      </rPr>
      <t xml:space="preserve"> (</t>
    </r>
    <r>
      <rPr>
        <sz val="10"/>
        <color rgb="FFFF0000"/>
        <rFont val="Arial"/>
        <family val="2"/>
      </rPr>
      <t>AM/FM</t>
    </r>
    <r>
      <rPr>
        <sz val="10"/>
        <rFont val="Arial"/>
        <family val="2"/>
      </rPr>
      <t>, ex EUR)</t>
    </r>
  </si>
  <si>
    <t>Nissan Scope 2 DA-MID EUR/GBR (DAB)</t>
  </si>
  <si>
    <t>Nissan Scope 2 DA-MID EUR/RUS (AM/FM)</t>
  </si>
  <si>
    <r>
      <t xml:space="preserve">B-Sample: Nissan Scope 2 MID Navi </t>
    </r>
    <r>
      <rPr>
        <sz val="10"/>
        <color rgb="FFFF0000"/>
        <rFont val="Arial"/>
        <family val="2"/>
      </rPr>
      <t>MEA</t>
    </r>
    <r>
      <rPr>
        <sz val="10"/>
        <color theme="1"/>
        <rFont val="Arial"/>
        <family val="2"/>
      </rPr>
      <t xml:space="preserve"> (DAB)</t>
    </r>
  </si>
  <si>
    <t>Be very carefull changing this mapping table:</t>
  </si>
  <si>
    <t>It will change the FCID-Table!!!</t>
  </si>
  <si>
    <t>Invalid</t>
  </si>
  <si>
    <t>7.510.750.861-01('HW 001')</t>
  </si>
  <si>
    <r>
      <t xml:space="preserve">7.510.750.842-01('HW 001'), 
7.510.750.848-01('HW 001'), 
7.510.750.844-01('HW 001'), 
</t>
    </r>
    <r>
      <rPr>
        <strike/>
        <sz val="10"/>
        <color theme="1"/>
        <rFont val="Arial"/>
        <family val="2"/>
      </rPr>
      <t>7.510.750.850-01('HW 001')[discarded],</t>
    </r>
    <r>
      <rPr>
        <sz val="10"/>
        <color theme="1"/>
        <rFont val="Arial"/>
        <family val="2"/>
      </rPr>
      <t xml:space="preserve"> 
</t>
    </r>
    <r>
      <rPr>
        <strike/>
        <sz val="10"/>
        <color theme="1"/>
        <rFont val="Arial"/>
        <family val="2"/>
      </rPr>
      <t>7.510.750.861-01('HW 001')[discarded</t>
    </r>
    <r>
      <rPr>
        <sz val="10"/>
        <color theme="1"/>
        <rFont val="Arial"/>
        <family val="2"/>
      </rPr>
      <t>], 
7.510.750.833-01('HW 001')</t>
    </r>
  </si>
  <si>
    <t>[06.06.16] 0x691 = Teseo 3 (checked OK).
[wzr2hi, 23.08.2016] 7.510.750.850-01 replaced by FCID 65 below.
[wzr2hi, 19.05.2017] 7.510.750.861-01 replaced by FCID 0x0xxx below (due to collision after FPGA consolidation).</t>
  </si>
  <si>
    <t>[wzr2hi, 19.05.2017] 7.500.750.809-01 replaced by FCID 0x0xxx below (due to collision after DA/NAV consolidation).</t>
  </si>
  <si>
    <t>7.500.750.810-01('HW 001'),
7.500.750.809-01('HW 001')[discarded]</t>
  </si>
  <si>
    <t>Nissan Scope 2 MID DA ASR(MEA/SAF) (AM/FM)</t>
  </si>
  <si>
    <t>???
???
???</t>
  </si>
  <si>
    <t>[wzr2hi, 19.05.2017] Added 7.515.750.829-01 for TSB4.PgP1.</t>
  </si>
  <si>
    <t>[wzr2hi, 19.05.2017] Added 7.515.750.814-01 for TSB4.PgP1.</t>
  </si>
  <si>
    <t>Nissan Scope 2 MID Navi ASEAN-A (AM/FM)</t>
  </si>
  <si>
    <t>Nissan Scope 2 MID Navi ASR(MEA) (AM/FM)</t>
  </si>
  <si>
    <t>Nissan Scope 2 MID Navi NAM(MEX) (HD)</t>
  </si>
  <si>
    <t>[wzr2hi, 19.05.2017] Added 7.515.750.831-01 for TSB4.PgP1.</t>
  </si>
  <si>
    <t>Nissan Scope 2 MID Navi GCC(ISR) (AM/FM)</t>
  </si>
  <si>
    <t>[wzr2hi, 19.05.2017] Added 7.515.750.815-01 for TSB4.PgP1</t>
  </si>
  <si>
    <r>
      <t xml:space="preserve">Nissan Scope 2 MID DA </t>
    </r>
    <r>
      <rPr>
        <strike/>
        <sz val="10"/>
        <color theme="1"/>
        <rFont val="Arial"/>
        <family val="2"/>
      </rPr>
      <t>WW</t>
    </r>
    <r>
      <rPr>
        <sz val="10"/>
        <color theme="1"/>
        <rFont val="Arial"/>
        <family val="2"/>
      </rPr>
      <t xml:space="preserve"> (</t>
    </r>
    <r>
      <rPr>
        <strike/>
        <sz val="10"/>
        <color theme="1"/>
        <rFont val="Arial"/>
        <family val="2"/>
      </rPr>
      <t>ASEAN/PRC</t>
    </r>
    <r>
      <rPr>
        <sz val="10"/>
        <color theme="1"/>
        <rFont val="Arial"/>
        <family val="2"/>
      </rPr>
      <t>/LAC) (AM/FM)</t>
    </r>
  </si>
  <si>
    <t>Nissan Scope 2 MID Navi ASEAN-A(MLY/IND/…) (AM/FM)</t>
  </si>
  <si>
    <t>Nissan Scope 2 MID Navi LAC(BRA/AGT) (AM/FM)</t>
  </si>
  <si>
    <t>Nissan Scope 2 Entry DA INN/THA/PHI/MLY/TWN (AM/FM)</t>
  </si>
  <si>
    <t>Nissan Scope 2 MID Navi ASEAN-B(VNM/THA) (AM/FM)</t>
  </si>
  <si>
    <t>Nissan Scope 2 MID DA ASEAN-B(VNM/THA) (AM/FM)</t>
  </si>
  <si>
    <t>[wzr2hi, 18.05.2017] Copied 7.505.750.897-01 from FCID 0x0060 above (due to collision after SDB consolidation).</t>
  </si>
  <si>
    <t>Nissan Scope 2 MID Navi NAM(US) (HD)</t>
  </si>
  <si>
    <t>Nissan Scope 2 Entry Navi NAM(MEX) (HD)</t>
  </si>
  <si>
    <t>7.510.750.863-01,
7.510.750.896-01,
7.515.750.805-01,
7.510.750.863-02,
7.510.750.863-03,
7.510.750.905-01</t>
  </si>
  <si>
    <t>[wzr2hi, 28.10.2016] New FCID requested by Stefan Scherber
Added 7.515.750.805-01
[wzr2hi, 03.02.2017] DBU:7.515.750.805-01 confirmed to be 06A1 (Quad)
[wzr2hi, 21.02.2017] Added 7.510.750.863-02
[wzr2hi, 15.03.2017] Added 7.510.750.863-03
[wzr2hi, 19.05.2017] Added 7.510.750.905-01 for DSB7.Hi</t>
  </si>
  <si>
    <t>Nissan Scope 2 MID DA ASEAN-A/CHN/TWN (AM/FM)</t>
  </si>
  <si>
    <t>7.510.750.864-02,
7.515.750.864-02,
7.515.750.864-03</t>
  </si>
  <si>
    <t>[wzr2hi, 08.05.2017] Added 7.510.750.989-01 for DSB6.Hi ("Fake-Device" based on 7.510.750.862-01 !!!). Must stay in unique FCID to allow crazy changes.</t>
  </si>
  <si>
    <t>[wzr2hi, 08.05.2017] Added 7.510.750.988-01 for DSB6.Hi ("Fake-Device" based on 7.510.750.862-01 !!!). Must stay in unique FCID to allow crazy changes.</t>
  </si>
  <si>
    <t>[wzr2hi, 08.05.2017] Added 7.510.750.985-01 for DSB6.Hi ("Fake-Device" based on 7.510.750.848-01 !!!). Must stay in unique FCID to allow crazy changes.</t>
  </si>
  <si>
    <t>[wzr2hi, 08.05.2017] Added 7.500.750.835-01 for DSB6.Hi ("Fake-Device" based on 7.510.750.849-01 (Quad/32GB/DAB/Teseo) !!!). Must stay in unique FCID to allow crazy changes.</t>
  </si>
  <si>
    <t>[wzr2hi, 08.05.2017] Added 7.500.750.836-01 for DSB6.Hi ("Fake-Device" based on 7.510.750.849-01 (Quad/32GB/DAB/Teseo) !!!).  Must stay in unique FCID to allow crazy changes.</t>
  </si>
  <si>
    <t>Teseo_3_updatable</t>
  </si>
  <si>
    <t>Teseo_2_updatable</t>
  </si>
  <si>
    <t>SXM_not_updatable</t>
  </si>
  <si>
    <t>SXM_updatable</t>
  </si>
  <si>
    <t>DA-Mid</t>
  </si>
  <si>
    <t>NAV-Mid</t>
  </si>
  <si>
    <t>NAV-Entry</t>
  </si>
  <si>
    <t>NAV-Premium</t>
  </si>
  <si>
    <t>7.510.750.865-01,
7.515.750.807-01,
7.515.750.807-02</t>
  </si>
  <si>
    <t>[wzr2hi, xx.xx.2017] Added 7.515.750.807-01 for TSB4.PgP1
[wzr2hi, 23.05.2017] Added 7.515.750.807-02 for TSB4.PgP1.</t>
  </si>
  <si>
    <t>Pending question to HW whether downgrading to DL/FM/AM was intended. Needs to be anwered.
[wzr2hi, 03.02.2017] Downgrade from HD to AM/FM and Q to DL confirmed by Michael Reeger.
[wzr2hi, 23.05.2017] Seems to have evolved into FCID 0x0063. So maintain 0x0063 from now on.</t>
  </si>
  <si>
    <t>7.515.750.830-01,
7.515.750.830-02</t>
  </si>
  <si>
    <t>[wzr2hi, 19.05.2017] Added 7.515.750.830-01 for TSB4.PgP1
[wzr2hi, 23.05.2017] Added 7.515.750.830-02 for TSB4.PgP1</t>
  </si>
  <si>
    <t>Nissan Scope 2 MID Navi ASEAN-B (AM/FM)</t>
  </si>
  <si>
    <t>Nissan Scope 2 Entry Navi EUR(GBR) (DAB)</t>
  </si>
  <si>
    <t>Nissan Scope 2 Entry DA EUR(GBR) (DAB)</t>
  </si>
  <si>
    <t>[wzr2hi, 08.05.2017] Added 7.510.750.991-01 for DSB6.Hi ("Fake-Device" based on 7515750815-01 (VM/Reger) or 7.510.750.862-01 (XLS/Zimmer) !!!). Must stay in unique FCID to allow crazy changes.</t>
  </si>
  <si>
    <t>Nissan Scope 2 Entry Navi EU/ZAF (AM/FM)</t>
  </si>
  <si>
    <t>7.500.750.809-01('HW 001'),
7.500.750.809-01,
7.513.750.860-01</t>
  </si>
  <si>
    <t>[wzr2hi, 19.05.2017] Copied 7.500.750.809-01 from FCID 0x0029 above (due to collision after DA/NAV consolidation)
[wzr2hi, 07.06.2017] Added 7.513.750.860-01 for TSB4.Brg1</t>
  </si>
  <si>
    <t>7.500.750.816-01,
7.500.750.819-01</t>
  </si>
  <si>
    <t>465
466</t>
  </si>
  <si>
    <t>[wzr2hi, 04.01.2017] Moved 7.500.750.816-01, 7.500.750.819-01 to FCID 76 (004C) due to missing DAB.
[wzr2hi, 13.06.2017] Moved 7.500.750.816-01, 7.500.750.819-01 to own FCID since it turned out that FCID 0x004C has to have a Teseo. (Hopefully will never be produced again, old devices might have problems now.)</t>
  </si>
  <si>
    <t>Nissan Scope 2 Entry Navi EUR (DAB)</t>
  </si>
  <si>
    <t>Nissan Scope 2 Entry Navi MEX (HD)</t>
  </si>
  <si>
    <t>7.515.750.837-01</t>
  </si>
  <si>
    <t>[wzr2hi, 15.06.2017] Added 7.515.750.837-01 for TSB4.PgP1</t>
  </si>
  <si>
    <t>7.510.750.936-04</t>
  </si>
  <si>
    <t>0706 (Quad)</t>
  </si>
  <si>
    <t>0705 (QuadPlus)</t>
  </si>
  <si>
    <t>7.510.750.928-04</t>
  </si>
  <si>
    <t>DA-Premium</t>
  </si>
  <si>
    <t>npivi_da</t>
  </si>
  <si>
    <t xml:space="preserve">V850_PIVI_C1 </t>
  </si>
  <si>
    <t>V850_PIVI_C1</t>
  </si>
  <si>
    <t>0707 (QuadPlus)</t>
  </si>
  <si>
    <t>7.510.750.928-09</t>
  </si>
  <si>
    <t>[wzr2hi, 08.08.2017] Added 7.510.750.928-09 for special (reworked) B1-Sample with QuadPlus. Base was 7.510.750.928-03. The only change is Board ID.</t>
  </si>
  <si>
    <t>7.510.750.978-01</t>
  </si>
  <si>
    <t>7.510.750.979-01</t>
  </si>
  <si>
    <t>[wzr2hi, 14.08.2017] Added 7.510.750.977-01 for DSB10.Hi</t>
  </si>
  <si>
    <t>[wzr2hi, 14.08.2017] Added 7.510.750.978-01 for DSB10.Hi</t>
  </si>
  <si>
    <t>[wzr2hi, 14.08.2017] Added 7.510.750.979-01 for DSB10.Hi</t>
  </si>
  <si>
    <t>7.510.750.998-01</t>
  </si>
  <si>
    <t>[wzr2hi, 14.08.2017] Added 7.510.750.998-01 for DSB9.Hi</t>
  </si>
  <si>
    <t>7.515.750.826-01</t>
  </si>
  <si>
    <t>[wzr2hi, 14.08.2017] Added 7.515.750.826-01 for unknown sample phase (was forgotten in TSB4.PgP1)</t>
  </si>
  <si>
    <t>[wzr2hi, 30.06.2017] Added 7.510.750.928-04 for DSB2.Hi</t>
  </si>
  <si>
    <t>[wzr2hi, 30.06.2017] Added 7.510.750.936-04 for DSB2.Hi</t>
  </si>
  <si>
    <t>7.515.750.804-01,
7.510.750.906-01,
7.515.750.809-01,
7.515.750.825-01,
7.515.750.804-99,
7.515.750.809-99,
7.515.750.825-99</t>
  </si>
  <si>
    <t>[wzr2hi, 03.02.2017] According to DBU: 7.515.750.804-01 has 06A1 (Quad)
[wzr2hi, 16.05.2017] Added 7.510.750.906-01 for DSB7.Hi (H60A-Device)
[wzr2hi, 19.05.2017] Added 7.515.750.809-01 for TSB4.PgP1
[wzr2hi, 19.05.2017] Added 7.515.750.825-01 for TSB4.PgP1
[wzr2hi, 31.05.2017] Added 7.515.750.804-99 for a Fake-Device which makes a physical 7.515.750.804-01 a virtual 7.510.750.906-01
[wzr2hi, 16.08.2017] Added 7.515.750.809-99 for a special device at customer which manually gets SAM-CHL_ST2.0_N_EN+N_MI instead of SAM-ARG_ST2.0_N_EN+N_MI
[wzr2hi, 16.08.2017] Added 7.515.750.825-99 for a special device at customer which manually gets SAM-CHL_ST2.0_N_EN+N_MI instead of SAM-ARG_ST2.0_N_EN+N_MI</t>
  </si>
  <si>
    <t>Nissan Scope 2 MID Navi NAM(CAN) (AM/FM)</t>
  </si>
  <si>
    <t>Nissan_HMI_Scope_2.1</t>
  </si>
  <si>
    <t>Renault_HMI_Scope_2.1</t>
  </si>
  <si>
    <t>[wzr2hi, 04.05.2017] Added 7.515.750.824-01 for TSB4.PgP1
[wzr2hi, 04.05.2017] Added 7.510.750.986-01 for DSB6.Hi ("Fake-Device" based on 7.510.750.862-01 !!!).
[wzr2hi, 14.08.2017] Added 7.510.751.003-01 for DSB10.Hi</t>
  </si>
  <si>
    <t>7.515.750.824-01,
7.510.750.986-01,
7.510.751.003-01</t>
  </si>
  <si>
    <t>7.515.750.803-01,
7.515.750.823-01,
7.510.750.982-01,
7.510.750.976-01</t>
  </si>
  <si>
    <t>[wzr2hi, 03.02.2017] According to DBU: 7.515.750.803-01 has 06A1 (Quad)
[wzr2hi, 19.05.2017] Added 7.515.750.823-01 for TSB4.PgP1
[wzr2hi, 24.07.2017] Added 7.510.750.982-01 for DSB10.Hi
[wzr2hi, 14.08.2017] Added 7.510.750.976-01 for DSB9.Hi</t>
  </si>
  <si>
    <t>[wzr2hi, 14.08.2017] Added 7.510.750.899-02 for DSB10.Hi
[wzr2hi, 14.08.2017] Added 7.510.750.861-02 for DSB10.Hi</t>
  </si>
  <si>
    <t>7.510.750.899-02,
7.510.750.861-02</t>
  </si>
  <si>
    <t>Nissan Scope 2 MID Navi LAC(CHL) (AM/FM)</t>
  </si>
  <si>
    <t>Nissan Scope 2 MID Navi NAM(CAN) (HD)</t>
  </si>
  <si>
    <t>Nissan Scope 2 MID Navi NAM(US) (HD) (CPLD)</t>
  </si>
  <si>
    <t>Nissan Scope 2 MID Navi NAM(CAN) (AM/FM) (CPLD)</t>
  </si>
  <si>
    <t>Nissan Scope 2 MID Navi NAM(MEX) (HD) (CPLD)</t>
  </si>
  <si>
    <t>Nissan Scope 2 MID Navi LAC(BRA/AGT) (AM/FM) (CPLD)</t>
  </si>
  <si>
    <t>Nissan Scope 2.1 MID Navi EUR-W (DAB)</t>
  </si>
  <si>
    <t>Nissan Scope 2.1 MID Navi EUR-NE (DAB)</t>
  </si>
  <si>
    <t>Nissan Scope 2.1 MID Navi NAM(US) (HD)</t>
  </si>
  <si>
    <r>
      <t xml:space="preserve">7.510.750.864-01,
</t>
    </r>
    <r>
      <rPr>
        <strike/>
        <sz val="10"/>
        <color theme="1"/>
        <rFont val="Arial"/>
        <family val="2"/>
      </rPr>
      <t>7.510.750.864-02[discarded],</t>
    </r>
    <r>
      <rPr>
        <sz val="10"/>
        <color theme="1"/>
        <rFont val="Arial"/>
        <family val="2"/>
      </rPr>
      <t xml:space="preserve">
</t>
    </r>
    <r>
      <rPr>
        <strike/>
        <sz val="10"/>
        <color theme="1"/>
        <rFont val="Arial"/>
        <family val="2"/>
      </rPr>
      <t>7.515.750.864-02[discarded]</t>
    </r>
  </si>
  <si>
    <r>
      <t xml:space="preserve">7.510.750.888-01,
</t>
    </r>
    <r>
      <rPr>
        <strike/>
        <sz val="10"/>
        <color theme="1"/>
        <rFont val="Arial"/>
        <family val="2"/>
      </rPr>
      <t>7.510.750.848-01[discarded],</t>
    </r>
    <r>
      <rPr>
        <sz val="10"/>
        <color theme="1"/>
        <rFont val="Arial"/>
        <family val="2"/>
      </rPr>
      <t xml:space="preserve">
</t>
    </r>
    <r>
      <rPr>
        <strike/>
        <sz val="10"/>
        <color theme="1"/>
        <rFont val="Arial"/>
        <family val="2"/>
      </rPr>
      <t>7.510.750.848-02[discarded],</t>
    </r>
    <r>
      <rPr>
        <sz val="10"/>
        <color theme="1"/>
        <rFont val="Arial"/>
        <family val="2"/>
      </rPr>
      <t xml:space="preserve">
</t>
    </r>
    <r>
      <rPr>
        <strike/>
        <sz val="10"/>
        <color theme="1"/>
        <rFont val="Arial"/>
        <family val="2"/>
      </rPr>
      <t xml:space="preserve">7.515.750.800-01[discarded],
</t>
    </r>
    <r>
      <rPr>
        <sz val="10"/>
        <color theme="1"/>
        <rFont val="Arial"/>
        <family val="2"/>
      </rPr>
      <t>7.510.750.901-01</t>
    </r>
  </si>
  <si>
    <r>
      <t xml:space="preserve">7.505.750.807-02,
</t>
    </r>
    <r>
      <rPr>
        <strike/>
        <sz val="10"/>
        <color theme="1"/>
        <rFont val="Arial"/>
        <family val="2"/>
      </rPr>
      <t>7.505.750.807-03[discarded],</t>
    </r>
    <r>
      <rPr>
        <sz val="10"/>
        <color theme="1"/>
        <rFont val="Arial"/>
        <family val="2"/>
      </rPr>
      <t xml:space="preserve">
</t>
    </r>
    <r>
      <rPr>
        <strike/>
        <sz val="10"/>
        <color theme="1"/>
        <rFont val="Arial"/>
        <family val="2"/>
      </rPr>
      <t>7.500.750.889-01[discarded],</t>
    </r>
    <r>
      <rPr>
        <sz val="10"/>
        <color theme="1"/>
        <rFont val="Arial"/>
        <family val="2"/>
      </rPr>
      <t xml:space="preserve">
</t>
    </r>
    <r>
      <rPr>
        <strike/>
        <sz val="10"/>
        <color theme="1"/>
        <rFont val="Arial"/>
        <family val="2"/>
      </rPr>
      <t>7.505.750.803-01[discarded]</t>
    </r>
  </si>
  <si>
    <r>
      <t xml:space="preserve">7.505.750.895-01,
</t>
    </r>
    <r>
      <rPr>
        <strike/>
        <sz val="10"/>
        <color theme="1"/>
        <rFont val="Arial"/>
        <family val="2"/>
      </rPr>
      <t>7.505.750.895-02[discarded],</t>
    </r>
    <r>
      <rPr>
        <sz val="10"/>
        <color theme="1"/>
        <rFont val="Arial"/>
        <family val="2"/>
      </rPr>
      <t xml:space="preserve">
</t>
    </r>
    <r>
      <rPr>
        <strike/>
        <sz val="10"/>
        <color theme="1"/>
        <rFont val="Arial"/>
        <family val="2"/>
      </rPr>
      <t>7.500.750.806-01[discarded]</t>
    </r>
    <r>
      <rPr>
        <sz val="10"/>
        <color theme="1"/>
        <rFont val="Arial"/>
        <family val="2"/>
      </rPr>
      <t xml:space="preserve">,
</t>
    </r>
    <r>
      <rPr>
        <strike/>
        <sz val="10"/>
        <color theme="1"/>
        <rFont val="Arial"/>
        <family val="2"/>
      </rPr>
      <t>7.505.750.806-01[discarded]</t>
    </r>
  </si>
  <si>
    <r>
      <t xml:space="preserve">7.500.750.822-01,
</t>
    </r>
    <r>
      <rPr>
        <strike/>
        <sz val="10"/>
        <color theme="1"/>
        <rFont val="Arial"/>
        <family val="2"/>
      </rPr>
      <t>7.505.750.897-01[discarded]</t>
    </r>
    <r>
      <rPr>
        <sz val="10"/>
        <color theme="1"/>
        <rFont val="Arial"/>
        <family val="2"/>
      </rPr>
      <t>,
7.507.750.822-01,
7.507.750.824-01,
7.507.750.826-01</t>
    </r>
  </si>
  <si>
    <t>FPGA_and_CPLD_not_updatable</t>
  </si>
  <si>
    <t>CPLD_updatable</t>
  </si>
  <si>
    <t>EXT_FPGA_updatable</t>
  </si>
  <si>
    <t>Conversion to PB1D India</t>
  </si>
  <si>
    <t>7.513.750.805-01</t>
  </si>
  <si>
    <t>7.513.750.808-01</t>
  </si>
  <si>
    <t>PRC_ST2.1_R_ENTRY</t>
  </si>
  <si>
    <t>EUR_LP_ST2.1_R_ENTRY</t>
  </si>
  <si>
    <t>MEX_ST2.1_R_ENTRY</t>
  </si>
  <si>
    <t>NAM_LP_ST2.1_R_ENTRY</t>
  </si>
  <si>
    <t>FPGA_and_CPLD_updatable</t>
  </si>
  <si>
    <t>7.513.750.816-01</t>
  </si>
  <si>
    <t>7.513.750.817-01</t>
  </si>
  <si>
    <t>7.513.750.818-01</t>
  </si>
  <si>
    <t>7.513.750.825-01</t>
  </si>
  <si>
    <t>7.513.750.834-01</t>
  </si>
  <si>
    <t>7.513.750.835-01</t>
  </si>
  <si>
    <t>7.513.750.839-01</t>
  </si>
  <si>
    <t>7.513.750.840-01</t>
  </si>
  <si>
    <t>7.513.750.844-01</t>
  </si>
  <si>
    <t>7.510.751.004-01</t>
  </si>
  <si>
    <t>SAM-ARG_ST2.1_R_ENTRY</t>
  </si>
  <si>
    <t>SAM-CHL_ST2.1_R_ENTRY</t>
  </si>
  <si>
    <t>MEA_ST2.1_R_ENTRY</t>
  </si>
  <si>
    <t>MAR_ST2.1_R_ENTRY</t>
  </si>
  <si>
    <t>AFR_ST2.1_R_MID</t>
  </si>
  <si>
    <t>TUR_LP_ST2.1_R_ENTRY</t>
  </si>
  <si>
    <t>RUS_LP_ST2.1_R_ENTRY</t>
  </si>
  <si>
    <t>CentralAsia_ST2.1_R_ENTRY</t>
  </si>
  <si>
    <t>TWN_ST2.1_R_ENTRY</t>
  </si>
  <si>
    <t>APAC_ST2.1_R_ENTRY</t>
  </si>
  <si>
    <t>ISR_ST2.1_R_ENTRY</t>
  </si>
  <si>
    <t>EUR_LP_ST2.1_R_MID</t>
  </si>
  <si>
    <t>Japan (ST2.1_R_MID)</t>
  </si>
  <si>
    <t>Korea (ST2.1_R_MID)</t>
  </si>
  <si>
    <t>SAM-ARG_ST2.1_R_MID</t>
  </si>
  <si>
    <t>SAM-CHL_ST2.1_R_MID</t>
  </si>
  <si>
    <t>MEA_ST2.1_R_MID</t>
  </si>
  <si>
    <t>MAR_ST2.1_R_MID</t>
  </si>
  <si>
    <t>TUR_LP_ST2.1_R_MID</t>
  </si>
  <si>
    <t>CentralAsia_ST2.1_R_MID</t>
  </si>
  <si>
    <t>TWN_ST2.1_R_MID</t>
  </si>
  <si>
    <t>APAC_ST2.1_R_MID</t>
  </si>
  <si>
    <t>ISR_ST2.1_R_MID</t>
  </si>
  <si>
    <t>PRC_ST2.1_R_MID</t>
  </si>
  <si>
    <t>NAM_LP_ST2.1_R_MID</t>
  </si>
  <si>
    <t>06A3 (QuadPlus)</t>
  </si>
  <si>
    <t>[wzr2hi, 30.08.2017] Added 7.510.751.004-01 for DSB1.Hi.V5</t>
  </si>
  <si>
    <t>Renault Scope 2.1 Core Nav, EN_ND_FM_SAM-ARG</t>
  </si>
  <si>
    <t>Renault Scope 2.1 Core Nav, EN_ND_FM_SAM-CHL</t>
  </si>
  <si>
    <t>Renault Scope 2.1 Core Nav, EN_ND_FM_MEA</t>
  </si>
  <si>
    <t>Renault Scope 2.1 Core Nav, EN_ND_FM_AFR</t>
  </si>
  <si>
    <t>Renault Scope 2.1 Core Nav, EN_ND_FM_EUR-TUR</t>
  </si>
  <si>
    <t>Renault Scope 2.1 Core Nav, EN_ND_FM_RUS</t>
  </si>
  <si>
    <t>Renault Scope 2.1 Core Nav, EN_ND_FM_CentralAsia</t>
  </si>
  <si>
    <t>Renault Scope 2.1 Core Nav, EN_ND_FM_TWN</t>
  </si>
  <si>
    <t>Renault Scope 2.1 Core Nav, EN_ND_FM_APAC</t>
  </si>
  <si>
    <t>Renault Scope 2.1 Core Nav, EN_ND_DAB_APAC</t>
  </si>
  <si>
    <t>Renault Scope 2.1 Core Nav, EN_ND_FM_ISR</t>
  </si>
  <si>
    <t>Renault Scope 2.1 Full Nav, MI_NDL_FM_EUR</t>
  </si>
  <si>
    <t>Renault Scope 2.1 Full Nav, MI_NDL_HD_ETH_MEX</t>
  </si>
  <si>
    <t>Renault Scope 2.1 Full Nav, MI_NDL_FM_Korea</t>
  </si>
  <si>
    <t>Renault Scope 2.1 Full Nav, MI_NDL_FM_SAM-ARG</t>
  </si>
  <si>
    <t>Renault Scope 2.1 Full Nav, MI_NDL_FM_SAM-CHL</t>
  </si>
  <si>
    <t>Renault Scope 2.1 Full Nav, MI_NDL_FM_MEA</t>
  </si>
  <si>
    <t>Renault Scope 2.1 Full Nav, MI_NDL_FM_AFR</t>
  </si>
  <si>
    <t>Renault Scope 2.1 Full Nav, MI_NDL_FM_EUR-TUR</t>
  </si>
  <si>
    <t>Renault Scope 2.1 Full Nav, MI_NDL_FM_CentralAsia</t>
  </si>
  <si>
    <t>Renault Scope 2.1 Full Nav, MI_NDL_FM_TWN</t>
  </si>
  <si>
    <t>Renault Scope 2.1 Full Nav, MI_NDL_FM_APAC</t>
  </si>
  <si>
    <t>Renault Scope 2.1 Full Nav, MI_NDL_DAB_APAC</t>
  </si>
  <si>
    <t>Renault Scope 2.1 Full Nav, MI_NDL_FM_ISR</t>
  </si>
  <si>
    <t>Renault Scope 2.1 Full Nav, MI_NDL_FM_PRC</t>
  </si>
  <si>
    <t>Renault Scope 2.1 Full Nav, MI_NDL_DAB_ETH_Korea</t>
  </si>
  <si>
    <t>Renault Scope 2.1 Full Nav, MI_NDL_HD_ETH (PV Test)</t>
  </si>
  <si>
    <t>Renault Scope 2.1 Full Nav, MI_NDL_DAB_ETH_AFR</t>
  </si>
  <si>
    <t>Renault Scope 2.1 Full Nav, MI_NDL_DAB_ETH</t>
  </si>
  <si>
    <t>EUR_P_ST2.1_N_PIVI</t>
  </si>
  <si>
    <t>MEA_ST2.1_N_PIVI</t>
  </si>
  <si>
    <t>IND_ST2.1_RN_ENTRY</t>
  </si>
  <si>
    <t>APAC_ST2.0_N_MID</t>
  </si>
  <si>
    <t>Japan (ST2.0_N_MID)</t>
  </si>
  <si>
    <t>AFR_ST2.0_N_ENTRY</t>
  </si>
  <si>
    <t>NAM_P_ST2.1_N_PIVI</t>
  </si>
  <si>
    <t>AFR_ST2.0_N_MID</t>
  </si>
  <si>
    <t>ISR_ST2.0_N_MID</t>
  </si>
  <si>
    <t>APAC_ST2.1_N_PIVI</t>
  </si>
  <si>
    <t>NAM_ST2.0_N_MID</t>
  </si>
  <si>
    <t>PRC_ST2.0_N_MID</t>
  </si>
  <si>
    <t>NAM_ST2.0_N_ENTRY</t>
  </si>
  <si>
    <t>RUS_ST2.0_N_MID</t>
  </si>
  <si>
    <t>MEA_ST2.0_N_MID</t>
  </si>
  <si>
    <t>SAM-ARG_ST2.0_N_MID</t>
  </si>
  <si>
    <t>TWN_ST2.0_N_MID</t>
  </si>
  <si>
    <t>Japan (ST2.1_N_MID)</t>
  </si>
  <si>
    <t>SAM-ARG_ST2.0_N_ENTRY</t>
  </si>
  <si>
    <t>MEA_ST2.0_N_ENTRY</t>
  </si>
  <si>
    <t>SAM-CHL_ST2.0_N_MID</t>
  </si>
  <si>
    <t>Japan (ST2.1_N_PIVI)</t>
  </si>
  <si>
    <t>Nissan Scope 2 MID Navi EUR (AMFM)</t>
  </si>
  <si>
    <t>7.503.750.814-01,
7.503.750.815-01</t>
  </si>
  <si>
    <t>468
???</t>
  </si>
  <si>
    <t>7.513.750.826-01,
7.513.750.845-01</t>
  </si>
  <si>
    <t>484
485
???
???
???</t>
  </si>
  <si>
    <t>Renault Scope 2.1 Entry Navi EUR DAB ex:eCore</t>
  </si>
  <si>
    <t>[06.06.16] 0x691 = Teseo 3 (checked OK). 7.510.750.807-01('HW 001') deleted because now identical to 22.
[01.09.2017] Corrected obsolete eCore setting. Results in the following identical FCIDs:0016-001D</t>
  </si>
  <si>
    <t>7.513.750.809-01,
7.513.750.842-01</t>
  </si>
  <si>
    <t xml:space="preserve">Renault Scope 2.1 Core Nav, EN_ND_HD_NAM </t>
  </si>
  <si>
    <t xml:space="preserve">Renault Scope 2.1 Core Nav, EN_ND_HD_MEX </t>
  </si>
  <si>
    <t xml:space="preserve">Renault Scope 2.1 Core Nav, EN_ND_DAB_EUR </t>
  </si>
  <si>
    <t xml:space="preserve">Renault Scope 2.1 Core Nav, EN_ND_FM_EUR </t>
  </si>
  <si>
    <t xml:space="preserve">Renault Scope 2.1 Core Nav, EN_ND_FM_PRC </t>
  </si>
  <si>
    <t>Variant table defines "NAM/LAC/GCC" for SDB. This was ignored.
Why do have DAs an SDB-region at all? Decision by SM/PD/PM 13.01.17 DA Variants do not have SDB, nor Gracenote data. 
[wzr2hi, 31.01.2017] 7.505.750.807-03 replaced by FCID 0x0068 below.
[wzr2hi, 31.01.2017] 7.500.750.889-01 replaced by FCID 0x0069 below.
[wzr2hi, 31.01.2017] 7.505.750.803-01 replaced by FCID 0x0069 below.
[wzr2hi, 31.01.2017] 7.505.750.807-02 changed from DA-Entry to DA-Mid according to VMatrix V175.</t>
  </si>
  <si>
    <t>[wzr2hi, 08.05.2017] Added 7.510.750.983-01 for DSB6.Hi ("Fake-Device" based on 7.510.750.862-01 !!!).
[wzr2hi, 08.05.2017] Added 7.510.750.987-01 for DSB6.Hi ("Fake-Device" based on TBD !!!).
[wzr2hi, 16.05.2017] Added 7.510.750.850-99 for Pre-H60A-LAC ("Fake-Device" based on 7.510.750.850-01 !!! Ignored mismatch in Board-ID 06A1 vs 069D!!!).</t>
  </si>
  <si>
    <t>Missing SXM for NA variants is weird. @Ralph: Please check with HW
[wzr2hi, 22.08.2016] No Renault-HW has SXM.</t>
  </si>
  <si>
    <t>[wzr2hi, 19.05.2017] Copied 7.510.750.861-01 from FCID 0x001F above (due to collision after FPGA/CPLD consolidation).</t>
  </si>
  <si>
    <t>No_Chenc</t>
  </si>
  <si>
    <t>Chenc</t>
  </si>
  <si>
    <t>734_CN_831_AUSKRJPN_CHENC</t>
  </si>
  <si>
    <t>China
Encoder</t>
  </si>
  <si>
    <t>[wzr2hi, 30.08.2017] Added 7.513.750.805-01 for TSB1.BrgP (SBX)</t>
  </si>
  <si>
    <t>[wzr2hi, 30.08.2017] Added 7.513.750.808-01 for TSB1.BrgP (SBX)</t>
  </si>
  <si>
    <t>[wzr2hi, 30.08.2017] Added 7.513.750.809-01 for TSB1.BrgP (SBX) (Renault Scope 2.1 Core Nav, EN_ND_HD_NAM)
[wzr2hi, 30.08.2017] Added 7.513.750.842-01 for TSB1.BrgP (SBX) (Renault Scope 2.1 Core Nav, EN_ND_HD (PV Test))</t>
  </si>
  <si>
    <t>[wzr2hi, 30.08.2017] Added 7.513.750.816-01 for TSB1.BrgP (SBX)</t>
  </si>
  <si>
    <t>[wzr2hi, 30.08.2017] Added 7.513.750.817-01 for TSB1.BrgP (SBX)</t>
  </si>
  <si>
    <t>[wzr2hi, 30.08.2017] Added 7.513.750.818-01 for TSB1.BrgP (SBX)</t>
  </si>
  <si>
    <t>[wzr2hi, 30.08.2017] Added 7.513.750.825-01 for TSB1.BrgP (SBX)</t>
  </si>
  <si>
    <t>[wzr2hi, 30.08.2017] Added 7.513.750.826-01 for TSB1.BrgP (SBX) (Renault Scope 2.1 Full Nav, MI_NDL_JPN_Japan)
[wzr2hi, 30.08.2017] Added 7.513.750.845-01 for TSB1.BrgP (SBX) (Renault Scope 2.1 Full Nav, MI_NDL_JPN (PV Test))</t>
  </si>
  <si>
    <t>[wzr2hi, 30.08.2017] Added 7.513.750.834-01 for TSB1.BrgP (SBX)</t>
  </si>
  <si>
    <t>[wzr2hi, 30.08.2017] Added 7.513.750.835-01 for TSB1.BrgP (SBX)</t>
  </si>
  <si>
    <t>[wzr2hi, 30.08.2017] Added 7.513.750.839-01 for TSB1.BrgP (SBX)</t>
  </si>
  <si>
    <t>[wzr2hi, 30.08.2017] Added 7.513.750.840-01 for TSB1.BrgP (SBX)</t>
  </si>
  <si>
    <t>[wzr2hi, 30.08.2017] Added 7.513.750.844-01 for TSB1.BrgP (SBX)</t>
  </si>
  <si>
    <t>0488</t>
  </si>
  <si>
    <t>New DL-Tooling. PF changed names of Jamplayer config files. Incompatibilty in InitRamFS. USB-Stick-Download will fail.
Support for FCIDs &gt;= 00AA (Renault SBX TSB1.BrgP)</t>
  </si>
  <si>
    <t>ISR_ST2.0_N_ENTRY</t>
  </si>
  <si>
    <t>TUR_ST2.0_N_ENTRY</t>
  </si>
  <si>
    <t>MAR_ST2.0_N_ENTRY</t>
  </si>
  <si>
    <t>7.513.750.886-01,
7.513.750.888-01</t>
  </si>
  <si>
    <t>Nissan Scope 2 Entry Navi GCC(ISR) (AM/FM)</t>
  </si>
  <si>
    <t>Nissan Scope 2 Entry Navi EUR(TUR) (AM/FM)</t>
  </si>
  <si>
    <t>7.515.750.810-01,
7.515.750.810-02,
7.513.750.890-01,
7.513.750.894-01</t>
  </si>
  <si>
    <t>[wzr2hi, 08.05.2017] Added 7.515.750.810-01 for TSB4.PgP1
[wzr2hi, 23.05.2017] Added 7.515.750.810-02 for TSB4.PgP1
[wzr2hi, 15.09.2017] Added 7.513.750.890-01 for TSB6.BrgP
[wzr2hi, 15.09.2017] Added 7.513.750.894-01 for TSB6.BrgP</t>
  </si>
  <si>
    <t>[wzr2hi, 15.09.2017] Added 7.513.750.886-01 for TSB6.BrgP
[wzr2hi, 15.09.2017] Added 7.513.750.888-01 for TSB6.BrgP</t>
  </si>
  <si>
    <t>7.510.750.903-01,
7.513.750.847-01,
7.513.750.847-02,
7.513.750.897-01</t>
  </si>
  <si>
    <t>[wzr2hi, 07.06.2017] Added 7.513.750.847-01 for TSB4.Brg1
[wzr2hi, 15.09.2017] Added 7.513.750.847-02 for TSB6.BrgP
[wzr2hi, 15.09.2017] Added 7.513.750.897-01 for TSB6.BrgP</t>
  </si>
  <si>
    <t>[wzr2hi, 15.09.2017] Added 7.513.750.895-01 for TSB6.BrgP
[wzr2hi, 15.09.2017] Added 7.513.750.898-01 for TSB6.BrgP</t>
  </si>
  <si>
    <t>7.513.750.895-01,
7.513.750.898-01</t>
  </si>
  <si>
    <t>Nissan Scope 2 Entry Navi ASR(MAR) (AM/FM)</t>
  </si>
  <si>
    <t>7.515.750.816-01,
7.515.750.816-02,
7.513.750.896-01,
7.513.750.899-01</t>
  </si>
  <si>
    <t>[wzr2hi, 08.05.2017] Added 7.515.750.816-01 for TSB4.PgP1
[wzr2hi, 23.05.2017] Added 7.515.750.816-02 for TSB4.PgP1
[wzr2hi, 15.09.2017] Added 7.513.750.896-01 for TSB6.BrgP
[wzr2hi, 15.09.2017] Added 7.513.750.899-01 for TSB6.BrgP</t>
  </si>
  <si>
    <t>0706</t>
  </si>
  <si>
    <t>0508</t>
  </si>
  <si>
    <t>Support for FCIDs for Nissan TSB6.BrgP. Chenc to Gracenote partition.</t>
  </si>
  <si>
    <t>734_CN_831_AUSKRJPN_CHENC
(EUR/ASR/NZE/GOM with China Encoder for China Mainland only)</t>
  </si>
  <si>
    <t>734_CN
(China)</t>
  </si>
  <si>
    <t>734_CN_831_AUSKRJPN
(EUR/ASR/NZE/GOM for non-China)</t>
  </si>
  <si>
    <t>831_AUSKRJPN
(JPN)</t>
  </si>
  <si>
    <t>AARS_IVI_S2_AC_DARC
(JPN)</t>
  </si>
  <si>
    <t>AARS_IVI_S2_AC_DRM
(IND)</t>
  </si>
  <si>
    <t>Partitioning scheme
(old, deprecated)</t>
  </si>
  <si>
    <t>Partitioning scheme
(new)</t>
  </si>
  <si>
    <t>see comment of column</t>
  </si>
  <si>
    <t>AARS_IVI_S2_AC_HD
(NA+MEX)</t>
  </si>
  <si>
    <t>727_NAM
(US, CAN, MEX)</t>
  </si>
  <si>
    <t>731_EUR
(EUR, RUS, GCC)</t>
  </si>
  <si>
    <t>735_LA
(LAC: Brasil, Argentinia, Chile ...)</t>
  </si>
  <si>
    <t>GCC_SDB
(Middle East, Mediterranian, Egypt, India)</t>
  </si>
  <si>
    <t>EUR_SDB
(Europe, Turkey, South Africa, Australia, New Zealand)</t>
  </si>
  <si>
    <t>[wzr2hi, 19.05.2017] Added 7.510.750.815-02 for DSB7.Hi
[wzr2hi, 07.06.2017] Added 7.513.750.802-02 for TSB4.Brg1</t>
  </si>
  <si>
    <t>7.513.750.802-01,
7.510.750.815-02,
7.513.750.802-02</t>
  </si>
  <si>
    <t>7.510.750.904-02,
7.510.750.997-01,
7.510.750.904-01</t>
  </si>
  <si>
    <t>7.510.750.897-03,
7.510.750.999-01,
7.510.750.897-02</t>
  </si>
  <si>
    <t>[wzr2hi, 14.08.2017] Added 7.510.750.904-02 for DSB9.Hi
[wzr2hi, 14.08.2017] Added 7.510.750.997-01 for DSB9.Hi
[wzr2hi, 20.09.2017] Re-assigned 7.510.750.904-01 for DSB7.Hi from FCID 0x006C to FCID 0x009D (yet still possible since HW is not yet assembled)</t>
  </si>
  <si>
    <t>[wzr2hi, 14.08.2017] Added 7.510.750.897-03 for DSB9.Hi
[wzr2hi, 14.08.2017] Added 7.510.750.999-01 for DSB9.Hi
[wzr2hi, 20.09.2017] Re-assigned 7.510.750.897-02 for DSB7.Hi from FCID 0x0067 to FCID 0x009E (yet still possible since HW is not yet assembled)</t>
  </si>
  <si>
    <t>7.507.750.811-01</t>
  </si>
  <si>
    <t>[wzr2hi, 21.09.2017] Added 7.507.750.811-01 for TSB1.RBAW</t>
  </si>
  <si>
    <t>CRQ140 erfindet die Core Nav,  ist aber noch nicht bestätigt:</t>
  </si>
  <si>
    <t>kein DA@Renault hat SDB</t>
  </si>
  <si>
    <t>alle DA mit DualLite sollen Obigo (Lite) bekommen</t>
  </si>
  <si>
    <t>alle Navis (ausser Access) sollen Obigo bekommen</t>
  </si>
  <si>
    <t>Mid-Nav is identicall to Full-Nav</t>
  </si>
  <si>
    <t>Entry-Nav is either Access-Nav oder Core-Nav (Core-Nav mean: Full-Nav-Feature adapted for Entry-HW)</t>
  </si>
  <si>
    <t>0698 (Quad)</t>
  </si>
  <si>
    <t>[wzr2hi, 08.03.2017] Changed Board-ID to 06A1 according to VM v187
[wzr2hi, xx.xx.2017] Added 7.515.750.801-01 for TSB4.PgP1.
[wzr2hi, 15.03.2017] Added 7.517.750.801-01
[wzr2hi, 15.03.2017] Added 7.517.750.802-01
[wzr2hi, 26.04.2017] Changed GN_734 to 734_CN_831_AUSKRJPN according to Stefan Weber.
[wzr2hi, 14.08.2017] Added 7.510.751.001-01 for DSB10.Hi
[wzr2hi, 21.09.2017] Added 7.517.750.811-01 for TSB1.RBAW</t>
  </si>
  <si>
    <t>7.510.750.862-01,
7.515.750.801-01,
7.517.750.801-01,
7.517.750.802-01,
7.510.751.001-01,
7.517.750.811-01</t>
  </si>
  <si>
    <t>7.510.751.000-01,
7.515.750.805-03</t>
  </si>
  <si>
    <t>[wzr2hi, 14.08.2017] Added 7.510.751.000-01 for DSB9.Hi
[wzr2hi, 26.09.2017] Added 7.515.750.805-03 for TSB8.PgP1</t>
  </si>
  <si>
    <t>Renault Scope 2.1 Affordable DA, EN_AD_FM_noWIFI</t>
  </si>
  <si>
    <t>Renault Scope 2.1 Affordable DA, EN_DD_FM_noMAP
Renault Scope 2.1 Core DA, EN_DD_FM_noMAP</t>
  </si>
  <si>
    <t xml:space="preserve">Renault Scope 2.1 Core DA, EN_DD_HD_noMAP </t>
  </si>
  <si>
    <t>Renault Scope 2.1 Core DA, EN_DD_FM_noMAP</t>
  </si>
  <si>
    <t>Renault Scope 2.1 Core DA, EN_DD_DAB_noMAP</t>
  </si>
  <si>
    <t>PARTITION_SCHEMA8__DARenaultObigo</t>
  </si>
  <si>
    <t>8GB (all Renault Entry-DAs (Affordable, Access, Core))
PARTITION_SCHEMA8__DARenaultObigo</t>
  </si>
  <si>
    <t>Partitioning scheme
(till 23.10.2017, deprecated)</t>
  </si>
  <si>
    <t>32GB (Renault: all Entry-Nav and all Mid-Nav
with 0 Gib &lt; SDB &lt; 1.3GiB Specification)
PARTITION_SCHEMA32__NavNissanNarObigo</t>
  </si>
  <si>
    <t>32GB (Renault: all Entry-Nav and all Mid-Nav
with 1.3GiB &lt; SDB &lt; 2.8GiB Specification)
PARTITION_SCHEMA32__NavNissanObigo</t>
  </si>
  <si>
    <t>32GB (Nissan: all Entry-Nav and all Mid-Nav
with 0 Gib &lt; SDB &lt; 1.3GiB Specification)
PARTITION_SCHEMA32__NavSmallSdb</t>
  </si>
  <si>
    <t>32GB (Nissan: all Entry-Nav and all Mid-Nav
with 1.3GiB &lt; SDB &lt; 2.8GiB Specification)
PARTITION_SCHEMA32__NavLargeSdb</t>
  </si>
  <si>
    <t>Board-ID</t>
  </si>
  <si>
    <t>068C (Single)</t>
  </si>
  <si>
    <t>068F (DL)</t>
  </si>
  <si>
    <t>0687 (Single)</t>
  </si>
  <si>
    <t>0697 (DL)</t>
  </si>
  <si>
    <t>RAM
implemented
[GB]</t>
  </si>
  <si>
    <t>Nissan Scope 2.1 MID Navi ASEAN-B(VNM/THA) (AM/FM)</t>
  </si>
  <si>
    <t>APAC_ST2.1_N_MID</t>
  </si>
  <si>
    <t>7.515.750.864-04</t>
  </si>
  <si>
    <t>Nissan Scope 2.1 MID Navi ASEAN-A(MLY/IND/…) (AM/FM)</t>
  </si>
  <si>
    <t>7.515.750.831-02</t>
  </si>
  <si>
    <t>Nissan Scope 2.1 MID DA ASEAN-B(VNM/THA) (AM/FM)</t>
  </si>
  <si>
    <t>7.505.750.834-01</t>
  </si>
  <si>
    <t>[wzr2hi, 25.10.2017] Added 7.505.750.834-01 for TSB8.PgP1</t>
  </si>
  <si>
    <t>[wzr2hi, 25.10.2017] Added 7.515.750.831-02 for TSB8.PgP1</t>
  </si>
  <si>
    <t>[wzr2hi, 25.10.2017] Added 7.515.750.864-04 for TSB8.PgP1</t>
  </si>
  <si>
    <t>7.505.750.821-02</t>
  </si>
  <si>
    <t>Nissan Scope 2.1 MID DA ASEAN-A(PRC/TWN/MLY/IND/…) (AM/FM)</t>
  </si>
  <si>
    <t>Nissan Scope 2 MID DA NAM(CAN) (AM/FM)</t>
  </si>
  <si>
    <t>Nissan Scope 2 MID DA NAM(US) (HD)</t>
  </si>
  <si>
    <t>7.510.750.908-03</t>
  </si>
  <si>
    <t>7.510.750.907-03</t>
  </si>
  <si>
    <t>[wzr2hi, 25.10.2017] Added 7.510.750.908-03 for DSB10.Hi ("Fake-Device" based on 7.510.750.908-01 (Quad/32GB/Teseo) !!!). Should stay in unique FCID to allow crazy changes.</t>
  </si>
  <si>
    <t>[wzr2hi, 25.10.2017] Added 7.510.750.907-03 for DSB10.Hi ("Fake-Device" based on 7.510.750.907-01 (Quad/32GB/Teseo) !!!). Should stay in unique FCID to allow crazy changes.</t>
  </si>
  <si>
    <t>Nissan Scope 2.1 MID DA ASEAN-A/CHN/TWN (AM/FM)</t>
  </si>
  <si>
    <t>[wzr2hi, 25.10.2017] Added 7.505.750.821-02 for TSB8.PgP1 (0x00D4 identical to 0x00D9, but due to ST2.0 vs. ST2.1 clash kept in own FCID)</t>
  </si>
  <si>
    <t>DA-Core</t>
  </si>
  <si>
    <t>NAV-Core</t>
  </si>
  <si>
    <t>NAV-Full</t>
  </si>
  <si>
    <t>NAV-Access</t>
  </si>
  <si>
    <t>DA-Access</t>
  </si>
  <si>
    <t>DA-Affordable</t>
  </si>
  <si>
    <t>[wzr2hi, 30.08.2017] Added 7.503.750.814-01 for TSB1.BrgP (SBX). This is an DA-Affordable. This no problem as long as there is no difference between DA-Affordable and DA-Core (Obigo?). Do not add more DA-Affordable to this FCID.
[wzr2hi, 30.08.2017] Added 7.503.750.815-01 for TSB1.BrgP (SBX)</t>
  </si>
  <si>
    <t xml:space="preserve">[wzr2hi, 26.10.2017] 7.510.750.871-01 is a Nav-Core. This no problem as long as there is no difference between NAV-Access and NAV-Core. Do not add more NAV-Core to this FCID.
</t>
  </si>
  <si>
    <t>Renault Scope 2.1 Full Navi NAM HD</t>
  </si>
  <si>
    <t>[mei4hi] Inconsistent data in variant matrix. Nav device without map and SDB data.
[wzr2hi, 03.02.2017] Now Variant Matrix states SDB and MAP for EUR.
[wzr2hi, 01.09.2017] Corrected obsolete eCore setting.</t>
  </si>
  <si>
    <t>Nav-Access</t>
  </si>
  <si>
    <t>Nav-Core</t>
  </si>
  <si>
    <t>Nav-Full</t>
  </si>
  <si>
    <t>rivie_da_core</t>
  </si>
  <si>
    <t>rivie_nav_full</t>
  </si>
  <si>
    <t>Renault Scope 2.1 Full Nav, MI_NDL_FM_Japan</t>
  </si>
  <si>
    <t>0724</t>
  </si>
  <si>
    <t>0730</t>
  </si>
  <si>
    <t>Consolidation of RFS-Names. Obigo implemented but disabled for Renault 16GB-Entry-Nav.</t>
  </si>
  <si>
    <t>Support for image-based RFS-Download. Still disabled. First "Compatibility-Jump-Gate" for the time when the feature is enabled. Beginning of RFS-Consolidation.</t>
  </si>
  <si>
    <t>0514</t>
  </si>
  <si>
    <t>Sync with 0730. Removed China-RFS.</t>
  </si>
  <si>
    <t>7.513.750.900-01</t>
  </si>
  <si>
    <t>AFR_ST2.1_R_ENTRY</t>
  </si>
  <si>
    <t>Nissan Scope 2 MID DA LAC(BRA/AGT/MEX) (AM/FM)</t>
  </si>
  <si>
    <t>Renault Scope 2.1 Access Nav, EN_NAF_FM_RUS</t>
  </si>
  <si>
    <t>Renault Scope 2.1 Access Nav, EN_NAF_FM_APAC</t>
  </si>
  <si>
    <t xml:space="preserve">Renault Scope 2.1 Access Nav, EN_NAF_FM_CentralAsia </t>
  </si>
  <si>
    <t>Renault Scope 2.1 Access Nav, EN_NAF_FM_ISR</t>
  </si>
  <si>
    <t>Renault Scope 2.1 Access Nav, EN_NAF_FM_MEX</t>
  </si>
  <si>
    <t>Nissan Scope 2.1 MID Navi EUR (DAB)</t>
  </si>
  <si>
    <t>0734</t>
  </si>
  <si>
    <t>Support for FCIDs for Nissan TSB7.BrgP. Support for FCIDs for Renault DSB4.Hi.</t>
  </si>
  <si>
    <t>0515</t>
  </si>
  <si>
    <t>EUL_SDB</t>
  </si>
  <si>
    <t>7.510.751.005-01</t>
  </si>
  <si>
    <t>7.500.750.843-01</t>
  </si>
  <si>
    <t>7.510.751.006-01</t>
  </si>
  <si>
    <t>SAM-CHL_ST2.0_N_ENTRY</t>
  </si>
  <si>
    <t>TWN_ST2.1_N_MID</t>
  </si>
  <si>
    <t>RUS_ST2.1_N_MID</t>
  </si>
  <si>
    <t>7.510.750.848-01,
7.510.750.848-02,
7.515.750.800-01,
7.510.750.833-02,
7.510.750.907-01,
7.510.750.974-01,
7.510.750.888-02,
7.515.750.802-02,
7.515.750.800-02,
7.510.750.974-04</t>
  </si>
  <si>
    <t>592
593
???
???
???</t>
  </si>
  <si>
    <t xml:space="preserve">
473
???
???
???</t>
  </si>
  <si>
    <t>7.510.751.008-01,
7.513.750.876-01</t>
  </si>
  <si>
    <t>[wzr2hi, 03.11.2017] Added 7.510.751.008-01 for DSB4.Hi
[wzr2hi, 13.11.2017] Added 7.513.750.876-01 for TSB1.BrgP</t>
  </si>
  <si>
    <t>[wzr2hi, 13.11.2017] Added 7.510.751.005-01 for DSB11.Hi</t>
  </si>
  <si>
    <t>[wzr2hi, 13.11.2017] Added 7.500.750.843-01 for DSB11.Hi</t>
  </si>
  <si>
    <t>[wzr2hi, 13.11.2017] Added 7.510.751.006-01 for DSB11.Hi</t>
  </si>
  <si>
    <t>[wzr2hi, 03.11.2017] Added 7.513.750.900-01 for TSB7.BrgP</t>
  </si>
  <si>
    <t>Nissan Scope 2 Entry Navi LAC(SAM-CHL) (AM/FM)</t>
  </si>
  <si>
    <t>Nissan Scope 2 Entry Navi LAC(SAM-ARG) (AM/FM)</t>
  </si>
  <si>
    <t>Nissan Scope 2 Entry Navi  GCC(ISR) (AM/FM)</t>
  </si>
  <si>
    <t>Nissan Scope 2.1 MID DA ASEAN-A(TWN) (AM/FM) (CPLD)</t>
  </si>
  <si>
    <t>Nissan Scope 2 MID Navi ASEAN-B(VNM) (AM/FM)</t>
  </si>
  <si>
    <t>Nissan Scope 2 MID Navi LAC(SAM-CHL) (AM/FM)</t>
  </si>
  <si>
    <t>Nissan Scope 2 MID Navi ASEAN-A(TWN) (AM/FM)</t>
  </si>
  <si>
    <t>Nissan Scope 2.1 MID Navi ASEAN-A(TWN) (AM/FM)</t>
  </si>
  <si>
    <t>Nissan Scope 2.1 MID Navi RUS(RUS) (AM/FM)</t>
  </si>
  <si>
    <t>GenCtrl</t>
  </si>
  <si>
    <t>ignore</t>
  </si>
  <si>
    <t>use</t>
  </si>
  <si>
    <t>Support for FCIDs for Nissan TSB7.BrgP. Support for FCIDs for Renault DSB4.Hi. Unfortunately some Board-Ids were not supported by the manifest.xml</t>
  </si>
  <si>
    <t>0517</t>
  </si>
  <si>
    <t>0736</t>
  </si>
  <si>
    <t>FCIDs for Nissan: TSB8.BrgP, TSB9.BrgP(ST2.0), TSB10.PgP1, TSB11.PgP1, DSB11.1.Hi, DSB11.2.Hi, PP9.PgP1, PP10.PgP1 // Renault: TSB1.BrgP // Sync with N-VM-DS v556 R-VM-DS v199 P-VM-DS v87 // Fixes</t>
  </si>
  <si>
    <t>Added</t>
  </si>
  <si>
    <t>Sample Build</t>
  </si>
  <si>
    <t>Bosch_Navigation</t>
  </si>
  <si>
    <t>No_eCore</t>
  </si>
  <si>
    <t>0682 (DL)</t>
  </si>
  <si>
    <t>0681 (DL)</t>
  </si>
  <si>
    <t>??? (Single)</t>
  </si>
  <si>
    <t>7.505.750.809-01,
7.505.750.823-01,
7.505.750.824-01,
7.505.750.831-01,
7.505.750.832-01,
7.503.750.835-01,
7.505.750.831-02,
7.505.750.824-03</t>
  </si>
  <si>
    <t>[wzr2hi, 08.05.2017] Added 7.505.750.809-01 for TSB4.PgP1
[wzr2hi, 08.05.2017] Added 7.505.750.823-01 for TSB4.PgP1
[wzr2hi, 08.05.2017] Added 7.505.750.824-01 for TSB4.PgP1
[wzr2hi, 23.05.2017] Added 7.505.750.831-01 for TSB4.PgP1
[wzr2hi, 23.05.2017] Added 7.505.750.832-01 for TSB4.PgP1
[wzr2hi, 03.11.2017] Added 7.503.750.835-01 for TSB7.BrgP
[wzr2hi, 13.11.2017] Added 7.505.750.831-02 for TSB10.PgP1
[wzr2hi, 22.11.2017] Added 7.505.750.824-03 for TSB11.PgP1</t>
  </si>
  <si>
    <t>Stopped Support of FCID / PN#, e.g. due to HW is not supported by SW anymore</t>
  </si>
  <si>
    <t>FCID shall not be used anymore for new devices.</t>
  </si>
  <si>
    <t>block</t>
  </si>
  <si>
    <t>AFR_SDB</t>
  </si>
  <si>
    <t>CAS_SDB</t>
  </si>
  <si>
    <t>DA1_SDB</t>
  </si>
  <si>
    <t>DA2_SDB</t>
  </si>
  <si>
    <t>0744</t>
  </si>
  <si>
    <t>Implements new SDB/GCN according to CRQ 0277</t>
  </si>
  <si>
    <t>RUS_ST2.1_N_PIVI</t>
  </si>
  <si>
    <t>PRC_ST2.1_N_PIVI</t>
  </si>
  <si>
    <t>TWN_ST2.1_N_PIVI</t>
  </si>
  <si>
    <t>SAM-CHL_ST2.1_N_PIVI</t>
  </si>
  <si>
    <t xml:space="preserve">V850_PIVI_C2 </t>
  </si>
  <si>
    <t>0746</t>
  </si>
  <si>
    <t>FCIDs for Nissan PIVI: TSB1.PgP1 (C-Sample)</t>
  </si>
  <si>
    <t>Does not yet implement new SDB/GCN according to CRQ 0277</t>
  </si>
  <si>
    <t>0519, 0520</t>
  </si>
  <si>
    <t>0750</t>
  </si>
  <si>
    <t>EXTFPGA-Download is temporarily disabled for JPN-PIVIs</t>
  </si>
  <si>
    <t>0748</t>
  </si>
  <si>
    <t>EXTFPGA-Download fails for JPN-PIVIs.</t>
  </si>
  <si>
    <t>Often breaks during Teseo update, due to an problem of V850-&gt;CSM-&gt;Flooding ERRMEM.</t>
  </si>
  <si>
    <t>[wzr2hi, 19.05.2017] Added 7.500.750.823-02 for DSB7.Hi
[wzr2hi, 01.06.2017] Added 7.505.750.816-99 for a Fake-Device which makes a physical 7.505.750.816-01 a virtual 7.510.750.823-02
[wzr2hi, 03.11.2017] Added 7.503.750.834-01 for TSB7.BrgP
[wzr2hi, 13.11.2017] Added 7.505.750.815-02 for TSB10.PgP1
[wzr2hi, 13.11.2017] Added 7.505.750.815-03 for TSB11.PgP1
[wzr2hi, 12.12.2017] Added 7.503.750.862-01 for TSB7.BrgP</t>
  </si>
  <si>
    <t>7.500.750.823-02,
7.505.750.816-99,
7.503.750.834-01,
7.505.750.815-02,
7.505.750.815-03,
7.503.750.862-01</t>
  </si>
  <si>
    <t>0744 to 0752</t>
  </si>
  <si>
    <t>PRC_SDB to big for partition</t>
  </si>
  <si>
    <t>0754</t>
  </si>
  <si>
    <t>V850 has a bug which prevents proper download to new SW even with DL-Tool</t>
  </si>
  <si>
    <t>PRC_SDB fixed to fit into partition</t>
  </si>
  <si>
    <t>0522</t>
  </si>
  <si>
    <t>Implements new SDB/GCN according to CRQ 0277 with fixed PRD_SDB</t>
  </si>
  <si>
    <t>Renault Scope 3.0 Full Nav, MI_NDL_DAB_ETH_EUR</t>
  </si>
  <si>
    <t>Renault Scope 3.0 Full Nav, MI_NDL_DAB_ETH_Korea</t>
  </si>
  <si>
    <t>Renault_HMI_Scope_3.0</t>
  </si>
  <si>
    <t>Nissan_HMI_Scope_3.1</t>
  </si>
  <si>
    <t>7.510.751.018-01</t>
  </si>
  <si>
    <t>Support for FCIDs for Nissan TSB6.BrgP. First time support for Board-ID 0x06A3.</t>
  </si>
  <si>
    <t>7.510.751.016-01</t>
  </si>
  <si>
    <t>[wzr2hi, 08.01.2018] Added 7.510.751.016-01 for Concept</t>
  </si>
  <si>
    <t>Nissan Scope 2 MID Navi AFR(MEA) (AM/FM)</t>
  </si>
  <si>
    <t>7.505.750.804-01,
7.505.750.830-02,
7.505.750.830-03,
7.505.750.830-04</t>
  </si>
  <si>
    <t>[wzr2hi, 19.05.2017] Added 7.505.750.804-01 for TSB4.PgP1
[wzr2hi, 23.05.2017] Added 7.505.750.830-02 for TSB4.PgP1
[wzr2hi, 13.11.2017] Added 7.505.750.830-03 for TSB10.PgP1
[wzr2hi, 08.01.2018] Added 7.505.750.830-04 for TSB12.PgP1</t>
  </si>
  <si>
    <r>
      <t>7.505.750.821-01,
7.505.750.822-01,
7.505.750.804-02,
7.507.750.812-01</t>
    </r>
    <r>
      <rPr>
        <b/>
        <sz val="10"/>
        <rFont val="Arial"/>
        <family val="2"/>
      </rPr>
      <t>,</t>
    </r>
    <r>
      <rPr>
        <sz val="10"/>
        <rFont val="Arial"/>
        <family val="2"/>
      </rPr>
      <t xml:space="preserve">
7.505.750.804-03,
7.505.750.804-04</t>
    </r>
  </si>
  <si>
    <t>[wzr2hi, 19.05.2017] Added 7.505.750.821-01 for TSB4.PgP1
[wzr2hi, 19.05.2017] Added 7.505.750.822-01 for TSB4.PgP1
[wzr2hi, 23.05.2017] Added 7.505.750.804-02 for TSB4.PgP1
[wzr2hi, 21.09.2017] Added 7.507.750.812-01 for TSB1.RBAW
[wzr2hi, 13.11.2017] Added 7.505.750.804-03 for TSB10.PgP1
[wzr2hi, 08.01.2018] Added 7.505.750.804-04 for TSB12.PgP1</t>
  </si>
  <si>
    <t>7.515.750.837-02,
7.515.750.837-03</t>
  </si>
  <si>
    <t>[wzr2hi, 13.11.2017] Added 7.515.750.837-02 for TSB10.PgP1
[wzr2hi, 08.01.2018] Added 7.515.750.837-03 for TSB12.PgP1</t>
  </si>
  <si>
    <t>Nissan Scope 2 MID Navi AFR(SAF) (AM/FM)</t>
  </si>
  <si>
    <t>Nissan Scope 2 MID Navi AFR (AM/FM)</t>
  </si>
  <si>
    <t>Renault-FCIDs  0x0016, 0x0017, 0x001C, 0x001D not supported anymore.</t>
  </si>
  <si>
    <t>TUR_ST2.1_N_MID</t>
  </si>
  <si>
    <t>Nissan Scope 2.1 MID Navi PRC(TWN) (AM/FM)</t>
  </si>
  <si>
    <t>7.510.750.860-02,
7.510.750.846-01,
7.513.750.803-01,
7.510.750.846-02,
7.510.750.846-03,
7.513.750.848-01,
7.513.750.848-02,
7.513.750.861-01,
7.513.750.861-02,
7.513.750.803-03,
7.513.750.848-03</t>
  </si>
  <si>
    <t>[wzr2hi, 21.02.2017] Added 7.513.750.803-01 for TSB4.BrgP
[wzr2hi, 15.03.2017] Added 7.513.750.846-02 for DSB4.Hi
[wzr2hi, 15.03.2017] Added 7.513.750.846-03 for DSB4.Hi
[wzr2hi, 07.06.2017] Added 7.513.750.848-01 for TSB4.BrgP
[wzr2hi, 07.06.2017] Added 7.513.750.848-02 for TSB4.BrgP
[wzr2hi, 07.06.2017] Added 7.513.750.861-01 for TSB4.BrgP
[wzr2hi, 15.09.2017] Added 7.513.750.861-02 for TSB6.BrgP
[wzr2hi, 15.09.2017] Added 7.513.750.803-03 for TSB6.BrgP
[wzr2hi, 15.09.2017] Added 7.513.750.848-03 for TSB6.BrgP</t>
  </si>
  <si>
    <t>According to Denny and VM DS V676:</t>
  </si>
  <si>
    <t>All ST3.1 Nissan Navigations are Mid-Nav with High-Resolution</t>
  </si>
  <si>
    <t>rnaivi_nav_jpn</t>
  </si>
  <si>
    <t>rnaivi_nav_high</t>
  </si>
  <si>
    <t>7.505.750.990</t>
  </si>
  <si>
    <t>[wzr2hi, 07.02.2018] Added 7.505.750.990 for PreProd10.2.PgP1</t>
  </si>
  <si>
    <t>7.513.750.970-01</t>
  </si>
  <si>
    <t>[wzr2hi, 20.02.2018] Added 7.513.750.970-01 for TSB10.BrgP</t>
  </si>
  <si>
    <t>Nissan Scope 2.1 Entry DA WW(LAC/GCC/MEX/ZAF/TUR/MEA/EGY/
ASEAN-A&amp;B/CHN/TWN/KOR) (AM/FM)</t>
  </si>
  <si>
    <t>Nissan Scope 2 Entry Navi AFR(SAF) (AM/FM)</t>
  </si>
  <si>
    <t>Nissan Scope 2 MID Navi LAC(SAM-AGT/BRA/other) (AM/FM)</t>
  </si>
  <si>
    <t>Nissan Scope 2 Entry Navi AFR(MEA/EGP) (AM/FM)</t>
  </si>
  <si>
    <t>block_le20</t>
  </si>
  <si>
    <t>block_le21</t>
  </si>
  <si>
    <t>7.510.750.926-04</t>
  </si>
  <si>
    <t>7.510.750.929-04</t>
  </si>
  <si>
    <t>7.510.750.920-04</t>
  </si>
  <si>
    <t>[wzr2hi, 30.06.2017] Added 7.510.750.926-04 for DSB2.Hi</t>
  </si>
  <si>
    <t>[wzr2hi, 30.06.2017] Added 7.510.750.929-04 for DSB2.Hi</t>
  </si>
  <si>
    <t>[wzr2hi, 30.06.2017] Added 7.510.750.920-04 for DSB2.Hi</t>
  </si>
  <si>
    <t>Renault Scope 2.1 Access Nav, EN_NAF_DAB_APAC</t>
  </si>
  <si>
    <t>Nissan Scope 2 Entry DA DA2(LAC/AFR/MEA/CAS/RUS) (AM/FM)</t>
  </si>
  <si>
    <t>Nissan Scope 2.1 MID Navi ASEAN-A/ASEAN-B APAC (AM/FM)</t>
  </si>
  <si>
    <t>7.513.751.022-01</t>
  </si>
  <si>
    <t>DA-Full</t>
  </si>
  <si>
    <t>[wzr2hi, 13.03.2018] Added 7.513.751.022-01 for TSB2.BrgP (V4/V5 SBX)</t>
  </si>
  <si>
    <t>7.513.750.906-01,
7.513.750.906-02</t>
  </si>
  <si>
    <t>Renault Scope 2.1 Full Nav, MI_NDL_DAB_[ETH]_EUR</t>
  </si>
  <si>
    <t>7.513.750.838-01,
7.513.750.838-02</t>
  </si>
  <si>
    <t>[wzr2hi, 30.08.2017] Added 7.513.750.838-01 for TSB1.BrgP (SBX)
[wzr2hi, 13.03.2018] Added 7.513.750.838-02 for TSB2.BrgP (V4/V5 SBX)</t>
  </si>
  <si>
    <t>Renault Scope 2.1 Core Nav, EN_ND_HD_NAR</t>
  </si>
  <si>
    <t>481
???</t>
  </si>
  <si>
    <t>Renault Scope 2.1 Core Nav, EN_ND_FM_Iran</t>
  </si>
  <si>
    <t>7.513.751.021-01,
7.513.750.827-02</t>
  </si>
  <si>
    <t>[wzr2hi, 13.03.2018] Added 7.513.751.021-01 for TSB2.BrgP (V4/V5 SBX)
[wzr2hi, 13.03.2018] Added 7.513.750.827-02 for TSB2.BrgP (V4/V5 SBX)</t>
  </si>
  <si>
    <t>Renault Scope 2.1 Full Nav, MI_NDL_FM_Iran</t>
  </si>
  <si>
    <t>Iran_ST2.1_R_ENTRY</t>
  </si>
  <si>
    <t>Iran_ST2.1_R_MID</t>
  </si>
  <si>
    <t>7.515.751.025-01</t>
  </si>
  <si>
    <t>[wzr2hi, 20.03.2018] Added 7.515.751.025-01 for TSB13.1.PgP1</t>
  </si>
  <si>
    <t>Nissan Scope 2 MID DA PRC/ASEAN/AUS/KOR (AM/FM)</t>
  </si>
  <si>
    <t>Nissan Scope 2 MID DA LAC/MEX/AFR/MEA/CAS/RUS (AM/FM) (CPLD)</t>
  </si>
  <si>
    <t>Nissan Scope 2 MID DA PRC/TWN/ASEAN/AUS/KOR (AM/FM) (CPLD)</t>
  </si>
  <si>
    <t>Nissan Scope 2 MID Navi CAS(ISR) (AM/FM)</t>
  </si>
  <si>
    <t>Nissan Scope 2 MID Navi PRC(TWN) (AM/FM) (CPLD)</t>
  </si>
  <si>
    <t>Nissan Scope 2 MID Navi LAC(SAM-AGT) (AM/FM) (CPLD)</t>
  </si>
  <si>
    <t>Nissan Scope 2 MID Navi LAC(SAM-CHL) (AM/FM) (CPLD)</t>
  </si>
  <si>
    <t>Nissan Scope 2 MID Navi RUS(RUS) (AM/FM) (CPLD)</t>
  </si>
  <si>
    <t>[wzr2hi, 21.03.2018] Added 7.515.750.816-03 for TSB13.3.PgP1</t>
  </si>
  <si>
    <t>7.515.750.816-03</t>
  </si>
  <si>
    <t>Nissan Scope 2 DA-Entry NAM(US/CAN) (AM/FM)</t>
  </si>
  <si>
    <t>[wzr2hi, 21.03.2018] Added 7.505.750.818-04 for TSB13.3.PgP1
[wzr2hi, 21.03.2018] Added 7.505.750.803-04 for TSB13.3.PgP1</t>
  </si>
  <si>
    <t>7.505.750.818-04,
7.505.750.803-04</t>
  </si>
  <si>
    <t>Nissan Scope 2.1 Entry Navi AFR(MEA/EGP) (AM/FM)</t>
  </si>
  <si>
    <t>SAM-ARG_ST2.1_N_MID</t>
  </si>
  <si>
    <t>ISR_ST2.1_N_MID</t>
  </si>
  <si>
    <t>[wzr2hi, 21.03.2018] Added 7.515.750.986-01 for TSB13.4.PgP1</t>
  </si>
  <si>
    <t>7.515.750.986-01</t>
  </si>
  <si>
    <t>Nissan Scope 2.1 MID DA PRC/TWN/ASEAN-A/ASEAN-B (AM/FM)</t>
  </si>
  <si>
    <t>Nissan Scope 2.1 MID Navi CAS(ISR) (AM/FM)</t>
  </si>
  <si>
    <t>Nissan Scope 2.1 MID Navi PRC(APAC) (AM/FM)</t>
  </si>
  <si>
    <t>Nissan Scope 2.1 MID Navi NAM(MEX) (HD)</t>
  </si>
  <si>
    <t>Nissan Scope 2.1 MID Navi LAC(SAM-ARG) (AM/FM)</t>
  </si>
  <si>
    <t>0539</t>
  </si>
  <si>
    <t>New SXM-Firmware (re-generated Media)</t>
  </si>
  <si>
    <t>0540</t>
  </si>
  <si>
    <t>Old SXM-Firmware again</t>
  </si>
  <si>
    <t>0541</t>
  </si>
  <si>
    <t>New SXM-Firmware again</t>
  </si>
  <si>
    <t>1116</t>
  </si>
  <si>
    <t>"rivie_rfs_nav" has Nissan-Navi by accident. Might lead to resets.</t>
  </si>
  <si>
    <t>1116 to 1118</t>
  </si>
  <si>
    <t>IPCM mounts RFS read-write and creates a file.</t>
  </si>
  <si>
    <t>ISR_ST2.1_N_PIVI</t>
  </si>
  <si>
    <t>TUR_ST2.1_N_PIVI</t>
  </si>
  <si>
    <t>SAM-ARG_ST2.1_N_PIVI</t>
  </si>
  <si>
    <t>V850_PIVI_C2</t>
  </si>
  <si>
    <t>7.515.750.934-05,
7.515.750.934-06</t>
  </si>
  <si>
    <t>[wzr2hi, 01.12.2017] Added 7.515.750.934-05 for TSB1.PgP1 (C-Sample)
[wzr2hi, 05.04.2018] Added 7.515.750.934-06 for TSB2.PgP1 (C2-Sample)</t>
  </si>
  <si>
    <t>[wzr2hi, 23.10.2017] Added 7.513.750.906-01 for TSB1.BrgP (SBX) (Renault Scope 2.1 Full Nav, MI_NDL_FM_Japan)
[wzr2hi, 13.03.2018] Added 7.513.750.906-02 for TSB2.BrgP (V4/V5 SBX) =&gt; was later canceled.</t>
  </si>
  <si>
    <t xml:space="preserve">Renault Scope 3.0 Core DA, EN_DD_HD_noMAP </t>
  </si>
  <si>
    <t>Renault Scope 3.0 Core DA, EN_DD_DAB_noMAP</t>
  </si>
  <si>
    <t>Renault Scope 3.0 Core DA, EN_DD_FM_noMAP</t>
  </si>
  <si>
    <t>Renault Scope 3.0 Core Nav, EN_ND_FM_Iran</t>
  </si>
  <si>
    <t>Renault Scope 3.0 Core Nav, EN_ND_FM_MEA</t>
  </si>
  <si>
    <t>Renault Scope 3.0 Full Nav, MI_NDL_FM_MEA</t>
  </si>
  <si>
    <t>Renault Scope 3.0 Full Nav, MI_NDL_HD_ETH_NAM</t>
  </si>
  <si>
    <t>Renault Scope 3.0 Full Nav, MI_NDL_DAB_[ETH]_EUR</t>
  </si>
  <si>
    <t>7.510.750.835-01, 
7.510.750.812-01,
7.510.750.809-01</t>
  </si>
  <si>
    <t>7.510.750.827-01,
7.510.750.805-01 (HW02;HW03)</t>
  </si>
  <si>
    <t>7.510.750.838-01,
7.510.750.836-01,
7.510.750.811-01,
7.510.750.810-01</t>
  </si>
  <si>
    <t>7.510.750.826-01,
7.510.750.839-01</t>
  </si>
  <si>
    <t>7.510.750.837-01</t>
  </si>
  <si>
    <t>7.510.750.869-01[discarded]</t>
  </si>
  <si>
    <t>7.510.750.804-99</t>
  </si>
  <si>
    <t>7.510.750.810-99</t>
  </si>
  <si>
    <t>7.510.750.812-99,
7.510.750.809-99</t>
  </si>
  <si>
    <t>7.510.750.809-76</t>
  </si>
  <si>
    <t>7.510.750.809-91</t>
  </si>
  <si>
    <t>7.510.750.809-82</t>
  </si>
  <si>
    <t>7.510.750.809-89</t>
  </si>
  <si>
    <t>7.510.750.809-98</t>
  </si>
  <si>
    <r>
      <rPr>
        <sz val="10"/>
        <rFont val="Arial"/>
        <family val="2"/>
      </rPr>
      <t>7.510.750.800-99 (' '),</t>
    </r>
    <r>
      <rPr>
        <sz val="10"/>
        <color theme="1"/>
        <rFont val="Arial"/>
        <family val="2"/>
      </rPr>
      <t xml:space="preserve">
7.510.750.801-01 ( ' ' )</t>
    </r>
  </si>
  <si>
    <t>7.510.750.800-98 ( ' ' ),
7.510.750.801-98( ' ' )</t>
  </si>
  <si>
    <t>7.510.750.801-99 ( ' ' ),
7.510.750.800-01 ( ' ' )</t>
  </si>
  <si>
    <t>7.510.750.804-01 (HW03),
7.510.750.804-97 (HW03),
7.500.750.801-01 ( ' ' ),
7.500.750.801-97 ( ' ' )</t>
  </si>
  <si>
    <t>7.500.750.800-01 (' ')</t>
  </si>
  <si>
    <t>7.510.750.807-01 (' ')</t>
  </si>
  <si>
    <t>7.510.750.829-01 (' ')</t>
  </si>
  <si>
    <t>7.510.750.806-01 (' ')</t>
  </si>
  <si>
    <t>7.510.750.834-01 (' ')</t>
  </si>
  <si>
    <t>7.500.750.802-01 (' ')</t>
  </si>
  <si>
    <t>7.500.750.812-01 (' ')</t>
  </si>
  <si>
    <t>735_LA_831_AUSKRJPN</t>
  </si>
  <si>
    <t>MEA_ST2.1_N_ENTRY</t>
  </si>
  <si>
    <t>Renault Scope 3.0 Full Nav, MI_NDL_FM_EUR</t>
  </si>
  <si>
    <t xml:space="preserve">Renault Scope 3.0 Core Nav, EN_ND_FM_EUR </t>
  </si>
  <si>
    <t xml:space="preserve">Renault Scope 3.0 Core Nav, EN_ND_DAB_EUR </t>
  </si>
  <si>
    <t>MEA_ST2.1_N_MID</t>
  </si>
  <si>
    <t>Nissan Scope 2.1 Mid Navi AFR(MEA/EGP) (AM/FM)</t>
  </si>
  <si>
    <t>7.515.750.807-04</t>
  </si>
  <si>
    <t>[wzr2hi, 07.05.2018] Added 7.515.750.807-04 for TSB13.3.PgP1</t>
  </si>
  <si>
    <t>Nissan Scope 2.1 Entry Navi NAM(MEX) (HD)</t>
  </si>
  <si>
    <t>SAM-ARG_ST2.1_N_ENTRY</t>
  </si>
  <si>
    <t>SAM-CHL_ST2.1_N_ENTRY</t>
  </si>
  <si>
    <t>7.515.751.134-01</t>
  </si>
  <si>
    <t>7.515.751.135-01</t>
  </si>
  <si>
    <t>[wzr2hi, 07.05.2018] Added 7.515.751.134-01 for TSB14.5.PgP1</t>
  </si>
  <si>
    <t>[wzr2hi, 07.05.2018] Added 7.515.751.135-01 for TSB14.5.PgP1</t>
  </si>
  <si>
    <t>Nissan Scope 2.1 Entry Navi LAC(SAM-ARG) (AM/FM)</t>
  </si>
  <si>
    <t>Nissan Scope 2.1 Entry Navi LAC(SAM-CHL) (AM/FM)</t>
  </si>
  <si>
    <t>TUR_ST2.0_N_MID</t>
  </si>
  <si>
    <t>Nissan Scope 2.0 MID Navi EUR(TKY) (AM/FM)</t>
  </si>
  <si>
    <t>Nissan Scope 2.0 MID Navi ASEAN-A/B (AM/FM)</t>
  </si>
  <si>
    <t>7.513.750.905-01,
7.515.750.881-01,
7.513.751.036</t>
  </si>
  <si>
    <t>would repart</t>
  </si>
  <si>
    <t>would repart but blocked for ST2.0 anyway</t>
  </si>
  <si>
    <t>06A4 (QuadPlus)</t>
  </si>
  <si>
    <t>7.500.750.862-01</t>
  </si>
  <si>
    <t>7.500.750.861-01,
7.500.750.863-01</t>
  </si>
  <si>
    <t>Nissan Scope 3.1 DA-MID EUR/GBR (DAB)</t>
  </si>
  <si>
    <t>Renault Scope 3.0 Full Nav, MI_NDL_DAB_ETH_Iran</t>
  </si>
  <si>
    <t>Renault Scope 3.0 Full Nav, MI_NDL_DAB_ETH_MEA</t>
  </si>
  <si>
    <t>Renault Scope 3.0 Full Nav, MI_NDL_DAB_ETH_ISR</t>
  </si>
  <si>
    <t>Renault Scope 2.1 Mid Navi KOR (ex EUR ex DAB)</t>
  </si>
  <si>
    <t>Renault Scope 3.0 Full Nav, MI_NDL_FM_Japan</t>
  </si>
  <si>
    <t>7.515.750.877-01,
7.515.750.877-02</t>
  </si>
  <si>
    <t>[wzr2hi, 20.03.2018] Added 7.515.750.877-01 for TSB13.1.PgP1
[wzr2hi, 13.06.2018] Added 7.515.750.877-02 for TSB15.2.PgP1</t>
  </si>
  <si>
    <t>Daimler</t>
  </si>
  <si>
    <t>Daimler_HMI_Scope_3.0</t>
  </si>
  <si>
    <t>divie_da_core</t>
  </si>
  <si>
    <t>PARTITION_SCHEMA32__DA</t>
  </si>
  <si>
    <t>32GB (all Renault DA-Full and Nissan DA-Premium
with 3GiB RFS, [full Obigo] and
SDB &lt; 2.8GiB Specification)
PARTITION_SCHEMA32__DA</t>
  </si>
  <si>
    <t>Renault Scope 2.1 Affordable DA, EN_DD_FM_NoMAP</t>
  </si>
  <si>
    <t>7.503.750.817-01,
7.503.750.817-02,
7.503.750.817</t>
  </si>
  <si>
    <t>7.513.750.828-01,
7.513.750.828-02,
7.513.750.828</t>
  </si>
  <si>
    <t>7.513.750.830-01,
7.513.750.830-02,
7.513.750.830</t>
  </si>
  <si>
    <t>Renault Scope 2.1 Full Nav, MI_NDL_FM_MAR</t>
  </si>
  <si>
    <t>7.513.750.836-01,
7.513.751.022</t>
  </si>
  <si>
    <t>7.513.750.810-01,
7.513.750.810-02,
7.513.750.810</t>
  </si>
  <si>
    <t>7.513.751.020-01,
7.513.751.020</t>
  </si>
  <si>
    <t>7.513.750.812-01,
7.513.750.812-02,
7.513.750.812</t>
  </si>
  <si>
    <t>Renault Scope 2.1 Core Nav, EN_ND_FM_MAR</t>
  </si>
  <si>
    <t>7.513.750.819-01,
7.513.750.819</t>
  </si>
  <si>
    <t>Renault Scope 2.1 Core Nav, EN_ND_DAB_MEA</t>
  </si>
  <si>
    <t>7.510.750.981-01</t>
  </si>
  <si>
    <t>block_leG3</t>
  </si>
  <si>
    <t xml:space="preserve">RFS_GEN3_1 </t>
  </si>
  <si>
    <t>RFS_GEN3_2</t>
  </si>
  <si>
    <t>RFS_GEN3_2J</t>
  </si>
  <si>
    <t>RFS_GEN3_3</t>
  </si>
  <si>
    <t>RFS_GEN3_5</t>
  </si>
  <si>
    <t>RFS_GEN3_4</t>
  </si>
  <si>
    <t>RFS_GEN3_8</t>
  </si>
  <si>
    <t>RFS_GEN3_7</t>
  </si>
  <si>
    <t>RFS_GEN3_6</t>
  </si>
  <si>
    <t>RFS_GEN3_11</t>
  </si>
  <si>
    <t>RFS_GEN3_9</t>
  </si>
  <si>
    <t>RFS_GEN3_20</t>
  </si>
  <si>
    <t>RFS_GEN3_21</t>
  </si>
  <si>
    <t>RFS_GEN3_10</t>
  </si>
  <si>
    <t>RFS_GEN3_13</t>
  </si>
  <si>
    <t>RFS_GEN3_22</t>
  </si>
  <si>
    <t>RFS_GEN3_11
rivie_nav_full
(A-IVI_Scope3.0_Renault_Nav_Full)
(only ROW-Navi installed - TBD)
(manged apps installed)</t>
  </si>
  <si>
    <t>RFS_GEN3_1
nivic
(Scope1_Nissan)</t>
  </si>
  <si>
    <t>RFS_GEN3_2
rnaivi_nav
(A-IVI_Scope2.*_Nissan_Nav_MID/Entry)
(ROW-Navi and JPN-Navi installed in parallel)
(no China-Encoder installed)</t>
  </si>
  <si>
    <t>RFS_GEN3_2C
rnaivi_nav_chn
(A-IVI_Scope2.*_Nissan_Nav_MID/Entry)
(only ROW-Navi installed)
(China-Encoder installed)</t>
  </si>
  <si>
    <t>RFS_GEN3_2J
rnaivi_nav_jpn
(A-IVI_Scope2.*_Nissan_Nav_MID low res)
(A-IVI_Scope3.*_Nissan_Nav_MID high res)
(BOSCH, KOR and JPN-Navi installed)</t>
  </si>
  <si>
    <t>RFS_GEN3_3
rnaivi_da
(A-IVI_Scope2.*_Nissan_DA_MID/Entry)</t>
  </si>
  <si>
    <t>RFS_GEN3_4
rivie_nav
(A-IVI_Scope2.1_Renault_Nav_Access/Core)
(only ROW-Navi installed)
(no managed apps installed)</t>
  </si>
  <si>
    <t>RFS_GEN3_4C
rivie_nav_chn
(A-IVI_Scope2.1_Renault_Nav_MID/Entry)
(only ROW-Navi installed)
(China-Encoder installed)
(no managed apps installed)</t>
  </si>
  <si>
    <t>RFS_GEN3_5
rivie_nav_full
(A-IVI_Scope2.1_Renault_Nav_Full)
(only ROW-Navi installed)
(manged apps installed)</t>
  </si>
  <si>
    <t>RFS_GEN3_5C
rivie_nav_full_chn
(A-IVI_Scope2.1_Renault_Nav_MID/Entry)
(only ROW-Navi installed)
(China-Encoder installed)
(manged apps installed)</t>
  </si>
  <si>
    <t>RFS_GEN3_6
rivie_da
(A-IVI_Scope2.1_Renault_DA_Access)</t>
  </si>
  <si>
    <t>RFS_GEN3_7
rivie_da_core
(A-IVI_Scope2.1_Renault_DA_Affordable/Core)</t>
  </si>
  <si>
    <t>RFS_GEN3_8
npivi_nav
(P-IVI_Nissan_Nav*)
(ROW-Navi and JPN-Navi installed in parallel)</t>
  </si>
  <si>
    <t>RFS_GEN3_9
npivi_da
(P-IVI_Nissan_DA*)</t>
  </si>
  <si>
    <t>RFS_GEN3_10
rivie_nav
(A-IVI_Scope3.0_Renault_Nav_Access/Core)
(only ROW-Navi installed - TBD)
(no managed apps installed)</t>
  </si>
  <si>
    <t>RFS_GEN3_12
rivie_da
(A-IVI_Scope3.0_Renault_DA_Access)</t>
  </si>
  <si>
    <t>RFS_GEN3_13
rivie_da_core
(A-IVI_Scope3.0_Renault_DA_Affordable/Core)</t>
  </si>
  <si>
    <t>RFS_GEN3_20
(Scope3.1_Nissan_reserved_DA)</t>
  </si>
  <si>
    <t>RFS_GEN3_21
rnaivi_nav_high
(Scope3.1_Nissan_reserved_NAV)
(A-IVI_Scope3.1_Nissan_Nav_MID)
(ROW-Navi and JPN-Navi installed in parallel)
(no China-Encoder installed)</t>
  </si>
  <si>
    <t>RFS_GEN3_22
divie_da_core
(A-IVI_Scope3.0_Daimler_DA_Affordable/Core)</t>
  </si>
  <si>
    <t>[wzr2hi, 21.06.2018] Added 7.510.750.981-01 for first CLEO1.1 Transistion HW (Target Spec mostly driven by Base-HW capabilities and ported SW)</t>
  </si>
  <si>
    <t>7.515.751.123-01,
7.513.750.988-01</t>
  </si>
  <si>
    <t>[wzr2hi, 10.04.2018] Added 7.515.751.123-01 for TSB1.PgP1
[mkr2hi, 10.07.2018] Added 7.513.750.988-01 for TSB1.BrgP (V5 SBX)</t>
  </si>
  <si>
    <t>7.515.750.830-03,
7.515.750.830-04,
7.515.750.830</t>
  </si>
  <si>
    <t>7.513.751.051-01</t>
  </si>
  <si>
    <t>[wzr2hi, 19.07.2018] Added 7.513.751.051-01 for TSB1.BrgP (V1)</t>
  </si>
  <si>
    <t>RFS_GEN3_12</t>
  </si>
  <si>
    <t>Renault Scope 3.0 Access Nav, EN_NAC_DRM_IND</t>
  </si>
  <si>
    <t>Renault Scope 3.0 Access Nav, EN_NAC_FM_RUS</t>
  </si>
  <si>
    <t>Renault Scope 3.0 Access DA, EN_DAC_DRM_noMAP</t>
  </si>
  <si>
    <t>Nissan Scope 2 DA-MID CAS (AM/FM)</t>
  </si>
  <si>
    <t>[wzr2hi, 19.07.2018] Added 7.513.751.046 for PP1.BrgP (V2)</t>
  </si>
  <si>
    <t>7.513.751.046</t>
  </si>
  <si>
    <t>7.513.751.039-01,
7.513.751.039</t>
  </si>
  <si>
    <t>[wzr2hi, 12.03.2018] Added 7.513.751.039-01 for TSB2.BrgP (V2)
[wzr2hi, 19.07.2018] Added 7.513.751.039 for PP1.BrgP (V2)</t>
  </si>
  <si>
    <t>7.510.750.971-02,
7.513.750.874-01,
7.513.750.874-02,
7.513.750.874</t>
  </si>
  <si>
    <t>[wzr2hi, 03.11.2017] Added 7.510.750.971-02 for DSB4.Hi
[wzr2hi, 13.11.2017] Added 7.513.750.874-01 for TSB1.BrgP
[wzr2hi, 12.03.2018] Added 7.513.750.874-02 for TSB2.BrgP (V2)
[wzr2hi, 19.07.2018] Added 7.513.750.874 for PP1.BrgP (V2)</t>
  </si>
  <si>
    <t>7.510.751.009-01,
7.513.750.877-01,
7.513.750.877-02,
7.513.750.877</t>
  </si>
  <si>
    <t>[wzr2hi, 03.11.2017] Added 7.510.751.009-01 for DSB4.Hi
[wzr2hi, 13.11.2017] Added 7.513.750.877-01 for TSB1.BrgP
[wzr2hi, 12.03.2018] Added 7.513.750.877-02 for TSB2.BrgP (V2)
[wzr2hi, 19.07.2018] Added 7.513.750.877 for PP1.BrgP (V2)</t>
  </si>
  <si>
    <t>7.510.751.002-01,
7.513.750.880-01,
7.513.750.880-02,
7.513.750.880</t>
  </si>
  <si>
    <t>[wzr2hi, 03.11.2017] Added 7.510.751.002-01 for DSB4.Hi
[wzr2hi, 13.11.2017] Added 7.513.750.880-01 for TSB1.BrgP
[wzr2hi, 12.03.2018] Added 7.513.750.880-02 for TSB2.BrgP (V2)
[wzr2hi, 19.07.2018] Added 7.513.750.880 for PP1.BrgP (V2)</t>
  </si>
  <si>
    <t>7.510.750.910-02,
7.513.750.892-01,
7.513.750.892-02,
7.513.750.892</t>
  </si>
  <si>
    <t>[wzr2hi, 03.11.2017] Added 7.510.750.910-02 for DSB4.Hi
[wzr2hi, 13.11.2017] Added 7.513.750.892-01 for TSB1.BrgP
[wzr2hi, 12.03.2018] Added 7.513.750.892-02 for TSB2.BrgP (V2)
[wzr2hi, 19.07.2018] Added 7.513.750.892 for PP1.BrgP (V2)</t>
  </si>
  <si>
    <t>Renault Scope 2.1 Access Nav, EN_NAF_FM_Iran</t>
  </si>
  <si>
    <t>Nissan Scope 2.1 MID DA LAC/AFR/MEA/CAS/RUS (AM/FM) (CPLD)</t>
  </si>
  <si>
    <t>7.500.750.844-01,
7.505.751.157-01</t>
  </si>
  <si>
    <t>[wzr2hi, 13.11.2017] Added 7.500.750.844-01 for DSB11.Hi
[wzr2hi, 30.07.2018] Added 7.505.751.157-01 for TSB15.1a.PgP1 (P42M)</t>
  </si>
  <si>
    <t>Nissan Scope 2.1 MID Navi NAM(MEX) (HD) (CPLD)</t>
  </si>
  <si>
    <t>[wzr2hi, 31.01.2017] New FCID due to new Board-ID.
[wzr2hi, 08.03.2017] Changed Board-ID to 06A1 according to VM v187
[wzr2hi, 19.05.2017] Added 7.515.750.800-01 for TSB4.PgP1
[wzr2hi, 19.05.2017] Added 7.510.750.833-02 for DSB7.Hi
[wzr2hi, 24.07.2017] Added 7.510.750.907-01 for DSB10.Hi
[wzr2hi, 14.08.2017] Added 7.510.750.974-01 for DSB9.Hi
[wzr2hi, 14.08.2017] Added 7.510.750.888-02 for DSB10.Hi (L42N)
[wzr2hi, 26.09.2017] Added 7.515.750.802-02 for TSB8.PgP1
[wzr2hi, 26.09.2017] Added 7.515.750.800-02 for TSB8.PgP1
[wzr2hi, 14.11.2017] Added 7.510.750.974-04 for DSB9.Hi</t>
  </si>
  <si>
    <t>7.505.750806-03</t>
  </si>
  <si>
    <t>7.515.751.168-01,
7.515.751.169-01,
7.515.750.871-91,
7.515.750.872-91</t>
  </si>
  <si>
    <t>[wzr2hi, 30.07.2018] Added 7.515.751.168-01 for TSB15.1a.PgP1 (P42M)
[wzr2hi, 30.07.2018] Added 7.515.751.169-01 for TSB15.1a.PgP1 (P42M)
[wzr2hi, 10.08.2018] Added 7.515.750.871-91 for Reflash (P42M PT1) ST2.1 fake based on ST2.0 7.515.750.871-01
[wzr2hi, 10.08.2018] Added 7.515.750.872-91 for Reflash (P42M PT1) ST2.1 fake based on ST2.0 7.515.750.872-01</t>
  </si>
  <si>
    <t>7.505.751.153-01,
7.505.751.154-01,
7.505.750.874-91,
7.505.750.875-91</t>
  </si>
  <si>
    <t>[wzr2hi, 30.07.2018] Added 7.505.751.153-01 for TSB15.1a.PgP1 (P42M)
[wzr2hi, 30.07.2018] Added 7.505.751.154-01 for TSB15.1a.PgP1 (P42M)
[wzr2hi, 10.08.2018] Added 7.505.750.874-91 for Reflash (P42M PT1) ST2.1 fake based on ST2.0 7.505.750.874-01
[wzr2hi, 10.08.2018] Added 7.505.750.875-91 for Reflash (P42M PT1) ST2.1 fake based on ST2.0 7.505.750.875-01</t>
  </si>
  <si>
    <t>7.515.751.170-01,
7.515.750.981-91</t>
  </si>
  <si>
    <t>[wzr2hi, 30.07.2018] Added 7.515.751.170-01 for TSB15.1a.PgP1 (P42M)
[wzr2hi, 10.08.2018] Added 7.515.750.981-91 for Reflash (P42M PT1) ST2.1 fake based on ST2.0 7.515.750.981-01</t>
  </si>
  <si>
    <t>THA_ST2.1_N_MID</t>
  </si>
  <si>
    <t>Nissan Scope 2.1 MID Navi ASEAN-A/ASEAN-B THA (AM/FM)</t>
  </si>
  <si>
    <t>Nissan Scope 2.1 MID Navi PRC(THA) (AM/FM)</t>
  </si>
  <si>
    <t>[wzr2hi, 13.11.2017] Added 7.515.750.829-02 for TSB10.PgP1
[wzr2hi, 08.01.2018] Added 7.515.750.829-03 for TSB12.PgP1
[wzr2hi, 16.04.2018] Added 7.515.750.829-04 for TSB13.7.PgP1
[wzr2hi, 18.06.2018] Added 7.515.750.829 for PreProd15.PgP1 (L42P)
[wzr2hi, 22.08.2018] Added 7.515.751.221 for SOP.PgP1 (L42P)</t>
  </si>
  <si>
    <t>7.515.750.829-02,
7.515.750.829-03,
7.515.750.829-04,
7.515.750.829,
7.515.751.221</t>
  </si>
  <si>
    <t>Implements till FCID 0x0173/0x1000</t>
  </si>
  <si>
    <t>Implements till FCID 0x0174/0x1000</t>
  </si>
  <si>
    <t>Implements till FCID 0x0175</t>
  </si>
  <si>
    <t>0572 (Adapt: 3_25)</t>
  </si>
  <si>
    <t>1028 (Adapt: _03)</t>
  </si>
  <si>
    <t>1164 (Adapt: 4_54)</t>
  </si>
  <si>
    <t>1162 (Adapt: 4_52)</t>
  </si>
  <si>
    <t>NAMEX_ST2.0_N_ENTRY</t>
  </si>
  <si>
    <t>NAMEX_ST2.0_N_MID</t>
  </si>
  <si>
    <t>EUR_ST2.0_N_ENTRY</t>
  </si>
  <si>
    <t>EUR_ST2.0_N_MID</t>
  </si>
  <si>
    <t>NAM_P_ST2.1_N_MID</t>
  </si>
  <si>
    <t>EUR_P_ST2.1_N_MID</t>
  </si>
  <si>
    <t>SAM-CHL_ST2.1_N_MID</t>
  </si>
  <si>
    <t>Nissan Scope 2.1 MID Navi LAC(SAM-CHL) (AM/FM)</t>
  </si>
  <si>
    <t>7.503.750.815-79,
7.503.750.875-01</t>
  </si>
  <si>
    <t>7.503.750.816-79,
7.503.750.876-01</t>
  </si>
  <si>
    <t>7.503.750.817-79,
7.503.750.877-01</t>
  </si>
  <si>
    <t>Daimler Scope 2.1 Core DA, EN_DD_FM_DAI_noMAP</t>
  </si>
  <si>
    <t>Daimler Scope 2.1 Core DA, EN_DD_DAB_DAI_noMAP</t>
  </si>
  <si>
    <t xml:space="preserve">Daimler Scope 2.1 Core DA, EN_DD_HD_DAI_noMAP </t>
  </si>
  <si>
    <t>[wzr2hi, 14.06.2018] Added 7.503.750.815-79 for Fake-Device Daimler. Based on Renault TSB2.BrgP (V4/V5 SBX)
[wzr2hi, 04.09.2018] Added 7.503.750.875-01 for TSB1.BrgP (V4).</t>
  </si>
  <si>
    <t>[wzr2hi, 14.06.2018] Added 7.503.750.816-79 for Fake-Device Daimler. Based on Renault TSB2.BrgP (V4/V5 SBX)
[wzr2hi, 04.09.2018] Added 7.503.750.876-01 for TSB1.BrgP (V4).</t>
  </si>
  <si>
    <t>[wzr2hi, 14.06.2018] Added 7.503.750.817-79 for Fake-Device Daimler. Based on Renault TSB2.BrgP (V4/V5 SBX)
[wzr2hi, 04.09.2018] Added 7.503.750.877-01 for TSB1.BrgP (V4).</t>
  </si>
  <si>
    <t>[wzr2hi, 30.08.2017] Added 7.503.750.817-01 for TSB1.BrgP (SBX)
[wzr2hi, 13.03.2018] Added 7.503.750.817-02 for TSB2.BrgP (V4/V5 SBX) =&gt; was later canceled.
[wzr2hi, 20.06.2018] Added 7.503.750.817 for PreProd1.BrgP (V4/V5 SBX) =&gt; [wzr2hi, 05.09.2018] Moved to PreProd2.BrgP (V4/V5 SBX)</t>
  </si>
  <si>
    <t>7.513.750.806-01,
7.513.750.806-02,
7.513.750.806,
7.513.751.176</t>
  </si>
  <si>
    <t>[wzr2hi, 30.08.2017] Added 7.513.750.806-01 for TSB1.BrgP (SBX)
[wzr2hi, 13.03.2018] Added 7.513.750.806-02 for TSB2.BrgP (V4/V5 SBX)
[wzr2hi, 20.06.2018] Added 7.513.750.806 for PreProd1.BrgP (V4/V5 SBX)
[wzr2hi, 05.09.2018] Added 7.513.751.176 for PreProd2.BrgP (V4/V5 SBX)</t>
  </si>
  <si>
    <t>[wzr2hi, 30.08.2017] Added 7.513.750.810-01 for TSB1.BrgP (SBX)
[wzr2hi, 13.03.2018] Added 7.513.750.810-02 for TSB2.BrgP (V4/V5 SBX)
[wzr2hi, 20.06.2018] Added 7.513.750.810 for PreProd1.BrgP (V4/V5 SBX) =&gt; [wzr2hi, 05.09.2018] Moved to PreProd2.BrgP (V4/V5 SBX)</t>
  </si>
  <si>
    <t>[wzr2hi, 30.08.2017] Added 7.513.750.812-01 for TSB1.BrgP (SBX)
[wzr2hi, 13.03.2018] Added 7.513.750.812-02 for TSB2.BrgP (V4/V5 SBX)
[wzr2hi, 20.06.2018] Added 7.513.750.812 for PreProd1.BrgP (V4/V5 SBX) =&gt; [wzr2hi, 05.09.2018] Moved to PreProd2.BrgP (V4/V5 SBX)</t>
  </si>
  <si>
    <t>[wzr2hi, 30.08.2017] Added 7.513.750.828-01 for TSB1.BrgP (SBX)
[wzr2hi, 13.03.2018] Added 7.513.750.828-02 for TSB2.BrgP (V4/V5 SBX)
[wzr2hi, 20.06.2018] Added 7.513.750.828 for PreProd1.BrgP (V4/V5 SBX) =&gt; [wzr2hi, 05.09.2018] Moved to PreProd2.BrgP (V4/V5 SBX)</t>
  </si>
  <si>
    <t>[wzr2hi, 30.08.2017] Added 7.513.750.830-01 for TSB1.BrgP (SBX)
[wzr2hi, 13.03.2018] Added 7.513.750.830-02 for TSB2.BrgP (V4/V5 SBX)
[wzr2hi, 20.06.2018] Added 7.513.750.830 for PreProd1.BrgP (V4/V5 SBX) =&gt; [wzr2hi, 05.09.2018] Moved to PreProd2.BrgP (V4/V5 SBX)</t>
  </si>
  <si>
    <t>[wzr2hi, 30.08.2017] Added 7.513.750.819-01 for TSB1.BrgP (SBX)
[wzr2hi, 20.06.2018] Added 7.513.750.819 for PreProd1.BrgP (V4/V5 SBX) =&gt; [wzr2hi, 05.09.2018] Moved to PreProd2.BrgP (V4/V5 SBX)</t>
  </si>
  <si>
    <t>7.510.750.873-01,
7.513.750.842-02,
7.513.750.842,
7.513.751.153</t>
  </si>
  <si>
    <t>Missing SXM for NA variants is weird. [wzr2hi, 22.08.2016] No Renault-HW has SXM (execpt 834).
[wzr2hi, 13.03.2018] Added 7.513.750.842-02 for TSB2.BrgP (V4/V5 SBX)
[wzr2hi, 20.06.2018] Added 7.513.750.842 for PreProd1.BrgP (V4/V5 SBX)
[wzr2hi, 05.09.2018] Added 7.513.751.153 for PreProd2.BrgP (V4/V5 SBX)</t>
  </si>
  <si>
    <t>[wzr2hi, 30.08.2017] Added 7.513.750.836-01 for TSB1.BrgP (SBX)
[wzr2hi, 20.06.2018] Added 7.513.751.022 for PreProd1.BrgP (V4/V5 SBX) =&gt; [wzr2hi, 05.09.2018] Moved to PreProd2.BrgP (V4/V5 SBX)</t>
  </si>
  <si>
    <t>7.513.750.822-01,
7.513.750.822-02,
7.513.750.822,
7.513.751.179</t>
  </si>
  <si>
    <t>[wzr2hi, 30.08.2017] Added 7.513.750.822-01 for TSB1.BrgP (SBX)
[wzr2hi, 13.03.2018] Added 7.513.750.822-02 for TSB2.BrgP (V4/V5 SBX)
[wzr2hi, 20.06.2018] Added 7.513.750.822 for PreProd1.BrgP (V4/V5 SBX)
[wzr2hi, 05.09.2018] Added 7.513.751.179 for PreProd2.BrgP (V4/V5 SBX)</t>
  </si>
  <si>
    <t>[wzr2hi, 13.03.2018] Added 7.513.751.020-01 for TSB2.BrgP (V4/V5 SBX)
[wzr2hi, 20.06.2018] Added 7.513.751.020 for PreProd1.BrgP (V4/V5 SBX) =&gt; [wzr2hi, 05.09.2018] Moved to PreProd2.BrgP (V4/V5 SBX)</t>
  </si>
  <si>
    <t>Renault Scope 3.0 Affordable DA, EN_DD_FM_NoMAP</t>
  </si>
  <si>
    <t>Renault Scope 3.0 Core Nav, EN_ND_FM_ISR</t>
  </si>
  <si>
    <t>Renault Scope 3.0 Core Nav, EN_ND_FM_MAR</t>
  </si>
  <si>
    <t>Renault Scope 3.0 Core Nav, EN_ND_FM_AFR</t>
  </si>
  <si>
    <t>Renault Scope 3.0 Core Nav, EN_ND_DAB_MEA</t>
  </si>
  <si>
    <t>Renault Scope 3.0 Core Nav, EN_ND_FM_APAC</t>
  </si>
  <si>
    <t>Renault Scope 3.0 Core Nav, EN_ND_FM_EUR-TUR</t>
  </si>
  <si>
    <t>Renault Scope 3.0 Full Nav, MI_NDL_FM_AFR</t>
  </si>
  <si>
    <t>Renault Scope 3.0 Full Nav, MI_NDL_FM_MAR</t>
  </si>
  <si>
    <t>Renault Scope 3.0 Full Nav, MI_NDL_FM_APAC</t>
  </si>
  <si>
    <t>Renault Scope 3.0 Full Nav, MI_NDL_FM_EUR-TUR</t>
  </si>
  <si>
    <t>Renault Scope 3.0 Full DA, MI_DD_FM_noMap [AT-Box]</t>
  </si>
  <si>
    <t>[wzr2hi, 12.06.2018] Added 7.513.751.033-01 for TSB1.BrgP (V5 SBX)</t>
  </si>
  <si>
    <t>7.513.751.033-01</t>
  </si>
  <si>
    <t>7.513.751.032-01</t>
  </si>
  <si>
    <t>[wzr2hi, 12.06.2018] Added 7.513.751.032-01 for TSB1.BrgP (V5 SBX)</t>
  </si>
  <si>
    <t>7.513.751.030-01</t>
  </si>
  <si>
    <t>[wzr2hi, 12.06.2018] Added 7.513.751.030-01 for TSB1.BrgP (V5 SBX)</t>
  </si>
  <si>
    <t>[wzr2hi, 04.01.2018] Added 7.510.751.012-01 for DSB1.Hi.V5
[wzr2hi, 13.03.2018] Added 7.510.751.012-02 for DSB2.Hi
[wzr2hi, 10.04.2018] Added 7.517.750.812-01 for TSB1.RBAW
[wzr2hi, 12.06.2018] Added 7.513.751.034-01  for TSB1.BrgP (V5 SBX)
[mkr2hi, 10.07.2018] Added 7.513.750.987-01 for TSB1.BrgP (V5 SBX)</t>
  </si>
  <si>
    <t>7.510.751.012-01,
7.510.751.012-02,
7.517.750.812-01,
7.513.751.034-01,
7.513.750.987-01</t>
  </si>
  <si>
    <t>[wzr2hi, 04.01.2018] Added 7.510.751.014-01 for DSB1.Hi.V5
[wzr2hi, 13.03.2018] Added 7.510.751.014-02 for DSB2.Hi
[wzr2hi, 12.06.2018] Added 7.513.751.026-01 for TSB1.BrgP (V5 SBX)</t>
  </si>
  <si>
    <t>7.510.751.014-01,
7.510.751.014-02,
7.513.751.026-01</t>
  </si>
  <si>
    <t>Only PIVI with 128GB for JPN have CDDB. This is mutual exclusive to "Chenc".</t>
  </si>
  <si>
    <t>Renault Scope 3.0 Access DA, EN_{DAC|DAF}_FM_noMAP</t>
  </si>
  <si>
    <t>Renault Scope 3.0 Access Nav, EN_{NAC|NAF}_DAB_EUR</t>
  </si>
  <si>
    <t>Renault Scope 3.0 Access Nav, EN_{NAC|NAF}_FM_MEX</t>
  </si>
  <si>
    <t>Renault Scope 3.0 Access Nav, EN_{NAC|NAF}_FM_MEA</t>
  </si>
  <si>
    <t>Renault Scope 3.0 Access Nav, EN_{NAC|NAF}_FM_SAM-ARG</t>
  </si>
  <si>
    <t>Renault Scope 3.0 Access Nav, EN_{NAC|NAF}_FM_SAM-CHL</t>
  </si>
  <si>
    <t>7.503.750.826-01,
7.505.751.149-01</t>
  </si>
  <si>
    <t>[wzr2hi, 19.07.2018] Added 7.503.750.826-01 for TSB1.BrgP (V1)
[wzr2hi, 13.09.2018] Added 7.505.751.149-01 for TSB1.PgP1 (V1)</t>
  </si>
  <si>
    <t>7.513.750.881-01,
7.515.751.156-01</t>
  </si>
  <si>
    <t>[wzr2hi, 19.07.2018] Added 7.513.750.881-01 for TSB1.BrgP (V1)
[wzr2hi, 13.09.2018] Added 7.515.751.156-01 for TSB1.PgP1 (V1)</t>
  </si>
  <si>
    <t>Renault Scope 3.0 Full Nav, MI_NDL_FM_SAM-ARG</t>
  </si>
  <si>
    <t>Renault Scope 3.0 Full Nav, MI_NDL_FM_SAM-CHL</t>
  </si>
  <si>
    <t>Renault Scope 3.0 Core Nav, EN_ND_FM_SAM-ARG</t>
  </si>
  <si>
    <t>Renault Scope 3.0 Core Nav, EN_ND_FM_SAM-CHL</t>
  </si>
  <si>
    <t>06A5 (QuadPlus)</t>
  </si>
  <si>
    <t>2</t>
  </si>
  <si>
    <t>4</t>
  </si>
  <si>
    <t>6</t>
  </si>
  <si>
    <t>8</t>
  </si>
  <si>
    <t>10</t>
  </si>
  <si>
    <t>11</t>
  </si>
  <si>
    <t>14</t>
  </si>
  <si>
    <t>16</t>
  </si>
  <si>
    <t>18</t>
  </si>
  <si>
    <t>20</t>
  </si>
  <si>
    <t>22</t>
  </si>
  <si>
    <t>24</t>
  </si>
  <si>
    <t>26</t>
  </si>
  <si>
    <t>28</t>
  </si>
  <si>
    <t>30</t>
  </si>
  <si>
    <t>Variants</t>
  </si>
  <si>
    <t>x</t>
  </si>
  <si>
    <t>(x)</t>
  </si>
  <si>
    <t>TBD</t>
  </si>
  <si>
    <t>NO_EMMC</t>
  </si>
  <si>
    <t>7.505.751.106-01,
7.505.751.107-01,
7.505.751.128-01,
7.505.751.129-01,
7.505.751.128,
7.505.751.129,
7.505.751.106-02</t>
  </si>
  <si>
    <t>[wzr2hi, 07.05.2018] Added 7.505.751.106-01 for TSB14.5.PgP1
[wzr2hi, 07.05.2018] Added 7.505.751.107-01 for TSB14.5.PgP1
[wzr2hi, 13.06.2018] Added 7.505.751.128-01 for TSB15.3.PgP1
[wzr2hi, 13.06.2018] Added 7.505.751.129-01 for TSB15.3.PgP1
[mkr2hi, 13.07.2018] Added 7.505.751.128 for PreProd15.2.PgP1
[mkr2hi, 13.07.2018] Added 7.505.751.129 for PreProd15.2.PgP1
[wzr2hi, 20.09.2018] Added 7.505.751.106-02 for TSB16.2.PgP1 (L02D/P02F)</t>
  </si>
  <si>
    <t>Nissan Scope 2 MID Navi PRC(APAC,ASR) (DAB)</t>
  </si>
  <si>
    <t>7.515.750.344-01</t>
  </si>
  <si>
    <t>7.515.750.345-01</t>
  </si>
  <si>
    <t>PRC_ST2.1_N_MID</t>
  </si>
  <si>
    <t>7.515.750.346-01</t>
  </si>
  <si>
    <t>7.515.750.347-01</t>
  </si>
  <si>
    <t>7.515.751.143-01</t>
  </si>
  <si>
    <t>7.515.751.176-01</t>
  </si>
  <si>
    <t>China_Navigation</t>
  </si>
  <si>
    <t>NO_SCHEMA</t>
  </si>
  <si>
    <t>AARS_IVI2_SBR_AC_HD</t>
  </si>
  <si>
    <t>AARS_IVI2_SBR_AC_DAB</t>
  </si>
  <si>
    <t>RFS_GEN4_21</t>
  </si>
  <si>
    <t>[wzr2hi, 03.02.2017] According to DBU: 7.510.750.864-02 has 06A1 (Quad)
[wzr2hi, 03.02.2017] According to DBU: 7.515.750.864-02 has 06A1 (Quad)
[wzr2hi, 08.05.2017] Added 7.515.750.864-03 for TSB4.PgP1</t>
  </si>
  <si>
    <t>Platform</t>
  </si>
  <si>
    <t>imx</t>
  </si>
  <si>
    <t>AARS_IVI_A2_P1_FM</t>
  </si>
  <si>
    <t>AARS_IVI_A2_P1_DAB</t>
  </si>
  <si>
    <t>AARS_IVI_A2_P1_HD</t>
  </si>
  <si>
    <t>AARS_IVI_A2_P1_DARC</t>
  </si>
  <si>
    <t>[wzr2hi, 19.09.2018] Added 7.515.750.344-01 for DSB2.Hi (PZ1A)</t>
  </si>
  <si>
    <t>[wzr2hi, 19.09.2018] Added 7.515.750.345-01 for DSB2.Hi (PZ1A)</t>
  </si>
  <si>
    <t>[wzr2hi, 19.09.2018] Added 7.515.750.346-01 for DSB2.Hi (PZ1A)</t>
  </si>
  <si>
    <t>[wzr2hi, 19.09.2018] Added 7.515.750.347-01 for DSB2.Hi (PZ1A)</t>
  </si>
  <si>
    <t>[wzr2hi, 19.09.2018] Added 7.515.751.143-01 for DSB2.Hi (PZ1A)</t>
  </si>
  <si>
    <t>[wzr2hi, 19.09.2018] Added 7.515.751.176-01 for DSB2.Hi (PZ1A)</t>
  </si>
  <si>
    <t>AFR_ST2.1_N_MID</t>
  </si>
  <si>
    <t>[wzr2hi, 08.05.2017] Added 7.515.750.813-01 for TSB4.PgP1.</t>
  </si>
  <si>
    <t>7.515.750.813-01</t>
  </si>
  <si>
    <t>7.515.751.225-01,
7.515.751.239</t>
  </si>
  <si>
    <t>[wzr2hi, 20.09.2018] Added 7.515.751.225-01 for TSB16.1.PgP1 (H60A)
[wzr2hi, 17.10.2018] Added 7.515.751.239 for PreProd17.PgP1 (L42P)</t>
  </si>
  <si>
    <t>RUS_ST2.1_R_ENTRY</t>
  </si>
  <si>
    <t>[wzr2hi, 19.10.2018] Added 7.513.751.293-01 for TSB1.BrgP (V2)</t>
  </si>
  <si>
    <t>7.513.751.293-01</t>
  </si>
  <si>
    <t>7.503.750.822-01,
7.505.750.996-01,
7.505.751.148-01,
7.503.750.904-01</t>
  </si>
  <si>
    <t>[wzr2hi, 19.07.2018] Added 7.503.750.822-01 for TSB1.BrgP (V1)
[wzr2hi, 13.09.2018] Added 7.505.750.996-01 for TSB1.PgP1 (V2)
[wzr2hi, 13.09.2018] Added 7.505.751.148-01 for TSB1.PgP1 (V1)
[wzr2hi, 19.10.2018] Added 7.503.750.904-01 for TSB1.BrgP (V2)</t>
  </si>
  <si>
    <t>Renault Scope 3.0 Access DA, EN_{DAC|DAF}_DAB_noMAP</t>
  </si>
  <si>
    <t>7.503.750.823-01,
7.503.750.905-01</t>
  </si>
  <si>
    <t>[wzr2hi, 19.07.2018] Added 7.503.750.823-01 for TSB1.BrgP (V1)
[wzr2hi, 19.10.2018] Added 7.503.750.905-01 for TSB1.BrgP (V2)</t>
  </si>
  <si>
    <t>Renault Scope 3.0 Access Nav, EN_{NAC|NAF}_FM_EUR</t>
  </si>
  <si>
    <t>Renault Scope 3.0 Access Nav, EN_{NAC|NAF}_FM_AFR</t>
  </si>
  <si>
    <t>Renault Scope 3.0 Access Nav, EN_{NAC|NAF}_FM_EUR-TUR</t>
  </si>
  <si>
    <t>Renault Scope 3.0 Access Nav, EN_{NAC|NAF}_DAB_MEA</t>
  </si>
  <si>
    <t>Renault Scope 3.0 Access Nav, EN_{NAC|NAF}_FM_MAR</t>
  </si>
  <si>
    <t>Renault Scope 3.0 Access Nav, EN_NAF_FM_RUS</t>
  </si>
  <si>
    <t xml:space="preserve">Renault Scope 3.0 Access Nav, EN_NAF_FM_CentralAsia </t>
  </si>
  <si>
    <t>Renault Scope 3.0 Access Nav, EN_NAF_FM_ISR</t>
  </si>
  <si>
    <t>Renault Scope 3.0 Access Nav, EN_NAF_DAB_APAC</t>
  </si>
  <si>
    <t>7.515.750.922-05,
7.515.750.922-06</t>
  </si>
  <si>
    <t>[wzr2hi, 01.12.2017] Added 7.515.750.922-05 for TSB1.PgP1 (C-Sample)
[wzr2hi, 05.04.2018] Added 7.515.750.922-06 for TSB2.PgP1 (C2-Sample)</t>
  </si>
  <si>
    <t>7.505.750.957-06</t>
  </si>
  <si>
    <t>[wzr2hi, 05.04.2018] Added 7.505.750.957-06 for TSB2.PgP1 (C2-Sample)</t>
  </si>
  <si>
    <t>Nissan Scope 2.0 MID Navi EUR(TKY) (DAB)</t>
  </si>
  <si>
    <t>Nissan_HMI_Scope_2.0</t>
  </si>
  <si>
    <t>Nissan_HMI_Scope_1.0</t>
  </si>
  <si>
    <t>Renault Scope 3.0 Full Nav, MI_NDL_FM_Korea</t>
  </si>
  <si>
    <t>7.505.751.101-01,
7.507.750.818-01</t>
  </si>
  <si>
    <t>[wzr2hi, 10.04.2018] Added 7.505.751.101-01 for TSB1.PgP1
[wzr2hi, 10.04.2018] Added 7.507.750.818-01 for TSB1.RBAW</t>
  </si>
  <si>
    <t>Renault Scope 3.0 Full DA, MI_DD_FM_noMap (DAB!!!) [AT-Box]</t>
  </si>
  <si>
    <t>7.510.750.981-02,
7.510.750.981-03</t>
  </si>
  <si>
    <t>[wzr2hi, 09.11.2018] Added 7.510.750.981-02 for first CLEO1.1 Transistion HW (Target Spec mostly driven by Base-HW capabilities and ported SW)
[wzr2hi, 26.09.2018] Added 7.510.750.981-03 for first CLEO1.1 Transistion HW (Target Spec mostly driven by Base-HW capabilities and ported SW)</t>
  </si>
  <si>
    <t>25</t>
  </si>
  <si>
    <t>27</t>
  </si>
  <si>
    <t>29</t>
  </si>
  <si>
    <t>31</t>
  </si>
  <si>
    <t>32</t>
  </si>
  <si>
    <t>33</t>
  </si>
  <si>
    <t>CPLD (CORE)</t>
  </si>
  <si>
    <t>NO_CPLD_PEXT</t>
  </si>
  <si>
    <t>CPLD_PEXT_CLEO_A</t>
  </si>
  <si>
    <t>CPLD_PEXT_ADR_A</t>
  </si>
  <si>
    <t>CPLD_PEXT_SBR_A</t>
  </si>
  <si>
    <t>CPLD
(PORT EXTENDER)</t>
  </si>
  <si>
    <t>FPGA (Sub-PCB)
CPLD (Fascia)</t>
  </si>
  <si>
    <t>7.510.750.981-91</t>
  </si>
  <si>
    <t>7.510.750.981-92,
7.510.750.981-93</t>
  </si>
  <si>
    <t>7.510.750.981-81</t>
  </si>
  <si>
    <t>7.510.750.981-82,
7.510.750.981-83</t>
  </si>
  <si>
    <t>[wzr2hi, 21.06.2018] Added 7.510.750.981-91 for first CLEO1.1 Transistion HW (Target Spec mostly driven by Base-HW capabilities and ported SW)</t>
  </si>
  <si>
    <t>[wzr2hi, 09.11.2018] Added 7.510.750.981-92 for first CLEO1.1 Transistion HW (Target Spec mostly driven by Base-HW capabilities and ported SW)
[wzr2hi, 26.09.2018] Added 7.510.750.981-93 for first CLEO1.1 Transistion HW (Target Spec mostly driven by Base-HW capabilities and ported SW)</t>
  </si>
  <si>
    <t>[wzr2hi, 21.06.2018] Added 7.510.750.981-81 for first CLEO1.1 Transistion HW (Target Spec mostly driven by Base-HW capabilities and ported SW)</t>
  </si>
  <si>
    <t>[wzr2hi, 09.11.2018] Added 7.510.750.981-82 for first CLEO1.1 Transistion HW (Target Spec mostly driven by Base-HW capabilities and ported SW)
[wzr2hi, 26.09.2018] Added 7.510.750.981-83 for first CLEO1.1 Transistion HW (Target Spec mostly driven by Base-HW capabilities and ported SW)</t>
  </si>
  <si>
    <t>7.513.750.988-02</t>
  </si>
  <si>
    <t>Nissan Scope 2.1 MID DA LAC/MEX/AFR/MEA/CAS/RUS (AM/FM)</t>
  </si>
  <si>
    <t>[wzr2hi, 20.11.2018] Added 7.513.750.988-02 for TSB2.BrgP (V4/V5 SBX)</t>
  </si>
  <si>
    <t>[wzr2hi, 13.11.2017] Added 7.515.750.830-03 for TSB10.PgP1
[wzr2hi, 08.01.2018] Added 7.515.750.830-04 for TSB12.PgP1
[mkr2hi, 12.07.2018] Added 7.515.750.830 for Nissan Sc2 PreProd15.1.PgP1 (L42P)</t>
  </si>
  <si>
    <t>7.513.751.418-01</t>
  </si>
  <si>
    <t>[wzr2hi, 03.12.2018] Added 7.513.751.418-01 for TSB1.BrgP (V1)</t>
  </si>
  <si>
    <t>Nissan_HMI_P-IVI_3.1</t>
  </si>
  <si>
    <t>7.515.750.346-71</t>
  </si>
  <si>
    <t>7.515.750.345-71</t>
  </si>
  <si>
    <t>7.515.750.344-71</t>
  </si>
  <si>
    <t>7.515.750.347-71</t>
  </si>
  <si>
    <t>[wzr2hi, 03.12.2018] Added 7.515.750.344-71 for DSB2.Hi (NPIVI2 FAKE) based on 7.515.750.344-01</t>
  </si>
  <si>
    <t>[wzr2hi, 03.12.2018] Added 7.515.750.346-71 for DSB2.Hi (NPIVI2 FAKE) based on 7.515.750.346-01</t>
  </si>
  <si>
    <t>[wzr2hi, 03.12.2018] Added 7.515.750.347-71 for DSB2.Hi (NPIVI2 FAKE) based on 7.515.750.347-01</t>
  </si>
  <si>
    <t>[wzr2hi, 03.12.2018] Added 7.515.750.345-71 for DSB2.Hi (NPIVI2 FAKE) based on 7.515.750.344-01</t>
  </si>
  <si>
    <t>RFS_GEN4_8</t>
  </si>
  <si>
    <t>RFS_GEN4_9
npivi2_da
(P-IVI2_Nissan_DA*)</t>
  </si>
  <si>
    <t>Nissan_HMI_P-IVI_2.1</t>
  </si>
  <si>
    <t>Renault Scope 2.1 Access Nav, EN_{NAF|NAC}_FM_EUR</t>
  </si>
  <si>
    <t>Renault Scope 2.1 Access DA, EN_{DAF|DAC}_DAB_noMAP</t>
  </si>
  <si>
    <t>7.510.750.878-01,
7.510.750.878-02,
7.500.750.824-01,
7.510.750.878-03,
7.503.750.825-01,
7.503.750.825-02,
7.503.750.825,
7.503.751.202-01</t>
  </si>
  <si>
    <t>[04.01.17] Moved 7.500.750.816-01, 7.500.750.819-01 to FCID 76 (004C) due to (silently) removed DAB.
[wzr2hi, 13.06.2017] Added 7.500.750.824-01 for DSB3.Hi
[wzr2hi, 03.11.2017] Added 7.510.750.878-03 for DSB4.Hi
[wzr2hi, 13.11.2017] Added 7.503.750.825-01 for TSB1.BrgP
[wzr2hi, 12.03.2018] Added 7.503.750.825-02 for TSB2.BrgP (V2)
[wzr2hi, 19.07.2018] Added 7.503.750.825 for PP1.BrgP (V2)
[wzr2hi, 03.12.2018] Added 7.503.751.202-01 for TSB1.BrgP (V1)</t>
  </si>
  <si>
    <t>Renault Scope 2.1 Access Nav, EN_{NAF|NAC}_DAB_EUR</t>
  </si>
  <si>
    <t>Renault Scope 2.1 Access DA, EN_{DAF|DAC}_FM_noMAP</t>
  </si>
  <si>
    <t>7.500.750.879-01,
7.500.750.879-02,
7.500.750.879-03,
7.500.750.879-04,
7.503.750.824-01,
7.503.750.824-02,
7.503.750.824,
7.503.750.906,
7.503.751.201-01</t>
  </si>
  <si>
    <t>[wzr2hi, 04.01.2017] Moved 7.500.750.816-01, 7.500.750.819-01 to FCID 76 (004C) due to missing DAB.
[wzr2hi, 13.06.2017] Moved 7.500.750.816-01, 7.500.750.819-01 to own FCID since it turned out that FCID 0x004C has to have a Teseo.
[wzr2hi, 13.06.2017] Added 7.500.750.879-03 for DSB3.Hi
[wzr2hi, 03.11.2017] Added 7.500.750.879-04 for DSB4.Hi
[wzr2hi, 13.11.2017] Added 7.503.750.824-01 for TSB1.BrgP
[wzr2hi, 12.03.2018] Added 7.503.750.824-02 for TSB2.BrgP (V2)
[wzr2hi, 19.07.2018] Added 7.503.750.824 for PreProd1.BrgP (V2)
[wzr2hi, 19.10.2018] Added 7.503.750.906 for PreProd2.BrgP (V2)
[wzr2hi, 03.12.2018] Added 7.503.751.201-01 for TSB1.BrgP (V1)</t>
  </si>
  <si>
    <t>Renault Scope 2.1 Access Nav, EN_{NAF|NAC}_FM_MEA</t>
  </si>
  <si>
    <t>7.510.750.909-02,
7.513.750.872-01,
7.513.750.872-02,
7.513.750.872,
7.513.751.419-01</t>
  </si>
  <si>
    <t>[wzr2hi, 03.11.2017] Added 7.510.750.909-02 for DSB4.Hi
[wzr2hi, 13.11.2017] Added 7.513.750.872-01 for TSB1.BrgP
[wzr2hi, 12.03.2018] Added 7.513.750.872-02 for TSB2.BrgP (V2)
[wzr2hi, 19.07.2018] Added 7.513.750.872 for PP1.BrgP (V2)
[wzr2hi, 03.12.2018] Added 7.513.751.419-01 for TSB1.BrgP (V1)</t>
  </si>
  <si>
    <t>Renault Scope 2.1 Access Nav, EN_{NAF|NAC}_FM_MAR</t>
  </si>
  <si>
    <t>7.510.750.970-02,
7.513.750.873-01,
7.513.750.873-02,
7.513.750.873,
7.513.751.420-01</t>
  </si>
  <si>
    <t>[wzr2hi, 03.11.2017] Added 7.510.750.970-02 for DSB4.Hi
[wzr2hi, 13.11.2017] Added 7.513.750.873-01 for TSB1.BrgP
[wzr2hi, 12.03.2018] Added 7.513.750.873-02 for TSB2.BrgP (V2)
[wzr2hi, 19.07.2018] Added 7.513.750.873 for PP1.BrgP (V2)
[wzr2hi, 03.12.2018] Added 7.513.751.420-01 for TSB1.BrgP (V1)</t>
  </si>
  <si>
    <t>Renault Scope 2.1 Access Nav, EN_{NAF|NAC}_FM_SAM-CHL</t>
  </si>
  <si>
    <t>7.510.750.973-02,
7.513.750.875-01,
7.513.750.875-02,
7.513.750.875,
7.513.751.422-01</t>
  </si>
  <si>
    <t>[wzr2hi, 03.11.2017] Added 7.510.750.973-02 for DSB4.Hi
[wzr2hi, 13.11.2017] Added 7.513.750.875-01 for TSB1.BrgP
[wzr2hi, 12.03.2018] Added 7.513.750.875-02 for TSB2.BrgP (V2)
[wzr2hi, 19.07.2018] Added 7.513.750.875 for PP1.BrgP (V2)
[wzr2hi, 03.12.2018] Added 7.513.751.422-01 for TSB1.BrgP (V1)</t>
  </si>
  <si>
    <t>Renault Scope 2.1 Access Nav, EN_{NAF|NAC}_FM_AFR</t>
  </si>
  <si>
    <t>7.510.751.010-01,
7.513.750.878-01,
7.513.750.878-02,
7.513.750.878,
7.513.751.416-01</t>
  </si>
  <si>
    <t>[wzr2hi, 03.11.2017] Added 7.510.751.010-01 for DSB4.Hi
[wzr2hi, 13.11.2017] Added 7.513.750.878-01 for TSB1.BrgP
[wzr2hi, 12.03.2018] Added 7.513.750.878-02 for TSB2.BrgP (V2)
[wzr2hi, 19.07.2018] Added 7.513.750.878 for PP1.BrgP (V2)
[wzr2hi, 03.12.2018] Added 7.513.751.416-01 for TSB1.BrgP (V1)</t>
  </si>
  <si>
    <t>Renault Scope 2.1 Access Nav, EN_{NAF|NAC}_FM_EUR-TUR</t>
  </si>
  <si>
    <t>7.510.751.011-01,
7.513.750.879-01,
7.513.750.879-02,
7.513.750.879,
7.513.751.417-01</t>
  </si>
  <si>
    <t>[wzr2hi, 03.11.2017] Added 7.510.751.011-01 for DSB4.Hi
[wzr2hi, 13.11.2017] Added 7.513.750.879-01 for TSB1.BrgP
[wzr2hi, 12.03.2018] Added 7.513.750.879-02 for TSB2.BrgP (V2)
[wzr2hi, 19.07.2018] Added 7.513.750.879 for PP1.BrgP (V2)
[wzr2hi, 03.12.2018] Added 7.513.751.417-01 for TSB1.BrgP (V1)</t>
  </si>
  <si>
    <t>Renault Scope 2.1 Access Nav, EN_{NAF|NAC}_FM_SAM-ARG</t>
  </si>
  <si>
    <t>7.510.750.972-02,
7.513.750.893-01,
7.513.750.893-02,
7.513.750.893,
7.513.751.421-01</t>
  </si>
  <si>
    <t>[wzr2hi, 03.11.2017] Added 7.510.750.972-02 for DSB4.Hi
[wzr2hi, 13.11.2017] Added 7.513.750.893-01 for TSB1.BrgP
[wzr2hi, 12.03.2018] Added 7.513.750.893-02 for TSB2.BrgP (V2)
[wzr2hi, 19.07.2018] Added 7.513.750.893 for PP1.BrgP (V2)
[wzr2hi, 03.12.2018] Added 7.513.751.421-01 for TSB1.BrgP (V1)</t>
  </si>
  <si>
    <t>Renault Scope 2.1 Access Nav, EN_{NAF|NAC}_FM_RUS</t>
  </si>
  <si>
    <t>Renault Scope 2.1 Access Nav, EN_{NAC|NAF}_DAB_MEA</t>
  </si>
  <si>
    <t>7.510.750.879-03,
7.510.750.879-04,
7.513.750.870-01,
7.513.750.870-02,
7.513.750.870,
7.513.751.301,
7.513.751.413-01,
7.513.751.439</t>
  </si>
  <si>
    <r>
      <t>Nissan Scope 2 DA-MID LAC</t>
    </r>
    <r>
      <rPr>
        <sz val="10"/>
        <color rgb="FFFFC000"/>
        <rFont val="Arial"/>
        <family val="2"/>
      </rPr>
      <t>/MEX</t>
    </r>
    <r>
      <rPr>
        <sz val="10"/>
        <rFont val="Arial"/>
        <family val="2"/>
      </rPr>
      <t>/AFR/MEA/CAS/RUS (AM/FM)</t>
    </r>
  </si>
  <si>
    <t>1055,1948,1196</t>
  </si>
  <si>
    <t>First versions which have the fix for pkg_linux_bootchain.xml for BID 0x06A5</t>
  </si>
  <si>
    <t>7.510.750.875-79,
7.513.750.843-79</t>
  </si>
  <si>
    <t>[wzr2hi, 24.10.2018] Added 7.510.750.875-79 as headless fake device for Nissan B12P based on Renault 7.510.750.875-01
[wzr2hi, 12.12.2018] Added 7.513.750.843-79 as headless fake device for Nissan B12P based on Renault 7.513.750.843-01</t>
  </si>
  <si>
    <t>2316</t>
  </si>
  <si>
    <t>First AIVI2 which supports SDB for JPN, NAM, PRC</t>
  </si>
  <si>
    <t>AARS_IVI2_SBR_AC_DARC</t>
  </si>
  <si>
    <t>7.515.751.238-01</t>
  </si>
  <si>
    <t>Nissan Scope 3.1 Gen4 MID Navi US (ADR HD)</t>
  </si>
  <si>
    <t>Nissan Scope 3.1 Gen4 MID Navi PRC (ADR AM/FM)</t>
  </si>
  <si>
    <t>Nissan Scope 3.1 Gen4 MID Navi US (SBR HD)</t>
  </si>
  <si>
    <t>RFS_GEN4_20</t>
  </si>
  <si>
    <t>7.505.751.204-B1</t>
  </si>
  <si>
    <t>Nissan Scope 2 Entry Navi AFR(MEA/EGP) (DAB)</t>
  </si>
  <si>
    <t>Nissan Scope 2 MID Navi AFR(MEA/EGP) (DAB)</t>
  </si>
  <si>
    <t>2304-2016</t>
  </si>
  <si>
    <t>All Navi-Variants have Startup-Registries with process numbers equal or greater than 100. This cannot handled by SPM. Therefore Download is not correctly started and Download is not started. Debug-Board and Developer-Download is necessary.</t>
  </si>
  <si>
    <t>7.510.750.865-01('HW 001'),
7.515.750.807-05,
7.515.750.807</t>
  </si>
  <si>
    <t>[06.06.16] 0x694 = Teseo 3 (checked OK).
[wzr2hi, 20.09.2018] Added 7.515.750.807-05 for TSB16.1.PgP1 (L02D)
[wzr2hi, 24.01.2019] Added 7.515.750.807 for PreProd20a.PgP1 (L02D)</t>
  </si>
  <si>
    <t>Nissan Scope 2 Entry Navi AFR(MEA/EGY/GCC) (AM/FM)</t>
  </si>
  <si>
    <t>MAR_ST2.1_N_MID</t>
  </si>
  <si>
    <t>7.513.750.973-01,
7.513.751.444,
7.513.751.434</t>
  </si>
  <si>
    <t>7.513.750.976-01,
7.513.750.976-02,
7.513.750.976,
7.513.751.433</t>
  </si>
  <si>
    <t>Nissan Scope 2.1 Mid Navi AFR(AFR) (AM/FM)</t>
  </si>
  <si>
    <t>Nissan Scope 2.1 Mid Navi AFR(MAR) (AM/FM)</t>
  </si>
  <si>
    <t>742_JPN_831_AUSKRJPN</t>
  </si>
  <si>
    <t>742_JPN_831_AUSKRJPN_CDDB</t>
  </si>
  <si>
    <t>PARTITION_SCHEMA32__ROW_HIGHRES</t>
  </si>
  <si>
    <t>7.513.751.032-02,
7.513.751.032</t>
  </si>
  <si>
    <t>[wzr2hi, 06.09.2018] Added 7.513.751.032-02 for TSB2.BrgP (V4/V5 SBX)
[wzr2hi, 14.02.2019] Added 7.513.751.032 for PreProdBis.BrgP (V4/V5 SBX)</t>
  </si>
  <si>
    <t>Renault Scope 3.0 Full Nav, MI_NDL_HD_[ETH]_MEX</t>
  </si>
  <si>
    <t>7.515.751.119-01,
7.515.751.119-02,
7.513.751.280,
7.515.751.119</t>
  </si>
  <si>
    <t>[wzr2hi, 10.04.2018] Added 7.515.751.119-01 for TSB1.PgP1
[wzr2hi, 14.09.2018] Added 7.515.751.119-02 forTSB1.PgP1 (V4/V5 SBX)
[wzr2hi, 14.02.2019] Added 7.513.751.280 for PreProdBis.BrgP (V4/V5 SBX)
[wzr2hi, 20.02.2019] Added 7.515.751.119 for PreProd1.PgP1 (V4/V5 SBX)</t>
  </si>
  <si>
    <t>CPLD_PEXT_CLEO_PM01</t>
  </si>
  <si>
    <t>CPLD_PEXT_ADR_PM01</t>
  </si>
  <si>
    <t>CPLD_PEXT_SBR_PM01</t>
  </si>
  <si>
    <t>[wzr2hi, 08.01.2018] Added 7.510.751.018-01 for Proto1 (Main PCB is taken from 7.515.750.805-03 which has no SXM and has DARC)</t>
  </si>
  <si>
    <t>7.513.751.037,
7.513.751.173-01,
7.513.751.175-01,
7.513.751.173-02,
7.513.751.175-02,
7.513.751.173</t>
  </si>
  <si>
    <t>7.503.750.885-01,
7.503.750.887-01,
7.503.750.885-02,
7.503.750.887-02,
7.503.750.885</t>
  </si>
  <si>
    <t>[wzr2hi, 21.08.2018] Added 7.503.750.885-01 for TSB12.BrgP (H60A)
[wzr2hi, 21.08.2018] Added 7.503.750.887-01 for TSB12.BrgP (U60)
[wzr2hi, 06.11.2018] Added 7.503.750.885-02 for TSB13.BrgP (H60A)
[wzr2hi, 06.11.2018] Added 7.503.750.887-02 for TSB13.BrgP (U60)
[wzr2hi, 07.03.2019] Added 7.503.750.885 for PreProd13a.BrgP (H60A)</t>
  </si>
  <si>
    <t>7.500.750.877-01</t>
  </si>
  <si>
    <t>7.510.751.510-01</t>
  </si>
  <si>
    <t>[wzr2hi, 08.03.2019] Added 7.500.750.877-01 for DSB5.X.Hi (P33C)</t>
  </si>
  <si>
    <t>[wzr2hi, 08.03.2019] Added 7.510.751.510-01 for DSB5.X.Hi (P33C)</t>
  </si>
  <si>
    <t>PARTITION_SCHEMA16__DA</t>
  </si>
  <si>
    <t>Mitsubishi_HMI_Scope_3.1</t>
  </si>
  <si>
    <t>7.515.750.981-01,
7.515.750.981-02,
7.515.750.981-03,
7.515.750.981,
7.515.751.447,
7.515.751.479</t>
  </si>
  <si>
    <t>[wzr2hi, 20.03.2018] Added 7.515.750.981-01 for TSB13.1.PgP1
[wzr2hi, 13.06.2018] Added 7.515.750.981-02 for TSB15.2.PgP1 (P42M)
[wzr2hi, 31.08.2018] Added 7.515.750.981-03 for TSB15.2.1.PgP1 (P42M)
[wzr2hi, 31.08.2018] Added 7.515.750.981 for PreProd16.PgP1 (P42M)
[wzr2hi, 20.12.2018] Added 7.515.751.447 for PreProd19.PgP1 (P42M)
[wzr2hi, 12.03.2019] Added 7.515.751.479 for ILLUCHG.PgP1 (P42M)</t>
  </si>
  <si>
    <t>7.500.750.843-02,
7.505.750.876-01,
7.505.750.876-02,
7.505.750.876,
7.505.751.254,
7.505.751.274,
7.505.751.297</t>
  </si>
  <si>
    <t>7.510.750.977-01</t>
  </si>
  <si>
    <t>AARS_IVI2_SBR_AC_FM</t>
  </si>
  <si>
    <t>PARTITION_SCHEMA64__AIVI2_NavNissan</t>
  </si>
  <si>
    <t>PARTITION_SCHEMA96__AIVI2_NavNissan_EMMC64</t>
  </si>
  <si>
    <t>PARTITION_SCHEMA96__AIVI2_NavNissan_EMMC32</t>
  </si>
  <si>
    <t>PARTITION_SCHEMA96__AIVI2_NavNissan_EMMC128</t>
  </si>
  <si>
    <t>PARTITION_SCHEMA32__AIVI2_DANissan</t>
  </si>
  <si>
    <t>7.505.751.206-01</t>
  </si>
  <si>
    <t>7.515.751.455-01</t>
  </si>
  <si>
    <t>7.505.751.281-01</t>
  </si>
  <si>
    <t>7.505.751.282-01</t>
  </si>
  <si>
    <t>RFS_GEN4_9</t>
  </si>
  <si>
    <t>Mitsubishi</t>
  </si>
  <si>
    <t>7.515.751.143-02,
7.515.751.419-01,
7.515.751.422-01</t>
  </si>
  <si>
    <t>7.515.751.176-02,
7.515.751.424-01</t>
  </si>
  <si>
    <t>7.515.751.238-02,
7.515.751.238-03</t>
  </si>
  <si>
    <t>7.505.751.205-01,
7.505.751.204-02</t>
  </si>
  <si>
    <t>7.515.751.453-02,
7.515.751.454-01</t>
  </si>
  <si>
    <t>7.505.751.256-01,
7.505.751.280-01</t>
  </si>
  <si>
    <t>Nissan Scope 2 NAV-Mid NAM(US/CAN) (HD)</t>
  </si>
  <si>
    <t>Nissan Scope 2 DA-Mid US/CAN(AM/FM)</t>
  </si>
  <si>
    <t>Nissan Scope 2 DA-Mid NAM(US/CAN) (AM/FM)</t>
  </si>
  <si>
    <t>Nissan Scope 2 DA-Mid NAM(US/CAN) (AM/FM) (CPLD)</t>
  </si>
  <si>
    <t>Nissan Scope 2.1 NAV-Mid NAM(US/CAN) (HD)</t>
  </si>
  <si>
    <t>Nissan Scope 2.1 DA-Mid NAM(US/CAN) (AM/FM)</t>
  </si>
  <si>
    <t>Nissan Scope 3.1 DA-Mid NAM(US/CAN) (AM/FM)</t>
  </si>
  <si>
    <t>Nissan Scope 3.1 NAV-Mid NAM(US/CAN) (AM/FM)</t>
  </si>
  <si>
    <t>Nissan Scope 3.1 NAV-Mid NAM(US/CAN) (HD)</t>
  </si>
  <si>
    <t>Nissan Scope 2 NAV-Mid NAM(US/CAN) (HD) (CPLD)</t>
  </si>
  <si>
    <t>Nissan Scope 2.1 DA-Entry NAM(US/CAN) (AM/FM)</t>
  </si>
  <si>
    <t>Nissan Scope 2.1 NAV-Mid NAM(US/CAN) (HD) (CPLD)</t>
  </si>
  <si>
    <t>Nissan Scope 3.1 DA-Mid NAM(US/CAN) (HD)</t>
  </si>
  <si>
    <t>Mitsubishi Scope 3.1 DA-Mid NAM(US/CAN) (AM/FM)</t>
  </si>
  <si>
    <t>Nissan Scope 3.1 Gen4 NAV-Mid NAM(US/CAN) (SBR HD)</t>
  </si>
  <si>
    <t>Nissan Scope 3.1 Gen4 NAV-Mid EUR(EUR) (SBR DAB)</t>
  </si>
  <si>
    <t>Nissan Scope 2 NAV-Mid EUR(EUR-W) (DAB)</t>
  </si>
  <si>
    <t>Nissan Scope 2 NAV-Mid EUR(EUR-NE) (DAB)</t>
  </si>
  <si>
    <t>Nissan Scope 2.1 NAV-Mid EUR(EUR-W) (DAB)</t>
  </si>
  <si>
    <t>Nissan Scope 2.1 NAV-Mid EUR(EUR-NE) (DAB)</t>
  </si>
  <si>
    <t>Nissan Scope 3.1 NAV-Mid EUR(EUR-W) (DAB)</t>
  </si>
  <si>
    <t>Mitsubishi Scope 3.1 NAV-Mid EUR(EUR-W) (DAB)</t>
  </si>
  <si>
    <t>Nissan Scope 3.1 Gen4 NAV-Mid JPN(JPN) (SBR DARC)</t>
  </si>
  <si>
    <t>Nissan Scope 2 NAV-Mid JPN(JPN) (DARC)</t>
  </si>
  <si>
    <t>Nissan P-IVI NAV-Premium JPN(JPN) (DARC)</t>
  </si>
  <si>
    <t>Nissan Scope 2 NAV-Mid JPN(JPN) (ex DAB, ex EUR)</t>
  </si>
  <si>
    <t>Nissan Scope 2 NAV-Mid JPN(JPN) (ex HD, ex US)</t>
  </si>
  <si>
    <t>Nissan Scope 2.1 NAV-Mid JPN(JPN) (DARC) (FPGA)</t>
  </si>
  <si>
    <t>Renault Scope 2.1 NAV-Full, MI_NDL_JPN_Japan</t>
  </si>
  <si>
    <t>Nissan Scope 3.1 NAV-Mid JPN(JPN) (DARC) (FPGA)</t>
  </si>
  <si>
    <t>Nissan Scope 2.1 NAV-Mid JPN(JPN) (AM/FM) (FPGA)</t>
  </si>
  <si>
    <t>Mitsubishi Scope 3.1 NAV-Mid JPN(JPN) (DARC) (FPGA)</t>
  </si>
  <si>
    <t>Nissan Scope 3.1 Gen4 NAV-Mid JPN(JPN) (DARC) "CLEO"</t>
  </si>
  <si>
    <t>Nissan Scope 3.1 Gen4 NAV-Mid JPN(JPN) (ADR DARC)</t>
  </si>
  <si>
    <t>Nissan Scope 3.1 Gen4 DA-Mid NAM(US/CAN) (SBR HD)</t>
  </si>
  <si>
    <t>Nissan P-IVI NAV-Premimum CAS(ISR) (AM/FM)</t>
  </si>
  <si>
    <t>Nissan P-IVI NAV-Premium EUR(TUR) (DAB)</t>
  </si>
  <si>
    <t>Nissan P-IVI NAV-Premium LAC(SAM-ARG) (AM/FM)</t>
  </si>
  <si>
    <t>Nissan P-IVI DA-Premium EUL(RUS/TKY) (AM/FM)</t>
  </si>
  <si>
    <t>Nissan P-IVI DA-Premium EUL(EUR) (DAB)</t>
  </si>
  <si>
    <t>Nissan P-IVI DA-Premium DA2(LAC/AFR/MEA/CAS/RUS) (AM/FM)</t>
  </si>
  <si>
    <t>Nissan P-IVI DA-Premium DA1(ASR) (DAB)</t>
  </si>
  <si>
    <t>Nissan P-IVI DA-Premium NAM(CAN) (AM/FM)</t>
  </si>
  <si>
    <t>Nissan P-IVI NAV-Premium US (HD)</t>
  </si>
  <si>
    <r>
      <t xml:space="preserve">Nissan P-IVI NAV-Premium </t>
    </r>
    <r>
      <rPr>
        <sz val="10"/>
        <color rgb="FFFF0000"/>
        <rFont val="Arial"/>
        <family val="2"/>
      </rPr>
      <t>MEA</t>
    </r>
    <r>
      <rPr>
        <sz val="10"/>
        <color rgb="FF000000"/>
        <rFont val="Arial"/>
        <family val="2"/>
      </rPr>
      <t xml:space="preserve"> (AM/FM)</t>
    </r>
  </si>
  <si>
    <t>Nissan P-IVI NAV-Premium EUR (DAB)</t>
  </si>
  <si>
    <t>Nissan P-IVI DA-Premium PRC/HKG/TWN/KOR/ASEAN (AM/FM)</t>
  </si>
  <si>
    <t>Nissan P-IVI DA-Premium MEX (HD)</t>
  </si>
  <si>
    <t>Nissan P-IVI NAV-Premium ASEAN (DAB)</t>
  </si>
  <si>
    <t>Nissan P-IVI NAV-Premium PRC (AM/FM)</t>
  </si>
  <si>
    <t>Nissan P-IVI NAV-Premium MEA (AM/FM)</t>
  </si>
  <si>
    <t>Nissan P-IVI NAV-Premium MEX (HD)</t>
  </si>
  <si>
    <t>Nissan P-IVI NAV-Premium CAN (AM/FM)</t>
  </si>
  <si>
    <t>Nissan P-IVI NAV-Premium RUS (AM/FM)</t>
  </si>
  <si>
    <t>Nissan P-IVI NAV-Premium TWN (AM/FM)</t>
  </si>
  <si>
    <t>Nissan P-IVI NAV-Premium ASEAN (AM/FM)</t>
  </si>
  <si>
    <t>Nissan P-IVI NAV-Premium LAC(SAM-CHL) (AM/FM)</t>
  </si>
  <si>
    <t>Nissan Scope 3.1 Gen4 NAV-Mid US (AMFM) "CLEO"</t>
  </si>
  <si>
    <t>Nissan Scope 2.0 DA-Mid EUL(TKY) (AM/FM)</t>
  </si>
  <si>
    <t>Nissan Scope 2.1 NAV-Mid EUR(TKY) (AM/FM)</t>
  </si>
  <si>
    <t>Nissan P-IVI NAV-Premium US/CAN (HD)</t>
  </si>
  <si>
    <t>Nissan P-IVI DA-Premium US/CAN (HD)</t>
  </si>
  <si>
    <t>Nissan Scope 2.0 MID-Navi PRC(AUS/NZL) (AM/FM)</t>
  </si>
  <si>
    <t>Nissan Scope 3.1 MID-Navi PRC(APAC/AUS/NZL) (DAB)</t>
  </si>
  <si>
    <t>Nissan Scope 2.1 MID Navi PRC(APAC/ASR/NZL) (DAB)</t>
  </si>
  <si>
    <t>Nissan Scope 2.1 MID-Navi CAS(ISR) (DAB)</t>
  </si>
  <si>
    <t>Nissan Scope 2.1 MID Navi LAC(SAM-ARG) (DAB)</t>
  </si>
  <si>
    <t>Nissan Scope 2.1 Mid Navi AFR(AFR) (DAB)</t>
  </si>
  <si>
    <t>Nissan Scope 2.1 MID DA PRC/TWN/ASEAN-A/ASEAN-B (DAB)</t>
  </si>
  <si>
    <t>NAM_P_ST2.1_N_ENTRY</t>
  </si>
  <si>
    <t>7.510.750.860-01('HW 001'),
7.510.750.846-01('HW 001'),
7.513.750.803-02,
7.513.750.907-01,
7.513.750.861-03,
7.513.750.803,
7.513.750.907,
7.513.751.185,
7.513.751.186,
7.513.751.450,
7.513.751.451</t>
  </si>
  <si>
    <t>[06.06.16] 0x694 = Teseo 3 (checked OK).
[wzr2hi, 03.11.2017] Added 7.513.750.803-02 for TSB7.BrgP
[wzr2hi, 03.11.2017] Added 7.513.750.907-01 for TSB7.BrgP
[wzr2hi, 24.01.2018] Added 7.513.750.861-03 for TSB9.1.BrgP
[wzr2hi, 20.02.2018] Added 7.513.750.803 for PreProd4.BrgP
[wzr2hi, 20.02.2018] Added 7.513.750.907 for PreProd4.BrgP
[wzr2hi, 20.09.2018] Added 7.513.751.185 for MP.BrgP (B02E LG UPT)
[wzr2hi, 20.09.2018] Added 7.513.751.186 for MP.BrgP (B02E LG UPT)
[wzr2hi, 25.03.2019] Added 7.513.751.450 for MP.BrgP (FMVSS) (B02E QLU)
[wzr2hi, 25.03.2019] Added 7.513.751.451 for MP.BrgP (FMVSS) (B02E QLU)</t>
  </si>
  <si>
    <t>7.513.750.847-03,
7.513.750.897-02,
7.513.750.847,
7.513.750.897,
7.513.751.187,
7.513.751.188,
7.513.751.452,
7.513.751.453</t>
  </si>
  <si>
    <t>[wzr2hi, 03.11.2017] Added 7.513.750.847-03 for TSB7.BrgP
[wzr2hi, 03.11.2017] Added 7.513.750.897-02 for TSB7.BrgP
[wzr2hi, 21.02.2018] Added 7.513.750.847 for PreProd4.BrgP
[wzr2hi, 21.02.2018] Added 7.513.750.897 for PreProd4.BrgP
[wzr2hi, 20.09.2018] Added 7.513.751.187 for MP.BrgP (B02E LG UPT)
[wzr2hi, 20.09.2018] Added 7.513.751.188 for MP.BrgP (B02E LG UPT)
[wzr2hi, 25.03.2019] Added 7.513.751.452 for MP.BrgP (FMVSS) (B02E QLU)
[wzr2hi, 25.03.2019] Added 7.513.751.453 for MP.BrgP (FMVSS) (B02E QLU)</t>
  </si>
  <si>
    <t>7.513.750.895,
7.513.750.898,
7.513.751.189,
7.513.751.270,
7.513.751.454,
7.513.751.455</t>
  </si>
  <si>
    <t>[wzr2hi, 21.02.2018] Added 7.513.750.895 for PreProd4.BrgP
[wzr2hi, 21.02.2018] Added 7.513.750.898 for PreProd4.BrgP
[wzr2hi, 20.09.2018] Added 7.513.751.189 for MP.BrgP (B02E LG UPT)
[wzr2hi, 20.09.2018] Added 7.513.751.270 for MP.BrgP (B02E LG UPT)
[wzr2hi, 25.03.2019] Added 7.513.751.454 for MP.BrgP (FMVSS) (B02E QLU)
[wzr2hi, 25.03.2019] Added 7.513.751.455 for MP.BrgP (FMVSS) (B02E QLU)</t>
  </si>
  <si>
    <t>7.513.750.888-02,
7.513.750.886-02,
7.513.750.888,
7.513.750.886,
7.513.751.271,
7.513.751.272,
7.513.751.447,
7.513.751.456</t>
  </si>
  <si>
    <t>[wzr2hi, 13.11.2017] Added 7.513.750.888-02 for TSB9.1.BrgP
[wzr2hi, 13.11.2017] Added 7.513.750.886-02 for TSB9.1.BrgP
[wzr2hi, 16.05.2018] Added 7.513.750.888 for SOP.BrgP (B02E)
[wzr2hi, 16.05.2018] Added 7.513.750.886 for SOP.BrgP (B02E)
[wzr2hi, 20.09.2018] Added 7.513.751.271 for MP.BrgP (B02E LG UPT)
[wzr2hi, 20.09.2018] Added 7.513.751.272 for MP.BrgP (B02E LG UPT)
[wzr2hi, 25.03.2019] Added 7.513.751.447 for MP.BrgP (FMVSS) (B02E QLU)
[wzr2hi, 25.03.2019] Added 7.513.751.456 for MP.BrgP (FMVSS) (B02E QLU)</t>
  </si>
  <si>
    <t>7.513.750.887-01,
7.513.750.889-01,
7.513.750.887,
7.513.750.889,
7.513.751.273,
7.513.751.274,
7.513.751.457,
7.513.751.458</t>
  </si>
  <si>
    <t>[wzr2hi, 15.09.2017] Added 7.513.750.887-01 for TSB6.BrgP
[wzr2hi, 15.09.2017] Added 7.513.750.889-01 for TSB6.BrgP
[wzr2hi, 16.05.2018] Added 7.513.750.887 for SOP.BrgP (B02E)
[wzr2hi, 16.05.2018] Added 7.513.750.889 for SOP.BrgP (B02E)
[wzr2hi, 20.09.2018] Added 7.513.751.273 for MP.BrgP (B02E LG UPT)
[wzr2hi, 20.09.2018] Added 7.513.751.274 for MP.BrgP (B02E LG UPT)
[wzr2hi, 25.03.2019] Added 7.513.751.457 for MP.BrgP (FMVSS) (B02E QLU)
[wzr2hi, 25.03.2019] Added 7.513.751.458 for MP.BrgP (FMVSS) (B02E QLU)</t>
  </si>
  <si>
    <t>PARTITION_SCHEMA128__AIVI2_NavAlliance</t>
  </si>
  <si>
    <t>7.515.751.130,
7.515.751.139,
7.515.751.539</t>
  </si>
  <si>
    <t>7.515.750.864,
7.515.750.831,
7.515.751.022,
7.515.751.140,
7.515.751.564</t>
  </si>
  <si>
    <t>7.513.750.906-03,
7.515.751.121-01,
7.513.751.171-01,
7.515.751.121-02,
7.513.751.171,
7.515.751.121,
7.513.751.549</t>
  </si>
  <si>
    <t>[wzr2hi, 13.03.2018] Added 7.513.750.906-03 for TSB1.BrgP (Q+)
[wzr2hi, 10.04.2018] Added 7.515.751.121-01 for TSB1.PgP1
[wzr2hi, 06.09.2018] Added 7.513.751.171-01 for TSB2.BrgP (V4/V5 SBX)
[wzr2hi, 14.09.2018] Added 7.515.751.121-02 forTSB1.PgP1 (V4/V5 SBX)
[wzr2hi, 14.02.2019] Added 7.513.751.171 for PreProdBis.BrgP (V4/V5 SBX)
[wzr2hi, 20.02.2019] Added 7.515.751.121 for PreProd1.PgP1 (V4/V5 SBX)
[wzr2hi, 05.04.2019] Added 7.513.751.549 for PreProd2.BrgP (V4/V5 SBX)</t>
  </si>
  <si>
    <t>7.515.751.120-01,
7.515.751.120-02,
7.513.751.281,
7.515.751.120,
7.513.751.539</t>
  </si>
  <si>
    <t>[wzr2hi, 10.04.2018] Added 7.515.751.120-01 for TSB1.PgP1
[wzr2hi, 14.09.2018] Added 7.515.751.120-02 forTSB1.PgP1 (V4/V5 SBX)
[wzr2hi, 14.02.2019] Added 7.513.751.281 for PreProdBis.BrgP (V4/V5 SBX)
[wzr2hi, 20.02.2019] Added 7.515.751.120 for PreProd1.PgP1 (V4/V5 SBX)
[wzr2hi, 05.04.2019] Added 7.513.751.539 for PreProd2.BrgP (V4/V5 SBX)</t>
  </si>
  <si>
    <t>7.515.751.122-01,
7.515.751.122-02,
7.513.751.284,
7.515.751.122,
7.513.751.565</t>
  </si>
  <si>
    <t>[wzr2hi, 10.04.2018] Added 7.515.751.122-01 for TSB1.PgP1
[wzr2hi, 14.09.2018] Added 7.515.751.122-02 forTSB1PgP1 (V4/V5 SBX)
[wzr2hi, 14.02.2019] Added 7.513.751.284 for PreProdBis.BrgP (V4/V5 SBX)
[wzr2hi, 20.02.2019] Added 7.515.751.122 for PreProd1PgP1 (V4/V5 SBX)
[wzr2hi, 05.04.2019] Added 7.513.751.565 for PreProd2.BrgP (V4/V5 SBX)</t>
  </si>
  <si>
    <t>7.513.750.806-03,
7.513.751.159-01,
7.513.751.159,
7.513.751.535</t>
  </si>
  <si>
    <t>[wzr2hi, 25.04.2018] Added 7.513.750.806-03 for TSB2.BrgP (V4/V5 SBX)
[wzr2hi, 06.09.2018] Added 7.513.751.159-01 for TSB2.BrgP (V4/V5 SBX)
[wzr2hi, 13.02.2019] Added 7.513.751.159 for PreProdBis.BrgP (V4/V5 SBX)
[wzr2hi, 05.04.2019] Added 7.513.751.535 for PreProd2.BrgP (V4/V5 SBX)</t>
  </si>
  <si>
    <t>7.513.750.822-03,
7.513.751.166-01,
7.513.751.166,
7.513.751.548</t>
  </si>
  <si>
    <t>[wzr2hi, 25.04.2018] Added 7.513.750.822-03 for TSB2.BrgP (V4/V5 SBX)
[wzr2hi, 06.09.2018] Added 7.513.751.166-01 for TSB2.BrgP (V4/V5 SBX)
[wzr2hi, 13.02.2019] Added 7.513.751.166 for PreProdBis.BrgP (V4/V5 SBX)
[wzr2hi, 05.04.2019] Added 7.513.751.548 for PreProd2.BrgP (V4/V5 SBX)</t>
  </si>
  <si>
    <t>7.503.750.879-01,
7.503.750.879,
7.503.751.260</t>
  </si>
  <si>
    <t>[wzr2hi, 06.09.2018] Added 7.503.750.879-01 for TSB2.BrgP (V4/V5 SBX)
[wzr2hi, 13.02.2019] Added 7.503.750.879 for PreProdBis.BrgP (V4/V5 SBX)
[wzr2hi, 05.04.2019] Added 7.503.751.260 for PreProd2.BrgP (V4/V5 SBX)</t>
  </si>
  <si>
    <t>7.513.751.161-01,
7.513.751.161,
7.515.751.417,
7.513.751.534</t>
  </si>
  <si>
    <t>[wzr2hi, 06.09.2018] Added 7.513.751.161-01 for TSB2.BrgP (V4/V5 SBX)
[wzr2hi, 13.02.2019] Added 7.513.751.161 for PreProdBis.BrgP (V4/V5 SBX)
[wzr2hi, 14.02.2019] Added 7.515.751.417 for PreProd1.PgP1 (V4/V5 SBX)
[wzr2hi, 05.04.2019] Added 7.513.751.534 for PreProd2.BrgP (V4/V5 SBX)</t>
  </si>
  <si>
    <t>7.513.751.169-01,
7.513.751.169,
7.515.751.428,
7.513.751.547</t>
  </si>
  <si>
    <t>7.515.751.172-01,
7.513.751.282,
7.515.751.172,
7.513.751.540</t>
  </si>
  <si>
    <t>[wzr2hi, 14.09.2018] Added 7.515.751.172-01 for TSB1.PgP1 (V4/V5 SBX)
[wzr2hi, 14.02.2019] Added 7.513.751.282 for PreProdBis.BrgP (V4/V5 SBX)
[wzr2hi, 20.02.2019] Added 7.515.751.172 for PreProd1.PgP1 (V4/V5 SBX)
[wzr2hi, 05.04.2019] Added 7.513.751.540 for PreProd2.BrgP (V4/V5 SBX)</t>
  </si>
  <si>
    <t>7.515.751.173-01,
7.513.751.283,
7.515.751.173,
7.513.751.541</t>
  </si>
  <si>
    <t>[wzr2hi, 14.09.2018] Added 7.515.751.173-01 for TSB1.PgP1 (V4/V5 SBX)
[wzr2hi, 14.02.2019] Added 7.513.751.283 for PreProdBis.BrgP (V4/V5 SBX)
[wzr2hi, 20.02.2019] Added 7.515.751.173 for PreProd1.PgP1 (V4/V5 SBX)
[wzr2hi, 05.04.2019] Added 7.513.751.541 for PreProd2.BrgP (V4/V5 SBX)</t>
  </si>
  <si>
    <t>7.515.751.174-01,
7.513.751.285,
7.515.751.174,
7.513.751.566</t>
  </si>
  <si>
    <t>[wzr2hi, 14.09.2018] Added 7.515.751.174-01 for TSB1.PgP1 (V4/V5 SBX)
[wzr2hi, 14.02.2019] Added 7.513.751.285 for PreProdBis.BrgP (V4/V5 SBX)
[wzr2hi, 20.02.2019] Added 7.515.751.174 for PreProd1.PgP1 (V4/V5 SBX)
[wzr2hi, 05.04.2019] Added 7.513.751.566 for PreProd2.BrgP (V4/V5 SBX)</t>
  </si>
  <si>
    <t>7.515.751.175-01,
7.513.751.286,
7.515.751.175,
7.513.751.567</t>
  </si>
  <si>
    <t>[wzr2hi, 14.09.2018] Added 7.515.751.175-01 for TSB1.PgP1 (V4/V5 SBX)
[wzr2hi, 14.02.2019] Added 7.513.751.286 for PreProdBis.BrgP (V4/V5 SBX)
[wzr2hi, 20.02.2019] Added 7.515.751.175 for PreProd1.PgP1 (V4/V5 SBX)
[wzr2hi, 05.04.2019] Added 7.513.751.567 for PreProd2.BrgP (V4/V5 SBX)</t>
  </si>
  <si>
    <t>7.513.751.355,
7.515.751.460,
7.513.751.575</t>
  </si>
  <si>
    <t>[wzr2hi, 14.02.2019] Added 7.513.751.355 for PreProdBis.BrgP (V4/V5 SBX)
[wzr2hi, 14.02.2019] Added 7.515.751.460 for PreProd1.PgP1 (V4/V5 SBX)
[wzr2hi, 05.04.2019] Added 7.513.751.575 for PreProd2.BrgP (V4/V5 SBX)</t>
  </si>
  <si>
    <t>7.503.750.863-01,
7.503.750.882-01,
7.503.750.882,
7.503.751.195,
7.503.751.263,
7.503.751.264</t>
  </si>
  <si>
    <r>
      <rPr>
        <sz val="10"/>
        <color rgb="FFFF0000"/>
        <rFont val="Arial"/>
        <family val="2"/>
      </rPr>
      <t>[wzr2hi, 13.03.2018] Added 7.503.750.863-01 for TSB2.BrgP (V4/V5 SBX) (In VM: EN_ND_DAB_noMap)</t>
    </r>
    <r>
      <rPr>
        <sz val="10"/>
        <color theme="1"/>
        <rFont val="Arial"/>
        <family val="2"/>
      </rPr>
      <t xml:space="preserve">
[wzr2hi, 06.09.2018] Added 7.503.750.882-01 for TSB2.BrgP (V4/V5 SBX)
[wzr2hi, 13.02.2019] Added 7.503.750.882 for PreProdBis.BrgP (V4/V5 SBX)
[wzr2hi, 14.02.2019] Added 7.503.751.195 for PreProdBis.BrgP (V4/V5 SBX)
[wzr2hi, 05.04.2019] Added 7.503.751.263 for PreProd2.BrgP (V4/V5 SBX)
[wzr2hi, 05.04.2019] Added 7.503.751.264 for PreProd2.BrgP (V4/V5 SBX)</t>
    </r>
  </si>
  <si>
    <t>Renault Scope 3.0 Full DA, MI_ND_DAB_noMap</t>
  </si>
  <si>
    <t>7.503.751.258-01</t>
  </si>
  <si>
    <t>7.513.751.532-01</t>
  </si>
  <si>
    <t>[wzr2hi, 10.04.2019] Added 7.503.751.258-01 for TSB2.BrgP (V2)</t>
  </si>
  <si>
    <t>[wzr2hi, 10.04.2019] Added 7.513.751.532-01 for TSB2.BrgP (V2)</t>
  </si>
  <si>
    <t>7.513.750.862-01,
7.513.751.287-01,
7.513.751.528-01</t>
  </si>
  <si>
    <t>[wzr2hi, 19.07.2018] Added 7.513.750.862-01 for TSB1.BrgP (V1)
[wzr2hi, 19.10.2018] Added 7.513.751.287-01 for TSB1.BrgP (V2)
[wzr2hi, 10.04.2019] Added 7.513.751.528-01 for TSB2.BrgP (V2)</t>
  </si>
  <si>
    <t>7.513.750.864-01,
7.513.751.294-01,
7.513.751.294-02</t>
  </si>
  <si>
    <t>[wzr2hi, 19.07.2018] Added 7.513.750.864-01 for TSB1.BrgP (V1)
[wzr2hi, 19.10.2018] Added 7.513.751.294-01 for TSB1.BrgP (V2)
[wzr2hi, 10.04.2019] Added 7.513.751.294-02 for TSB2.BrgP (V2)</t>
  </si>
  <si>
    <t>7.513.750.867-01,
7.513.751.295-01,
7.513.751.295-02</t>
  </si>
  <si>
    <t>[wzr2hi, 19.07.2018] Added 7.513.750.867-01 for TSB1.BrgP (V1)
[wzr2hi, 19.10.2018] Added 7.513.751.295-01 for TSB1.BrgP (V2)
[wzr2hi, 10.04.2019] Added 7.513.751.295-02 for TSB2.BrgP (V2)</t>
  </si>
  <si>
    <t>7.513.750.882-02,
7.515.751.162-01,
7.515.751.165-01,
7.513.751.297-01,
7.513.751.297-02</t>
  </si>
  <si>
    <t>[wzr2hi, 19.07.2018] Added 7.513.750.882-02 for TSB1.BrgP (V1)
[wzr2hi, 13.09.2018] Added 7.515.751.162-01 for TSB1.PgP1 (V2)
[wzr2hi, 13.09.2018] Added 7.515.751.165-01 for TSB1.PgP1 (V1)
[wzr2hi, 19.10.2018] Added 7.513.751.297-01 for TSB1.BrgP (V2)
[wzr2hi, 10.04.2019] Added 7.513.751.297-02 for TSB2.BrgP (V2)</t>
  </si>
  <si>
    <t>7.513.751.052-01,
7.513.751.358-01,
7.513.751.530-01</t>
  </si>
  <si>
    <t>[wzr2hi, 19.07.2018] Added 7.513.751.052-01 for TSB1.BrgP (V1)
[wzr2hi, 19.10.2018] Added 7.513.751.358-01 for TSB1.BrgP (V2)
[wzr2hi, 10.04.2019] Added 7.513.751.530-01 for TSB2.BrgP (V2)</t>
  </si>
  <si>
    <t>7.513.751.053-01,
7.515.750.988-01,
7.513.751.289-01,
7.513.751.289-02</t>
  </si>
  <si>
    <t>[wzr2hi, 19.07.2018] Added 7.513.751.053-01 for TSB1.BrgP (V1)
[wzr2hi, 13.09.2018] Added 7.515.750.988-01 for TSB1.PgP1 (V2)
[wzr2hi, 19.10.2018] Added 7.513.751.289-01 for TSB1.BrgP (V2)
[wzr2hi, 10.04.2019] Added 7.513.751.289-02 for TSB2.BrgP (V2)</t>
  </si>
  <si>
    <t>7.513.751.054-01,
7.513.751.290-01,
7.513.751.290-02</t>
  </si>
  <si>
    <t>[wzr2hi, 19.07.2018] Added 7.513.751.054-01 for TSB1.BrgP (V1)
[wzr2hi, 19.10.2018] Added 7.513.751.290-01 for TSB1.BrgP (V2)
[wzr2hi, 10.04.2019] Added 7.513.751.290-02 for TSB2.BrgP (V2)</t>
  </si>
  <si>
    <t>7.513.750.883-02,
7.515.750.989-01,
7.515.751.158-01,
7.513.751.298-01,
7.513.751.298-02</t>
  </si>
  <si>
    <t>[wzr2hi, 19.07.2018] Added 7.513.750.883-02 for TSB1.BrgP (V1)
[wzr2hi, 13.09.2018] Added 7.515.750.989-01 for TSB1.PgP1 (V2)
[wzr2hi, 13.09.2018] Added 7.515.751.158-01 for TSB1.PgP1 (V1)
[wzr2hi, 19.10.2018] Added 7.513.751.298-01 for TSB1.BrgP (V2)
[wzr2hi, 10.04.2019] Added 7.513.751.298-02 for TSB2.BrgP (V2)</t>
  </si>
  <si>
    <t>7.513.751.055-01,
7.515.751.020-01,
7.515.751.159-01,
7.513.751.292-01,
7.513.751.292-02</t>
  </si>
  <si>
    <t>[wzr2hi, 19.07.2018] Added 7.513.751.055-01 for TSB1.BrgP (V1)
[wzr2hi, 13.09.2018] Added 7.515.751.020-01 for TSB1.PgP1 (V2)
[wzr2hi, 13.09.2018] Added 7.515.751.159-01 for TSB1.PgP1 (V1)
[wzr2hi, 19.10.2018] Added 7.513.751.292-01 for TSB1.BrgP (V2)
[wzr2hi, 10.04.2019] Added 7.513.751.292-02 for TSB2.BrgP (V2)</t>
  </si>
  <si>
    <t>7.513.751.291-01,
7.513.751.529-01</t>
  </si>
  <si>
    <t>[wzr2hi, 19.10.2018] Added 7.513.751.291-01 for TSB1.BrgP (V2)
[wzr2hi, 10.04.2019] Added 7.513.751.529-01 for TSB2.BrgP (V2)</t>
  </si>
  <si>
    <t>7.513.751.296-01,
7.513.751.296-02</t>
  </si>
  <si>
    <t>[wzr2hi, 19.10.2018] Added 7.513.751.296-01 for TSB1.BrgP (V2)
[wzr2hi, 10.04.2019] Added 7.513.751.296-02 for TSB2.BrgP (V2)</t>
  </si>
  <si>
    <t>7.513.751.300-01,
7.513.751.300-02</t>
  </si>
  <si>
    <t>[wzr2hi, 19.10.2018] Added 7.513.751.300-01 for TSB1.BrgP (V2)
[wzr2hi, 10.04.2019] Added 7.513.751.300-02 for TSB2.BrgP (V2)</t>
  </si>
  <si>
    <t>Renault Scope 3.0 Access Nav, EN_NAF_FM_Iran</t>
  </si>
  <si>
    <t>CPLD_PEXT_SBR_PM02</t>
  </si>
  <si>
    <t>[wzr2hi, 06.09.2018] Added 7.503.750.883-01 for TSB2.BrgP (V4/V5 SBX) =&gt; [wzr2hi, 09.11.2018] Moved to own FCID
[wzr2hi, 14.09.2018] Added 7.505.751.101-02 for TSB1.PgP1 (V4/V5 SBX) =&gt; [wzr2hi, 09.11.2018] Moved to own FCID
[wzr2hi, 14.02.2019] Added 7.505.751.209 for PreProd1.PgP1 (V4/V5 SBX)
[wzr2hi, 05.04.2019] Added 7.503.751.267 for PreProd2.BrgP (V4/V5 SBX)
[wzr2hi, 11.04.2019] Added 7.503.751.266 for PreProdTBC.BrgP (V4/V5 SBX)</t>
  </si>
  <si>
    <r>
      <t xml:space="preserve">Nissan P-IVI NAV-Premium </t>
    </r>
    <r>
      <rPr>
        <sz val="10"/>
        <color rgb="FFFF0000"/>
        <rFont val="Arial"/>
        <family val="2"/>
      </rPr>
      <t>MEA</t>
    </r>
    <r>
      <rPr>
        <sz val="10"/>
        <color rgb="FF000000"/>
        <rFont val="Arial"/>
        <family val="2"/>
      </rPr>
      <t xml:space="preserve"> (DAB)</t>
    </r>
  </si>
  <si>
    <t>Nissan P-IVI DA-Premium DA2(LAC/AFR/MEA/CAS/RUS) (DAB)</t>
  </si>
  <si>
    <t>RFS_GEN3_21J
rnaivi_nav_jpn
(A-IVI_Scope3.*_Nissan_Nav_MID ??? res)
(BOSCH, KOR and JPN-Navi installed)</t>
  </si>
  <si>
    <t>RFS_GEN3_21J</t>
  </si>
  <si>
    <t>Nissan Scope 2.1 DA-Mid EUR/TKY (AMFM)</t>
  </si>
  <si>
    <t>[wzr2hi, 07.05.2018] Added 7.515.751.133-01 for TSB14.4.PgP1
[wzr2hi, 10.05.2019] Added 7.515.751.628 for PP19.PgP1 (L42P)</t>
  </si>
  <si>
    <t>7.515.751.133-01,
7.515.751.628</t>
  </si>
  <si>
    <t>Nissan Scope 2.0 MID Navi ASEAN-A (PHI) (AM/FM)</t>
  </si>
  <si>
    <t>Nissan Scope 2.1 NAV-Mid EUR(TKY) (DAB)</t>
  </si>
  <si>
    <t>7.513.751.658</t>
  </si>
  <si>
    <t>[wzr2hi, 04.06.2019] Added 7.513.751.658 for PreProd2.BrgP (V4/V5 SBX)</t>
  </si>
  <si>
    <t>7.513.750.829-01,
7.513.750.829-02,
7.513.750.829,
7.513.751.612</t>
  </si>
  <si>
    <t>[wzr2hi, 30.08.2017] Added 7.513.750.829-01 for TSB1.BrgP (SBX)
[wzr2hi, 13.03.2018] Added 7.513.750.829-02 for TSB2.BrgP (V4/V5 SBX)
[wzr2hi, 20.06.2018] Added 7.513.750.829 for PreProd1.BrgP (V4/V5 SBX) =&gt; [wzr2hi, 05.09.2018] Moved to PreProd2.BrgP (V4/V5 SBX)
[wzr2hi, 04.06.2019] Added 7.513.751.612 for PreProd2.BrgP (V4/V5 SBX)</t>
  </si>
  <si>
    <t>7.513.750.891-01,
7.513.751.610,
7.513.751.657</t>
  </si>
  <si>
    <t>[wzr2hi, 30.08.2017] Added 7.513.750.891-01 for TSB1.BrgP (SBX)
[wzr2hi, 04.06.2019] Added 7.513.751.610 for PreProd2.BrgP (V4/V5 SBX)
[wzr2hi, 04.06.2019] Added 7.513.751.657 for PreProd2.BrgP (V4/V5 SBX)</t>
  </si>
  <si>
    <t>Renault Scope 2.1 Full Nav, MI_NDL_DAB_SAM-ARG</t>
  </si>
  <si>
    <t>[wzr2hi, 05.06.2019] Added 7.513.751.656 for PP2.BrgP (V4 SBX)</t>
  </si>
  <si>
    <t>7.513.751.656</t>
  </si>
  <si>
    <t>[wzr2hi, 30.08.2017] Added 7.513.750.811-01 for TSB1.BrgP (SBX)
[wzr2hi, 13.03.2018] Added 7.513.750.811-02 for TSB2.BrgP (V4/V5 SBX)
[wzr2hi, 20.06.2018] Added 7.513.750.811 for PreProd1.BrgP (V4/V5 SBX) =&gt; [wzr2hi, 05.09.2018] Moved to PreProd2.BrgP (V4/V5 SBX)
[wzr2hi, 05.06.2019] Added 7.513.751.611 for PP2.BrgP (V4 SBX)</t>
  </si>
  <si>
    <t>7.513.750.811-01,
7.513.750.811-02,
7.513.750.811,
7.513.751.611</t>
  </si>
  <si>
    <t>[wzr2hi, 05.06.2019] Added 7.513.751.609 for PP2.BrgP (V4 SBX)
[wzr2hi, 05.06.2019] Added 7.513.751.655 for PP2.BrgP (V4 SBX)</t>
  </si>
  <si>
    <t>7.513.751.609,
7.513.751.655</t>
  </si>
  <si>
    <t>Renault Scope 2.1 Core Nav, EN_ND_DAB_AFR</t>
  </si>
  <si>
    <t>Renault Scope 2.1 Core Nav, EN_ND_DAB_SAM-ARG</t>
  </si>
  <si>
    <t>7.510.751.503-01,
7.510.751.503-02</t>
  </si>
  <si>
    <t>[wzr2hi, 17.06.2019] Added 7.510.751.503-01 for DSB3.0.HI (P42R)
[wzr2hi, 14.06.2019] Added 7.510.751.503-02 for DSB3.2.HI (P42R)</t>
  </si>
  <si>
    <t>Nissan Scope 2.1 MID Navi RUS(RUS) (AM/FM) (CPLD)</t>
  </si>
  <si>
    <t>0.000.000.000-00</t>
  </si>
  <si>
    <t>Nissan Scope 2.1 DA-Mid EUL/GBR/TKY (DAB)</t>
  </si>
  <si>
    <t>7.513.750.802-03,
7.513.750.904-01,
7.515.750.882-01,
7.515.750.971-01,
7.513.751.035,
7.513.750.904,
7.513.750.802,
7.513.751.043,
7.515.750.348,
7.513.751.446,
7.513.751.644,
7.513.751.645,
7.515.751.633,
7.515.751.634</t>
  </si>
  <si>
    <t>7.503.750.819-01,
7.503.750.811-02,
7.505.750.877-01,
7.503.750.870,
7.503.750.811,
7.503.750.865,
7.505.751.034,
7.503.751.315,
7.505.751.357</t>
  </si>
  <si>
    <t>7.513.751.049,
7.513.751.058,
7.513.751.647,
7.515.751.636</t>
  </si>
  <si>
    <t>[wzr2hi, 17.05.2018] Added 7.513.751.049 for PreProd6.1.BrgP (P32S) =&gt; [wzr2hi, 25.10.2018] Moved to an own FCID to introduce DAB.
[wzr2hi, 16.08.2018] Added 7.513.751.058 for PreProd7.BrpP (P32S) =&gt; [wzr2hi, 25.10.2018] Moved to an own FCID to introduce DAB.
[wzr2hi, 19.06.2019] Added 7.513.751.647 for QLU1.BrpP (P32S)
[wzr2hi, 03.07.2019] Added 7.515.751.636 for PreProd21.PgP1 (P32R)</t>
  </si>
  <si>
    <t>Serial NOR
for Ethernet Switch</t>
  </si>
  <si>
    <t>NO_ETH_SWITCH</t>
  </si>
  <si>
    <t>ETH_SWITCH_updatable</t>
  </si>
  <si>
    <t>ETH_SWITCH_not_updatable</t>
  </si>
  <si>
    <t>7.515.751.024-01,
7.513.751.445,
7.513.751.429,
7.513.751.660</t>
  </si>
  <si>
    <t>[wzr2hi, 21.03.2018] Added 7.515.751.024-01 for TSB13.4.PgP1
[wzr2hi, 18.12.2018] Added 7.513.751.445 for PreProd10.BrgP (B12P)
[wzr2hi, 24.01.2018] Added 7.513.751.429 for PreProd10.1.BrgP (P13A)
[wzr2hi, 10.07.2019] Added 7.513.751.660 for PreProd15.BrgP (U60)</t>
  </si>
  <si>
    <t>7.513.751.436,
7.513.751.599,
7.513.751.642</t>
  </si>
  <si>
    <t>[wzr2hi, 24.01.2018] Added 7.513.751.436 for PreProd10.1.BrgP (P13A)
[wzr2hi, 03.07.2019] Added 7.513.751.599 for PreProd11.BrgP (P13A)
[wzr2hi, 10.07.2019] Added 7.513.751.642 for PreProd15.BrgP (U60)</t>
  </si>
  <si>
    <t>[wzr2hi, 15.01.2019] Added 7.515.751.238-01 for DSB2.Hi (PZ1A)</t>
  </si>
  <si>
    <t>[wzr2hi, 16.01.2019] Added 7.505.751.204-B1 for DSB2.Hi (BringUp-Prototype)</t>
  </si>
  <si>
    <t>[wzr2hi, 18.03.2019] Added 7.515.751.143-02 for TSB1.PgP1 (TBD)
[wzr2hi, 18.03.2019] Added 7.515.751.419-01 for TSB1.PgP1 (TBD)
[wzr2hi, 18.03.2019] Added 7.515.751.422-01 for TSB1.PgP1 (TBD) (TU)</t>
  </si>
  <si>
    <t>[wzr2hi, 18.03.2019] Added 7.515.751.176-02 for TSB1.PgP1 (TBD)
[wzr2hi, 18.03.2019] Added 7.515.751.424-01 for TSB1.PgP1 (TBD) (TU)</t>
  </si>
  <si>
    <t>[wzr2hi, 18.03.2019] Added 7.515.751.238-02 for TSB1.PgP1 (TBD) (M3 V1.2)
[wzr2hi, 18.03.2019] Added 7.515.751.238-03 for TSB1.PgP1 (TBD) (M3 V1.3)</t>
  </si>
  <si>
    <t>[wzr2hi, 18.03.2019] Added 7.505.751.205-01 for TSB1.PgP1 (TBD)
[wzr2hi, 18.03.2019] Added 7.505.751.204-02 for TSB1.PgP1 (TBD)</t>
  </si>
  <si>
    <t>[wzr2hi, 18.03.2019] Added 7.515.751.453-02 for TSB1.PgP1 (TBD)
[wzr2hi, 18.03.2019] Added 7.515.751.454-01 for TSB1.PgP1 (TBD)</t>
  </si>
  <si>
    <t>[wzr2hi, 18.03.2019] Added 7.505.751.256-01 for TSB1.PgP1 (TBD)
[wzr2hi, 18.03.2019] Added 7.505.751.280-01 for TSB1.PgP1 (TBD)</t>
  </si>
  <si>
    <t>[wzr2hi, 18.03.2019] Added 7.515.751.455-01 for TSB1.PgP1 (TBD)</t>
  </si>
  <si>
    <t>[wzr2hi, 18.03.2019] Added 7.505.751.281-01 for TSB1.PgP1 (TBD)</t>
  </si>
  <si>
    <t>[wzr2hi, 18.03.2019] Added 7.505.751.282-01 for TSB1.PgP1 (TBD)</t>
  </si>
  <si>
    <t>PARTITION_SCHEMA8__ST3X_DARenaultObigo</t>
  </si>
  <si>
    <t>PARTITION_SCHEMA32__ST3X_DA</t>
  </si>
  <si>
    <t>PARTITION_SCHEMA32__ST3X_NavRenaultNarObigo</t>
  </si>
  <si>
    <t>PARTITION_SCHEMA32__ST3X_NavRenaultObigo</t>
  </si>
  <si>
    <t>PARTITION_SCHEMA64__ST3X_NavRenault</t>
  </si>
  <si>
    <t>PARTITION_SCHEMA64__ST2X_NavRenault</t>
  </si>
  <si>
    <t>PARTITION_SCHEMA8__ST2X_DARenaultObigo</t>
  </si>
  <si>
    <t>PARTITION_SCHEMA32__ST2X_NavRenaultObigo</t>
  </si>
  <si>
    <t>PARTITION_SCHEMA32__ST2X_NavRenaultNarObigo</t>
  </si>
  <si>
    <t>2394+</t>
  </si>
  <si>
    <t>3003+</t>
  </si>
  <si>
    <t>2029+</t>
  </si>
  <si>
    <t>1827+</t>
  </si>
  <si>
    <t>2557+</t>
  </si>
  <si>
    <t>2917+</t>
  </si>
  <si>
    <t>DL-Tooling supports Renault ST2X and ST2X partition schemas. DL-Config pending.</t>
  </si>
  <si>
    <t>Other Branches</t>
  </si>
  <si>
    <t>Not yet planned to support Renault ST2X and ST2X partition schemas.</t>
  </si>
  <si>
    <t>[wzr2hi, 13.03.2018] Added 7.503.750.814-02 for TSB2.BrgP (V4/V5 SBX)
[wzr2hi, 20.06.2018] Added 7.503.750.814 for PreProd1.BrgP (V4/V5 SBX)
[wzr2hi, 06.09.2018] Added 7.503.750.888 for PreProd2.BrgP (V4/V5 SBX)
[wzr2hi, 23.08.2019] Added 7.503.751.327  for QLU0.1.BrgP (V4/V5 SBX)</t>
  </si>
  <si>
    <t>7.503.750.814-02,
7.503.750.814,
7.503.750.888,
7.503.751.327</t>
  </si>
  <si>
    <t>Renault Scope 2.1 Full Nav, MI_NDL_DAB_MEA</t>
  </si>
  <si>
    <t>Mitsubishi Scope 3.1 NAV-Mid NAM(US/CAN) (HD)</t>
  </si>
  <si>
    <t>Mitsubishi Scope 3.1 DA-Mid DA EUR (DAB)</t>
  </si>
  <si>
    <t>Mitsubishi Scope 3.1 DA-Mid PRC/KOR/ASEAN (AM/FM)</t>
  </si>
  <si>
    <t>Mitsubishi Scope 3.1 DA-Mid ASEAN/AUS/NZL (DAB)</t>
  </si>
  <si>
    <t>Mitsubishi Scope 3.1 DA-Mid GCC/MEA/EGY (DAB)</t>
  </si>
  <si>
    <t>Mitsubishi Scope 3.1 NAV-Mid PRC(APAC) (AM/FM)</t>
  </si>
  <si>
    <t>Mitsubishi Scope 3.1 NAV-Mid PRC(TWN) (AM/FM)</t>
  </si>
  <si>
    <t>Mitsubishi Scope 3.1 NAV-Mid NAM(MEX) (HD)</t>
  </si>
  <si>
    <t>Mitsubishi Scope 3.1 NAV-Mid EUR(TKY) (AM/FM)</t>
  </si>
  <si>
    <t>Mitsubishi Scope 3.1 NAV-Mid CAS(ISR) (AM/FM)</t>
  </si>
  <si>
    <t>Mitsubishi Scope 3.1 NAV-Mid LAC(SAM-CHL) (AM/FM)</t>
  </si>
  <si>
    <t>Mitsubishi Scope 3.1 NAV-Mid AFR(AFR) (AM/FM)</t>
  </si>
  <si>
    <t>Mitsubishi Scope 3.1 NAV-Mid LAC(SAM-ARG) (AM/FM)</t>
  </si>
  <si>
    <t>Mitsubishi Scope 3.1 NAV-Mid RUS(RUS) (AM/FM)</t>
  </si>
  <si>
    <t>Mitsubishi Scope 3.1 NAV-Mid AFR(MEA/EGP) (DAB)</t>
  </si>
  <si>
    <t>Mitsubishi Scope 3.1 NAV-Mid PRC(APAC/AUS/NZL) (DAB)</t>
  </si>
  <si>
    <t>030111 (M3_ES2.0)</t>
  </si>
  <si>
    <t>030211 (M3_ES2.0)</t>
  </si>
  <si>
    <t>030311 (M3_V1.2_WS)</t>
  </si>
  <si>
    <t>030411 (M3_1.2_WS)</t>
  </si>
  <si>
    <t>030611 (M3_V1.2_WS)</t>
  </si>
  <si>
    <t>030A11 (M3_V1.3_CS)</t>
  </si>
  <si>
    <t>7.515.751.755-01</t>
  </si>
  <si>
    <t>[wzr2hi, 23.08.2019] Added 7.515.751.755-01 for TSB2.PgP1 (TBD)</t>
  </si>
  <si>
    <t>7.515.751.756-01</t>
  </si>
  <si>
    <t>[wzr2hi, 23.08.2019] Added 7.515.751.756-01 for TSB2.PgP1 (TBD)</t>
  </si>
  <si>
    <t>7.515.751.760-01</t>
  </si>
  <si>
    <t>[wzr2hi, 23.08.2019] Added 7.515.751.760-01 for TSB2.PgP1 (TBD)</t>
  </si>
  <si>
    <t>7.515.751.763-01</t>
  </si>
  <si>
    <t>[wzr2hi, 23.08.2019] Added 7.515.751.763-01 for TSB2.PgP1 (TBD)</t>
  </si>
  <si>
    <t>7.515.751.758-01</t>
  </si>
  <si>
    <t>[wzr2hi, 23.08.2019] Added 7.515.751.758-01 for TSB2.PgP1 (TBD)</t>
  </si>
  <si>
    <t>7.515.751.238-04</t>
  </si>
  <si>
    <t>[wzr2hi, 23.08.2019] Added 7.515.751.238-04 for TSB2.PgP1 (TBD)</t>
  </si>
  <si>
    <t>7.515.751.759-01</t>
  </si>
  <si>
    <t>[wzr2hi, 23.08.2019] Added 7.515.751.759-01 for TSB2.PgP1 (TBD)</t>
  </si>
  <si>
    <t>7.515.751.761-01</t>
  </si>
  <si>
    <t>[wzr2hi, 23.08.2019] Added 7.515.751.761-01 for TSB2.PgP1 (TBD)</t>
  </si>
  <si>
    <t>7.515.751.757-01</t>
  </si>
  <si>
    <t>[wzr2hi, 23.08.2019] Added 7.515.751.757-01 for TSB2.PgP1 (TBD)</t>
  </si>
  <si>
    <t>7.515.751.762-01</t>
  </si>
  <si>
    <t>[wzr2hi, 23.08.2019] Added 7.515.751.762-01 for TSB2.PgP1 (TBD)</t>
  </si>
  <si>
    <t>7.515.751.764-01</t>
  </si>
  <si>
    <t>[wzr2hi, 23.08.2019] Added 7.515.751.764-01 for TSB2.PgP1 (TBD)</t>
  </si>
  <si>
    <t>7.515.751.455-02</t>
  </si>
  <si>
    <t>[wzr2hi, 23.08.2019] Added 7.515.751.455-02 for TSB2.PgP1 (TBD)</t>
  </si>
  <si>
    <t>7.515.751.698-01</t>
  </si>
  <si>
    <t>[wzr2hi, 23.08.2019] Added 7.515.751.698-01 for TSB2.PgP1 (TBD)</t>
  </si>
  <si>
    <t>7.515.751.699-01</t>
  </si>
  <si>
    <t>[wzr2hi, 23.08.2019] Added 7.515.751.699-01 for TSB2.PgP1 (TBD)</t>
  </si>
  <si>
    <t>7.515.751.700-01</t>
  </si>
  <si>
    <t>[wzr2hi, 23.08.2019] Added 7.515.751.700-01 for TSB2.PgP1 (TBD)</t>
  </si>
  <si>
    <t>7.515.751.701-01</t>
  </si>
  <si>
    <t>[wzr2hi, 23.08.2019] Added 7.515.751.701-01 for TSB2.PgP1 (TBD)</t>
  </si>
  <si>
    <t>7.515.751.702-01</t>
  </si>
  <si>
    <t>[wzr2hi, 23.08.2019] Added 7.515.751.702-01 for TSB2.PgP1 (TBD)</t>
  </si>
  <si>
    <t>7.515.751.765-01</t>
  </si>
  <si>
    <t>[wzr2hi, 23.08.2019] Added 7.515.751.765-01 for TSB2.PgP1 (TBD)</t>
  </si>
  <si>
    <t>7.515.751.766-01</t>
  </si>
  <si>
    <t>[wzr2hi, 23.08.2019] Added 7.515.751.766-01 for TSB2.PgP1 (TBD)</t>
  </si>
  <si>
    <t>7.515.751.767-01</t>
  </si>
  <si>
    <t>[wzr2hi, 23.08.2019] Added 7.515.751.767-01 for TSB2.PgP1 (TBD)</t>
  </si>
  <si>
    <t>030911 (M3_V1.3_CS)</t>
  </si>
  <si>
    <t>7.505.751.377-01</t>
  </si>
  <si>
    <t>[wzr2hi, 23.08.2019] Added 7.505.751.377-01 for TSB2.PgP1 (TBD)</t>
  </si>
  <si>
    <t>7.505.751.281-02</t>
  </si>
  <si>
    <t>[wzr2hi, 23.08.2019] Added 7.505.751.281-02 for TSB2.PgP1 (TBD)</t>
  </si>
  <si>
    <t>7.505.751.378-01</t>
  </si>
  <si>
    <t>[wzr2hi, 23.08.2019] Added 7.505.751.378-01 for TSB2.PgP1 (TBD)</t>
  </si>
  <si>
    <t>7.505.751.379-01</t>
  </si>
  <si>
    <t>[wzr2hi, 23.08.2019] Added 7.505.751.379-01 for TSB2.PgP1 (TBD)</t>
  </si>
  <si>
    <t>7.515.751.457-01,
7.515.751.456-01,
7.515.751.456,
7.515.751.457</t>
  </si>
  <si>
    <t>[wzr2hi, 21.01.2019] Added 7.515.751.457-01 for TSB18.PgP1 (L42N)
[wzr2hi, 21.01.2019] Added 7.515.751.456-01 for TSB18.PgP1 (L42P)
[wzr2hi, 29.08.2019] Added 7.515.751.456 for PP25.PgP1 (L42P)
[wzr2hi, 29.08.2019] Added 7.515.751.457 for PP25.PgP1 (L42N)</t>
  </si>
  <si>
    <r>
      <t>Nissan Scope 2 DA-MID LAC/</t>
    </r>
    <r>
      <rPr>
        <sz val="10"/>
        <color rgb="FFFFC000"/>
        <rFont val="Arial"/>
        <family val="2"/>
      </rPr>
      <t>MEX</t>
    </r>
    <r>
      <rPr>
        <sz val="10"/>
        <rFont val="Arial"/>
        <family val="2"/>
      </rPr>
      <t xml:space="preserve">/AFR/MEA/CAS/RUS (DAB)
</t>
    </r>
  </si>
  <si>
    <t>0.000.000.000-01</t>
  </si>
  <si>
    <t>Nissan Scope 2 MID Navi LAC(SAM-AGT) (DAB)</t>
  </si>
  <si>
    <t>Nissan Scope 2 MID Navi LAC(SAM-AGT) (DAB) (CPLD)</t>
  </si>
  <si>
    <t>0.000.000.000-02</t>
  </si>
  <si>
    <t>Nissan Scope 2 MID Navi AFR(MEA/EGP) (DAB) (CPLD)</t>
  </si>
  <si>
    <t>0.000.000.000-03</t>
  </si>
  <si>
    <t>0.000.000.000-04</t>
  </si>
  <si>
    <r>
      <t>Nissan Scope 2 DA-MID LAC/</t>
    </r>
    <r>
      <rPr>
        <sz val="10"/>
        <color rgb="FFFFC000"/>
        <rFont val="Arial"/>
        <family val="2"/>
      </rPr>
      <t>MEX</t>
    </r>
    <r>
      <rPr>
        <sz val="10"/>
        <rFont val="Arial"/>
        <family val="2"/>
      </rPr>
      <t>/AFR/MEA/CAS/RUS (DAB) (CPLD)</t>
    </r>
  </si>
  <si>
    <t>[wzr2hi, 29.08.2019] Added 0.000.000.000-01 as PlaceholderBuild.PlaceholderPlant (P42M)</t>
  </si>
  <si>
    <t>[wzr2hi, 29.08.2019] Added 0.000.000.000-02 as PlaceholderBuild.PlaceholderPlant (Non-P42M)</t>
  </si>
  <si>
    <t>[wzr2hi, 29.08.2019] Added 0.000.000.000-03 as PlaceholderBuild.PlaceholderPlant (P42M)</t>
  </si>
  <si>
    <t>[wzr2hi, 29.08.2019] Added 0.000.000.000-04 as PlaceholderBuild.PlaceholderPlant (P42M)</t>
  </si>
  <si>
    <t>7.505.751.256-02,
7.505.751.280-02</t>
  </si>
  <si>
    <t>[wzr2hi, 23.08.2019] Added 7.505.751.256-02 for TSB2.PgP1 (TBD)
[wzr2hi, 23.08.2019] Added 7.505.751.280-02 for TSB2.PgP1 (TBD)</t>
  </si>
  <si>
    <t>[wzr2hi, 23.08.2019] Added 7.515.751.454-02 for TSB2.PgP1 (TBD)
[wzr2hi, 23.08.2019] Added 7.515.751.453-03 for TSB2.PgP1 (TBD)</t>
  </si>
  <si>
    <t>7.515.751.454-02,
7.515.751.453-03</t>
  </si>
  <si>
    <t>7.515.751.176-03,
7.515.751.424-02</t>
  </si>
  <si>
    <t>[wzr2hi, 23.08.2019] Added 7.515.751.176-03 for TSB2.PgP1 (TBD)
[wzr2hi, 23.08.2019] Added 7.515.751.424-02 for TSB2.PgP1 (TBD)</t>
  </si>
  <si>
    <t>[wzr2hi, 23.08.2019] Added 7.515.751.419-02 for TSB2.PgP1 (TBD)
[wzr2hi, 23.08.2019] Added 7.515.751.143-03 for TSB2.PgP1 (TBD)
[wzr2hi, 23.08.2019] Added 7.515.751.422-02 for TSB2.PgP1 (TBD)</t>
  </si>
  <si>
    <t>7.515.751.419-02,
7.515.751.143-03,
7.515.751.422-02</t>
  </si>
  <si>
    <t>06A8 (Quad)</t>
  </si>
  <si>
    <t>7.503.751.324</t>
  </si>
  <si>
    <t>[wzr2hi, 29.08.2019] Added 7.503.751.324 for PreProd3.BrgP (V4/V5 SBX)</t>
  </si>
  <si>
    <t>0.000.000.000-05</t>
  </si>
  <si>
    <t>0.000.000.000-06</t>
  </si>
  <si>
    <t>[wzr2hi, 29.08.2019] Added 0.000.000.000-05 as PlaceholderBuild.PlaceholderPlant (TBC)</t>
  </si>
  <si>
    <t>[wzr2hi, 29.08.2019] Added 0.000.000.000-06 as PlaceholderBuild.PlaceholderPlant (TBC)</t>
  </si>
  <si>
    <t>[wzr2hi, 27.06.2019] Added 0.000.000.000-00 as PlaceholderBuild.PlaceholderPlant (P42M) (Currently there is no P42M for RUS planned, but at least there _was_ one such device DSB11.Hi, so I introduce this Dummy.)</t>
  </si>
  <si>
    <t>[wzr2hi, 08.01.2018] Added 7.505.750.871-01 for TSB12.PgP1
[wzr2hi, 13.03.2018] Added 7.505.750.871 PreProd12.1.PgP1
[mkr2hi, 09.07.2018] Added 7.505.751.158 for SOP.PgP1 (QLU3) (L12F)
[wzr2hi, 03.08.2018] Added 7.505.751.159 for SOP.PgP1 (QLU3) (L12F)
[wzr2hi, 07.02.2019] Added 7.505.751.289 for SOP.PgP1 (FMVSS) (L12F)
[wzr2hi, 03.09.2019] Added 7.505.751.359 for MP-UPT.PgP1 (L12F)</t>
  </si>
  <si>
    <t>7.505.750.871-01,
7.505.750.871,
7.505.751.158,
7.505.751.159,
7.505.751.289,
7.505.751.359</t>
  </si>
  <si>
    <t>06A6 (DL)</t>
  </si>
  <si>
    <t>06A7 (DL)</t>
  </si>
  <si>
    <t>Renault Scope 2.1 Access DA, EN_{DAF|DAC}_FM_noMAP (USB PHY)</t>
  </si>
  <si>
    <t>Renault Scope 2.1 Access Nav, EN_{NAF|NAC}_FM_RUS (USB PHY)</t>
  </si>
  <si>
    <r>
      <t xml:space="preserve">7.503.750.883-01,
7.505.751.101-02,
</t>
    </r>
    <r>
      <rPr>
        <sz val="10"/>
        <color theme="1"/>
        <rFont val="Arial"/>
        <family val="2"/>
      </rPr>
      <t>7.505.751.209,
7.503.751.267,
7.503.751.266</t>
    </r>
  </si>
  <si>
    <t>SW_Variant_ID /
FCID</t>
  </si>
  <si>
    <t>SW_Variant_ID /
FCID (HEX)</t>
  </si>
  <si>
    <t>PARTITION_SCHEMA16__ST2X_NavRenault</t>
  </si>
  <si>
    <t>SXM_not_updatable_fw</t>
  </si>
  <si>
    <r>
      <t>Nissan Scope 2.1 DA-MID LAC/</t>
    </r>
    <r>
      <rPr>
        <sz val="10"/>
        <color rgb="FFFFC000"/>
        <rFont val="Arial"/>
        <family val="2"/>
      </rPr>
      <t>MEX</t>
    </r>
    <r>
      <rPr>
        <sz val="10"/>
        <rFont val="Arial"/>
        <family val="2"/>
      </rPr>
      <t>/AFR/MEA/CAS/RUS (DAB)</t>
    </r>
  </si>
  <si>
    <t>Nissan Scope 3.1 Gen4 NAV-Mid CAS(ISR) (SBR DAB)</t>
  </si>
  <si>
    <t>Nissan Scope 3.1 Gen4 NAV-Mid AFR(AFR) (SBR DAB)</t>
  </si>
  <si>
    <t>Nissan Scope 3.1 Gen4 NAV-Mid AFR(MEA) (SBR DAB)</t>
  </si>
  <si>
    <t>Nissan Scope 3.1 Gen4 NAV-Mid EUR(TUR) (SBR DAB)</t>
  </si>
  <si>
    <t>Nissan Scope 3.1 Gen4 NAV-Mid NAM(MEX) (SBR HD)</t>
  </si>
  <si>
    <t>Nissan Scope 3.1 Gen4 NAV-Mid PRC(TWN) (SBR DAB)</t>
  </si>
  <si>
    <t>Nissan Scope 3.1 Gen4 NAV-Mid LAC(SAM-ARG) (SBR DAB)</t>
  </si>
  <si>
    <t>Nissan Scope 3.1 Gen4 NAV-Mid LAC(SAM-CHL) (SBR DAB)</t>
  </si>
  <si>
    <t>Nissan Scope 3.1 Gen4 NAV-Mid PRC(APAC) (SBR DAB)</t>
  </si>
  <si>
    <t>Nissan P-IVI 3.1 Gen4 NAV-Premium NAM(US/CAN) (SBR HD)</t>
  </si>
  <si>
    <t>Nissan P-IVI 3.1 Gen4 DA-Premium NAM(US/CAN) (SBR HD)</t>
  </si>
  <si>
    <t>Nissan P-IVI 3.1 Gen4 NAV-Premium AFR(MEA) (SBR DAB)</t>
  </si>
  <si>
    <t>Nissan P-IVI 3.1 Gen4 DA-Premium PRC (SBR AM/FM)</t>
  </si>
  <si>
    <t>Nissan P-IVI 3.1 Gen4 DA-Premium ASEAN-A/ASEAN-B (SBR AM/FM)</t>
  </si>
  <si>
    <t>Nissan P-IVI 3.1 Gen4 DA-Premium MEA (SBR DAB)</t>
  </si>
  <si>
    <t>Nissan P-IVI 3.1 Gen4 DA-Premium MEX (SBR HD)</t>
  </si>
  <si>
    <t>Nissan P-IVI 3.1 Gen4 DA-Premium US/CAN (SBR HD)</t>
  </si>
  <si>
    <t>Nissan P-IVI 3.1 Gen4 NAV-Premium NAM(MEX) (SBR HD)</t>
  </si>
  <si>
    <t>Nissan P-IVI 3.1 Gen4 NAV-Premium RUS(RUS/KAZ) (SBR DAB)</t>
  </si>
  <si>
    <t>Nissan P-IVi 3.1 Gen4 NAV-Premium CAS(ISR) (SBR DAB)</t>
  </si>
  <si>
    <t>Nissan P-IVI 3.1 Gen4 NAV-Premium EUR(EUR/UKR) (SBR DAB)</t>
  </si>
  <si>
    <t>Nissan P-IVI 3.1 Gen4 NAV-Premium PRC(APAC) (SBR AM/FM)</t>
  </si>
  <si>
    <t>Nissan P-IVI 3.1 Gen4 NAV-Premium LAC(SAM-CHL) (SBR AM/FM)</t>
  </si>
  <si>
    <t>Nissan P-IVI 3.1 Gen4 NAV-Premium LAC(SAM-ARG) (SBR AM/FM)</t>
  </si>
  <si>
    <t>Nissan P-IVI 3.1 Gen4 NAV-Premium PRC(TWN) (SBR AM/FM)</t>
  </si>
  <si>
    <t>7.510.750.880-03,
7.510.750.880-04,
7.510.750.885-03,
7.513.750.871-01,
7.513.750.871-02,
7.513.750.885-01,
7.513.750.885-02,
7.513.750.871,
7.513.750.885,
7.513.751.353,
7.513.751.415-01,
7.513.750.884-02,
7.513.751.441,
7.513.751.527-01,
7.515.751.021,
7.513.751.615</t>
  </si>
  <si>
    <t>[wzr2hi, 13.06.2017] Added 7.510.750.880-03 for DSB3.Hi
[wzr2hi, 03.11.2017] Added 7.510.750.880-04 for DSB4.Hi
[wzr2hi, 03.11.2017] Added 7.510.750.885-03 for DSB4.Hi
[wzr2hi, 13.11.2017] Added 7.513.750.871-01 for TSB1.BrpP
[wzr2hi, 12.03.2018] Added 7.513.750.871-02 for TSB2.BrgP (V2)
[wzr2hi, 13.11.2017] Added 7.513.750.885-01 for TSB1.BrgP
[wzr2hi, 12.03.2018] Added 7.513.750.885-02 for TSB2.BrgP (V2)
[wzr2hi, 19.07.2018] Added 7.513.750.871 for PreProd1.BrgP (V2)
[wzr2hi, 19.07.2018] Added 7.513.750.885 for PreProd1.BrgP (V2)
[wzr2hi, 19.10.2018] Added 7.513.751.353 for PreProd2.BrgP (V2)
[wzr2hi, 03.12.2018] Added 7.513.751.415-01 for TSB1.BrgP (V1)
[wzr2hi, 03.12.2018] Added 7.513.750.884-02 for TSB1.BrgP (V1)
[wzr2hi, 04.12.2018] Added 7.513.751.441 for PreProd3.BrgP (V2)
[wzr2hi, 01.04.2019] Added 7.513.751.527-01 for TSB2.BrgP (V1)
[wzr2hi, 14.05.2019] Added 7.515.751.021 for PP1.PgP1 (V2) =&gt; [wzr2hi, 05.06.2019] Moved from FCID 0x0163 to FCID 0x0093 according to Vincent Briffaut
[wzr2hi, 20.08.2019] Added 7.513.751.615 for PreProd1.BrgP (V1)</t>
  </si>
  <si>
    <t>7.513.751.713</t>
  </si>
  <si>
    <t>7.513.751.354,
7.513.751.424-01,
7.513.751.440,
7.513.751.424-02,
7.513.751.614</t>
  </si>
  <si>
    <t>[wzr2hi, 19.10.2018] Added 7.513.751.354 for PreProd2.BrgP (V2)
[wzr2hi, 03.12.2018] Added 7.513.751.424-01 for TSB1.BrgP (V1)
[wzr2hi, 04.12.2018] Added 7.513.751.440 for PreProd3.BrgP (V2)
[wzr2hi, 01.04.2019] Added 7.513.751.424-02 for TSB2.BrgP (V1)
[wzr2hi, 20.08.2019] Added 7.513.751.614 for PreProd1.BrgP (V1)</t>
  </si>
  <si>
    <t>Renault Scope 3.0 Access Nav, EN_{NAC|NAF}_DAB_EUR (USB_PHY)</t>
  </si>
  <si>
    <t>Renault Scope 3.0 Access Nav, EN_{NAC|NAF}_FM_EUR (USB_PHY)</t>
  </si>
  <si>
    <t>Renault Scope 3.0 Access Nav, EN_{NAC|NAF}_FM_EUR-TUR (USB_PHY)</t>
  </si>
  <si>
    <t>Renault Scope 3.0 Access Nav, EN_{NAC|NAF}_DAB_MEA (USB_PHY)</t>
  </si>
  <si>
    <t>Renault Scope 3.0 Access Nav, EN_{NAC|NAF}_FM_MEA (USB_PHY)</t>
  </si>
  <si>
    <t>Renault Scope 3.0 Access Nav, EN_{NAC|NAF}_FM_MAR (USB_PHY)</t>
  </si>
  <si>
    <t>Renault Scope 3.0 Access Nav, EN_{NAF|NAC}_FM_RUS (USB PHY)</t>
  </si>
  <si>
    <t>Renault Scope 3.0 Access Nav, EN_NAF_DAB_APAC (USB_PHY)</t>
  </si>
  <si>
    <t>Renault Scope 3.0 Access Nav, EN_NAF_FM_ISR (USB_PHY)</t>
  </si>
  <si>
    <t>Renault Scope 3.0 Access Nav, EN_{NAC|NAF}_FM_AFR (USB_PHY)</t>
  </si>
  <si>
    <t>Renault Scope 3.0 Access DA, EN_{DAC|DAF}_FM_noMAP (USB_PHY)</t>
  </si>
  <si>
    <t>Renault Scope 3.0 Access DA, EN_{DAC|DAF}_DAB_noMAP (USB_PHY)</t>
  </si>
  <si>
    <t>[wzr2hi, 25.09.2019] Added 7.513.751.626 for PreProd1.BrgP (V2)</t>
  </si>
  <si>
    <t>[wzr2hi, 25.09.2019] Added 7.513.751.628 for PreProd1.BrgP (V2)</t>
  </si>
  <si>
    <t>7.513.751.626</t>
  </si>
  <si>
    <t>7.513.751.628</t>
  </si>
  <si>
    <t>Renault Scope 2.1 Access Nav, EN_{NAF|NAC}_DAB_EUR (USB_PHY)</t>
  </si>
  <si>
    <t>7.513.751.583,
7.513.751.708,
7.513.751.710,
7.513.751.737,
7.513.751.797,
7.513.751.755</t>
  </si>
  <si>
    <t>[wzr2hi, 25.03.2019] Added 7.513.751.583 for PreProd13.1.BrgP (P32S)
[wzr2hi, 28.06.2019] Added 7.513.751.708 for PreProd10.3.BrgP (P13A)
[wzr2hi, 03.07.2019] Added 7.513.751.710 for PreProd11.BrgP (P13A)
[wzr2hi, 21.08.2019] Added 7.513.751.737 for PreProd11.BrgP (P13A)(TCU)
[wzr2hi, 12.09.2019] Added 7.513.751.797 for PreProd17.BrgP (B12P)(TCU)
[wzr2hi, 25.09.2019] Added 7.513.751.755 for PreProd16.BrgP (P32S)(TCU)</t>
  </si>
  <si>
    <t>[wzr2hi, 20.08.2019] Added 7.513.751.713 for PreProd2.BrgP (V1) =&gt; [wzr2hi, 25.09.2019] Moved from FCID 0x0093 to FCID 0x01DF due to new BID according to Vincent Briffaut.</t>
  </si>
  <si>
    <t>7.513.750.863-01,
7.513.750.884-01,
7.515.751.021-01,
7.515.751.157-01,
7.513.751.288-01,
7.513.751.299-01,
7.515.751.482-01,
7.513.751.288-02,
7.513.751.531-01,
7.515.751.157-03</t>
  </si>
  <si>
    <t>[wzr2hi, 19.07.2018] Added 7.513.750.863-01 for TSB1.BrgP (V1)
[wzr2hi, 06.09.2018] Added 7.513.750.884-01 for TSB1.BrgP (V1)
[wzr2hi, 13.09.2018] Added 7.515.751.021-01 for TSB1.PgP1 (V2)
[wzr2hi, 13.09.2018] Added 7.515.751.157-01 for TSB1.PgP1 (V1)
[wzr2hi, 19.10.2018] Added 7.513.751.288-01 for TSB1.BrgP (V2)
[wzr2hi, 19.10.2018] Added 7.513.751.299-01 for TSB1.BrgP (V2)
[wzr2hi, 20.03.2019] Added 7.515.751.482-01 for TSB2.PgP1 (V2)
[wzr2hi, 10.04.2019] Added 7.513.751.288-02 for TSB2.BrgP (V2)
[wzr2hi, 10.04.2019] Added 7.513.751.531-01 for TSB2.BrgP (V2)
[wzr2hi, 14.05.2019] Added 7.515.751.157-03 for TSB2.PgP1 (V1)</t>
  </si>
  <si>
    <t>7.505.751.295-01,
7.503.751.257-01,
7.505.751.298-01</t>
  </si>
  <si>
    <t>[wzr2hi, 20.03.2019] Added 7.505.751.295-01 for TSB2.PgP1 (V2)
[wzr2hi, 10.04.2019] Added 7.503.751.257-01 for TSB2.BrgP (V2)
[wzr2hi, 14.05.2019] Added 7.505.751.298-01 for TSB2.PgP1 (V1)</t>
  </si>
  <si>
    <t>[wzr2hi, 20.03.2018] Added 7.515.750.871-01 for TSB13.1.PgP1
[wzr2hi, 20.03.2018] Added 7.515.750.872-01 for TSB13.1.PgP1
[wzr2hi, 20.03.2018] Added 7.515.750.980-01 for TSB13.1.PgP1
[wzr2hi, 13.06.2018] Added 7.515.750.871-02 for TSB15.2.PgP1 (P42M)
[wzr2hi, 13.06.2018] Added 7.515.750.872-02 for TSB15.2.PgP1 (P42M)
[wzr2hi, 13.06.2018] Added 7.515.751.144-01 for TSB15.2.PgP1
[wzr2hi, 31.08.2018] Added 7.515.750.871-03 for TSB15.2.1.PgP1 (P42M)
[wzr2hi, 31.08.2018] Added 7.515.750.871 for PreProd16.PgP1 (P42M)
[wzr2hi, 31.08.2018] Added 7.515.750.872 for PreProd16.PgP1 (P42M)
[wzr2hi, 20.12.2018] Added 7.515.751.446 for PreProd19.PgP1 (P42M)
[wzr2hi, 20.12.2018] Added 7.515.751.448 for PreProd19.PgP1 (P42M)
[wzr2hi, 12.03.2019] Added 7.515.751.146 for ILLUCHG.PgP1 (P42M)
[wzr2hi, 12.03.2019] Added 7.515.751.151 for ILLUCHG.PgP1 (P42M)
[wzr2hi, 20.05.2019] Added 7.515.751.631 for SOP.PgP1 (QLU4) (P42M) =&gt; [wzr2hi, 01.10.2019] Moved to QLU4.2.PgP1 (P42M)
[wzr2hi, 20.05.2019] Added 7.515.751.632 for SOP.PgP1 (QLU4) (P42M)
[wzr2hi, 01.10.2019] Added 7.515.751.152 for QLU4.2.PgP1 (P42M)</t>
  </si>
  <si>
    <t>7.515.750.871-01,
7.515.750.872-01,
7.515.750.980-01,
7.515.750.871-02,
7.515.750.872-02,
7.515.751.144-01,
7.515.750.871-03,
7.515.750.871,
7.515.750.872,
7.515.751.446,
7.515.751.448,
7.515.751.146,
7.515.751.151,
7.515.751.631,
7.515.751.632,
7.515.751.152</t>
  </si>
  <si>
    <t>TAJNLU_SDB</t>
  </si>
  <si>
    <t>EURNLU_SDB</t>
  </si>
  <si>
    <t>PRCFSG_SDB</t>
  </si>
  <si>
    <t>GOMFSG_SDB</t>
  </si>
  <si>
    <t>EURFSG_SDB</t>
  </si>
  <si>
    <t>TAJFSG_SDB</t>
  </si>
  <si>
    <t>Nissan P-IVI 3.1 Gen4 DA-Premium GCC/AFR/SAF/ISR (SBR DAB)</t>
  </si>
  <si>
    <r>
      <t>Nissan P-IVI 3.1 Gen4 DA-Premium RUS/KAZ/UKR</t>
    </r>
    <r>
      <rPr>
        <strike/>
        <sz val="10"/>
        <color rgb="FFFF0000"/>
        <rFont val="Arial"/>
        <family val="2"/>
      </rPr>
      <t>/LAC/AFR</t>
    </r>
    <r>
      <rPr>
        <sz val="10"/>
        <color theme="1"/>
        <rFont val="Arial"/>
        <family val="2"/>
      </rPr>
      <t xml:space="preserve"> (SBR AM/FM)</t>
    </r>
  </si>
  <si>
    <t>[wzr2hi, 30.08.2017] Added 7.513.750.815-01 for TSB1.BrgP (SBX)
[wzr2hi, 13.03.2018] Added 7.513.750.815-02 for TSB2.BrgP (V4/V5 SBX)
[wzr2hi, 20.06.2018] Added 7.513.750.815 for PreProd1.BrgP (V4/V5 SBX)
[wzr2hi, 05.09.2018] Added 7.513.751.177 for PreProd2.BrgP (V4/V5 SBX)
[wzr2hi, 23.08.2019] Added 7.513.751.719 for QLU0.1.BrgP (V4/V5 SBX)
[wzr2hi, 07.10.2019] Added 7.513.751.742 for QLU1.BrgP (V4/V5 SBX)</t>
  </si>
  <si>
    <t>7.513.750.815-01,
7.513.750.815-02,
7.513.750.815,
7.513.751.177,
7.513.751.719,
7.513.751.742</t>
  </si>
  <si>
    <t>[wzr2hi, 30.08.2017] Added 7.513.750.821-01 for TSB1.BrgP (SBX)
[wzr2hi, 13.03.2018] Added 7.513.750.821-02 for TSB2.BrgP (V4/V5 SBX)
[wzr2hi, 20.06.2018] Added 7.513.750.821 for PreProd1.BrgP (V4/V5 SBX) =&gt; [wzr2hi, 05.09.2018] Moved to PreProd2.BrgP (V4/V5 SBX)
[wzr2hi, 23.08.2019] Added 7.513.751.717 for QLU0.1.BrgP (V4/V5 SBX)
[wzr2hi, 07.10.2019] Added 7.513.751.740 for QLU1.BrgP (V4/V5 SBX)</t>
  </si>
  <si>
    <t>7.513.750.821-01,
7.513.750.821-02,
7.513.750.821,
7.513.751.717,
7.513.751.740</t>
  </si>
  <si>
    <t>[wzr2hi, 30.08.2017] Added 7.513.750.832-01 for TSB1.BrgP (SBX)
[wzr2hi, 13.03.2018] Added 7.513.750.832-02 for TSB2.BrgP (V4/V5 SBX)
[wzr2hi, 20.06.2018] Added 7.513.750.832 for PreProd1.BrgP (V4/V5 SBX) =&gt; [wzr2hi, 05.09.2018] Moved to PreProd2.BrgP (V4/V5 SBX)
[wzr2hi, 04.06.2019] Added 7.513.751.654 for PreProd2.BrgP (V4/V5 SBX)
[wzr2hi, 23.08.2019] Added 7.513.751.721 for QLU0.1.BrgP (V4/V5 SBX)
[wzr2hi, 07.10.2019] Added 7.513.751.746 for QLU1.BrgP (V4/V5 SBX)</t>
  </si>
  <si>
    <t>7.513.750.832-01,
7.513.750.832-02,
7.513.750.832,
7.513.751.654,
7.513.751.721,
7.513.751.746</t>
  </si>
  <si>
    <t>[wzr2hi, 30.08.2017] Added 7.513.750.831-01 for TSB1.BrgP (SBX)
[wzr2hi, 13.03.2018] Added 7.513.750.831-02 for TSB2.BrgP (V4/V5 SBX)
[wzr2hi, 20.06.2018] Added 7.513.750.831 for PreProd1.BrgP (V4/V5 SBX) =&gt; [wzr2hi, 05.09.2018] Moved to PreProd2.BrgP (V4/V5 SBX)
[wzr2hi, 23.08.2019] Added 7.513.751.722 for QLU0.1.BrgP (V4/V5 SBX)
[wzr2hi, 07.10.2019] Added 7.513.751.747 for QLU1.BrgP (V4/V5 SBX)</t>
  </si>
  <si>
    <t>7.513.750.831-01,
7.513.750.831-02,
7.513.750.831,
7.513.751.722,
7.513.751.747</t>
  </si>
  <si>
    <t>[wzr2hi, 30.08.2017] Added 7.513.750.833-01 for TSB1.BrgP (SBX)
[wzr2hi, 28.05.2018] Added 7.513.751.047-01 for TSB2.BrgP (V4/V5 SBX)
[wzr2hi, 20.06.2018] Added 7.513.750.838 for PreProd1.BrgP (V4/V5 SBX) =&gt; [wzr2hi, 05.09.2018] Added 7.513.750.838 for PreProd2.BrgP (V4/V5 SBX)
[wzr2hi, 23.08.2019] Added 7.513.751.731 for QLU0.1.BrgP (V4/V5 SBX)
[wzr2hi, 07.10.2019] Added 7.513.751.748 for QLU1.BrgP (V4/V5 SBX)</t>
  </si>
  <si>
    <t>7.513.750.833-01,
7.513.751.047-01,
7.513.750.838,
7.513.751.731,
7.513.751.748</t>
  </si>
  <si>
    <t>[wzr2hi, 30.08.2017] Added 7.513.750.837-01 for TSB1.BrgP (SBX)
[wzr2hi, 13.03.2018] Added 7.513.750.837-02 for TSB2.BrgP (V4/V5 SBX)
[wzr2hi, 04.06.2019] Added 7.513.751.592 for PreProd3.BrgP (V4/V5 SBX)
[wzr2hi, 23.08.2019] Added 7.513.751.732 for QLU0.1.BrgP (V4/V5 SBX)
[wzr2hi, 07.10.2019] Added 7.513.751.749 for QLU1.BrgP (V4/V5 SBX)</t>
  </si>
  <si>
    <t>7.513.750.837-01,
7.513.750.837-02,
7.513.751.592,
7.513.751.732,
7.513.751.749</t>
  </si>
  <si>
    <t>[wzr2hi, 30.08.2017] Added 7.513.750.814-01 for TSB1.BrgP (SBX)
[wzr2hi, 13.03.2018] Added 7.513.750.989-01 for TSB2.BrgP (V4/V5 SBX)
[wzr2hi, 20.06.2018] Added 7.513.750.989 for PreProd1.BrgP (V4/V5 SBX) =&gt; [wzr2hi, 05.09.2018] Moved to PreProd2.BrgP (V4/V5 SBX)
[wzr2hi, 05.06.2019] Added 7.513.751.653 for PP2.BrgP (V4 SBX)
[wzr2hi, 23.08.2019] Added 7.513.751.716 for QLU0.1.BrgP (V4/V5 SBX)
[wzr2hi, 07.10.2019] Added 7.513.751.739 for QLU1.BrgP (V4/V5 SBX)</t>
  </si>
  <si>
    <t>7.513.750.814-01,
7.513.750.989-01,
7.513.750.989,
7.513.751.653,
7.513.751.716,
7.513.751.739</t>
  </si>
  <si>
    <t>[wzr2hi, 30.08.2017] Added 7.513.750.813-01 for TSB1.BrgP (SBX)
[wzr2hi, 13.03.2018] Added 7.513.750.813-02 for TSB2.BrgP (V4/V5 SBX)
[wzr2hi, 20.06.2018] Added 7.513.750.813 for PreProd1.BrgP (V4/V5 SBX) =&gt; [wzr2hi, 05.09.2018] Moved to PreProd2.BrgP (V4/V5 SBX)
[wzr2hi, 23.08.2019] Added 7.513.751.718 for QLU0.1.BrgP (V4/V5 SBX)
[wzr2hi, 07.10.2019] Added 7.513.751.741 for QLU1.BrgP (V4/V5 SBX)</t>
  </si>
  <si>
    <t>7.513.750.813-01,
7.513.750.813-02,
7.513.750.813,
7.513.751.718,
7.513.751.741</t>
  </si>
  <si>
    <t>[wzr2hi, 30.08.2017] Added 7.513.750.820-01 for TSB1.BrgP (SBX)
[wzr2hi, 13.03.2018] Added 7.513.750.820-02 for TSB2.BrgP (V4/V5 SBX)
[wzr2hi, 05.06.2019] Added 7.513.751.591 for PP3.BrgP (V4 SBX)
[wzr2hi, 23.08.2019] Added 7.513.751.720 for QLU0.1.BrgP (V4/V5 SBX)
[wzr2hi, 07.10.2019] Added 7.513.751.743 for QLU1.BrgP (V4/V5 SBX)</t>
  </si>
  <si>
    <t>7.513.750.820-01,
7.513.750.820-02,
7.513.751.591,
7.513.751.720,
7.513.751.743</t>
  </si>
  <si>
    <t>[wzr2hi, 13.03.2018] Added 7.513.751.023-01 for TSB2.BrgP (V4/V5 SBX)
[wzr2hi, 23.08.2019] Added 7.513.751.733 for QLU0.1.BrgP (V4/V5 SBX)
[wzr2hi, 07.10.2019] Added 7.513.751.751 for QLU1.BrgP (V4/V5 SBX)</t>
  </si>
  <si>
    <t>7.513.751.023-01,
7.513.751.733,
7.513.751.751</t>
  </si>
  <si>
    <t>[wzr2hi, 20.06.2018] Added 7.513.750.820 for PreProd1.BrgP (V4/V5 SBX) =&gt; [wzr2hi, 05.09.2018] Moved to PreProd2.BrgP (V4/V5 SBX)
[wzr2hi, 23.08.2019] Added 7.513.751.734 for QLU0.1.BrgP (V4/V5 SBX)
[wzr2hi, 07.10.2019] Added 7.513.751.745 for QLU1.BrgP (V4/V5 SBX)</t>
  </si>
  <si>
    <t>7.513.750.820,
7.513.751.734,
7.513.751.745</t>
  </si>
  <si>
    <t>Nissan Scope 3.1 NAV-Mid NAM(MEX) (AM/FM)</t>
  </si>
  <si>
    <t>7.503.751.208,
7.503.751.256-01,
7.505.751.285,
7.505.751.372,
7.503.751.314</t>
  </si>
  <si>
    <t>[wzr2hi, 04.12.2018] Added 7.503.751.208 for PreProd3.BrgP (V2)
[wzr2hi, 01.04.2019] Added 7.503.751.256-01 for TSB2.BrgP (V1)
[wzr2hi, 14.05.2019] Added 7.505.751.285 for PP1.PgP1 (V2) =&gt; [wzr2hi, 05.06.2019] Moved from FCID 0x01BB to FCID 0x01A0 according to Vincent Briffaut.
[wzr2hi, 24.07.2019] Added 7.505.751.372 for PP2.PgP1 (V2)
[wzr2hi, 20.08.2019] Added 7.503.751.314 for PreProd1.BrgP (V1)</t>
  </si>
  <si>
    <t>[wzr2hi, 06.09.2018] Added 7.513.751.169-01 for TSB2.BrgP (V4/V5 SBX)
[wzr2hi, 13.02.2019] Added 7.513.751.169 for PreProdBis.BrgP (V4/V5 SBX)
[wzr2hi, 14.02.2019] Added 7.515.751.428 for PreProd1.PgP1 (V4/V5 SBX)(LJL)
[wzr2hi, 05.04.2019] Added 7.513.751.547 for PreProd2.BrgP (V4/V5 SBX)</t>
  </si>
  <si>
    <t>[wzr2hi, 13.11.2017] Added 7.510.750.999-02 for DSB11.Hi (B12P)
[wzr2hi, 25.04.2018] Added 7.515.751.116-01 for TSB12.2.PgP1
[wzr2hi, 03.05.2018] Added 7.515.751.023-01 for TSB14.1.PgP1
[wzr2hi, 03.05.2018] Added 7.515.751.036-01 for TSB14.1.PgP1
[wzr2hi, 03.05.2018] Added 7.515.751.037-01 for TSB14.1.PgP1
[wzr2hi, 30.07.2018] Added 7.515.751.160-01 for TSB15.1a.PgP1 (L42N)
[wzr2hi, 30.07.2018] Added 7.515.751.161-01 for TSB15.1a.PgP1 (L42N)
[wzr2hi, 30.07.2018] Added 7.515.751.164-01 for TSB15.1a.PgP1 (L42P)
[wzr2hi, 30.07.2018] Added 7.515.751.166-01 for TSB15.1a.PgP1 (L42P)
[wzr2hi, 10.08.2018] Added 7.515.750.800-91 for Reflash (L42P PT1) ST2.1 fake based on ST2.0 7.515.750.800-04
[wzr2hi, 10.08.2018] Added 7.515.750.822-91 for Reflash (L42P PT1) ST2.1 fake based on ST2.0 7.515.750.822-03
[wzr2hi, 10.08.2018] Added 7.515.750.873-91 for Reflash (L42N PT1) ST2.1 fake based on ST2.0 7.515.750.873-01
[wzr2hi, 10.08.2018] Added 7.515.750.874-91 for Reflash (L42N PT1) ST2.1 fake based on ST2.0 7.515.750.874-01
[wzr2hi, 23.10.2018] Added 7.515.750.985-02 for TSB17.PgP1 (L21B)
[wzr2hi, 20.11.2018] Added 7.515.750.985 for PreProd19.2.PgP1 (L21B)
[wzr2hi, 05.04.2019] Added 7.515.751.444 for PreProd20.1b.PgP1 (L21B)
[wzr2hi, 22.08.2019] Added 7.515.751.160 for PreProd21b.PgP1 (L42N)
[wzr2hi, 22.08.2019] Added 7.515.751.161 for PreProd21b.PgP1 (L42N)
[wzr2hi, 12.09.2019] Added 7.515.751.536 for PreProd21.PgP1 (L21B)
[wzr2hi, 27.11.2019] Added 7.515.751.783 for US-CAN MP-UPD.PgP1 (L21B)</t>
  </si>
  <si>
    <t>7.510.750.999-02,
7.515.751.116-01,
7.515.751.023-01,
7.515.751.036-01,
7.515.751.037-01,
7.515.751.160-01,
7.515.751.161-01,
7.515.751.164-01,
7.515.751.166-01,
7.515.750.800-91,
7.515.750.822-91,
7.515.750.873-91,
7.515.750.874-91,
7.515.750.985-02,
7.515.750.985,
7.515.751.444,
7.515.751.160,
7.515.751.161,
7.515.751.536,
7.515.751.783</t>
  </si>
  <si>
    <t>7.515.751.790</t>
  </si>
  <si>
    <t>[wzr2hi, 29.11.2019] Added 7.515.751.790 for PreProd26b.BrgP (P32R)</t>
  </si>
  <si>
    <t>Nissan Scope 2.1 Mid Navi AFR(MEA/EGP) (DAB)</t>
  </si>
  <si>
    <t>7.513.751.629,
7.513.751.804</t>
  </si>
  <si>
    <t>[wzr2hi, 25.09.2019] Added 7.513.751.629 for PreProd1.BrgP (V2)
[wzr2hi, 03.12.2019] Added 7.513.751.804 for PreProd2.BrgP (V2) (XJK PPC)</t>
  </si>
  <si>
    <t>7.513.751.632,
7.513.751.806</t>
  </si>
  <si>
    <t>[wzr2hi, 25.09.2019] Added 7.513.751.632 for PreProd1.BrgP (V2)
[wzr2hi, 03.12.2019] Added 7.513.751.806 for PreProd2.BrgP (V2) (XJK PPC)</t>
  </si>
  <si>
    <t>[wzr2hi, 25.09.2019] Added 7.513.751.633 for PreProd1.BrgP (V2)
[wzr2hi, 03.12.2019] Added 7.513.751.807 for PreProd2.BrgP (V2) (XJK PPC)</t>
  </si>
  <si>
    <t>7.513.751.633,
7.513.751.807</t>
  </si>
  <si>
    <t>7.513.751.634,
7.513.751.808</t>
  </si>
  <si>
    <t>[wzr2hi, 25.09.2019] Added 7.513.751.634 for PreProd1.BrgP (V2)
[wzr2hi, 03.12.2019] Added 7.513.751.808 for PreProd2.BrgP (V2) (XJK PPC)</t>
  </si>
  <si>
    <t>[wzr2hi, 25.09.2019] Added 7.513.751.637 for PreProd1.BrgP (V2)
[wzr2hi, 03.12.2019] Added 7.513.751.809 for PreProd2.BrgP (V2) (XJK PPC)</t>
  </si>
  <si>
    <t>7.513.751.637,
7.513.751.809</t>
  </si>
  <si>
    <t>[wzr2hi, 25.09.2019] Added 7.513.751.638 for PreProd1.BrgP (V2)
[wzr2hi, 03.12.2019] Added 7.513.751.810 for PreProd2.BrgP (V2) (XJK PPC)</t>
  </si>
  <si>
    <t>7.513.751.638,
7.513.751.810</t>
  </si>
  <si>
    <t>CS
Customer Sample</t>
  </si>
  <si>
    <t>ES
Engineering Sample</t>
  </si>
  <si>
    <t>WS
Working Sample</t>
  </si>
  <si>
    <t>030811 (H3_V3.0_ES)</t>
  </si>
  <si>
    <t>030B11 (H3_V2.0_WS)</t>
  </si>
  <si>
    <t>CPLD_PEXT_SBR_H3_PM01</t>
  </si>
  <si>
    <t>[wzr2hi, 04.12.2019] Added 7.515.751.639-01 for DSB2.Hi (PZ1APLUS)
[wzr2hi, 04.12.2019] Added 7.515.751.641-01 for DSB2.Hi (PZ1APLUS)</t>
  </si>
  <si>
    <t>[wzr2hi, 04.12.2019] Added 7.515.751.640-01 for DSB2.Hi (PZ1APLUS)
[wzr2hi, 04.12.2019] Added 7.515.751.642-01 for DSB2.Hi (PZ1APLUS)</t>
  </si>
  <si>
    <t>7.515.751.640-01,
7.515.751.642-01</t>
  </si>
  <si>
    <t>7.515.751.639-01,
7.515.751.641-01</t>
  </si>
  <si>
    <t>7.505.751.403,
7.505.751.404,
7.503.751.392</t>
  </si>
  <si>
    <t>[wzr2hi, 29.08.2019] Added 7.505.751.403 for PP25.PgP1 (L42P)
[wzr2hi, 29.08.2019] Added 7.505.751.404 for PP25.PgP1 (L42N)
[wzr2hi, 10.12.2019] Added 7.503.751.392 for PreProd18.PgP1 (H60A)</t>
  </si>
  <si>
    <t>Wrong Partition Schema in FCID 0x01B9. Correction happened in VM without notices.</t>
  </si>
  <si>
    <t>&lt;= 2454</t>
  </si>
  <si>
    <t>GCN1_JP_KR_LA_NA</t>
  </si>
  <si>
    <t>GCN2_CN_EU_NA</t>
  </si>
  <si>
    <t>Renault Scope 3.0 Full Nav, MI_NDL_DAB_MEA</t>
  </si>
  <si>
    <t>Renault Scope 3.0 Core Nav, EN_ND_DAB_APAC</t>
  </si>
  <si>
    <t>Renault Scope 3.0 Full Nav, MI_NDL_DAB_APAC</t>
  </si>
  <si>
    <t>7.515.751.176-97,
7.515.751.424-97</t>
  </si>
  <si>
    <t>7.515.751.176-98,
7.515.751.424-98</t>
  </si>
  <si>
    <t>Nissan Scope 3.1 Gen4 MID Navi US (ADR HD) "NPIVI2 FAKE"</t>
  </si>
  <si>
    <t>Nissan Scope 3.1 Gen4 MID Navi EUR (ADR DAB) "NPIVI2 FAKE"</t>
  </si>
  <si>
    <t>Nissan Scope 3.1 Gen4 MID Navi PRC (ADR AM/FM) "NPIVI2 FAKE"</t>
  </si>
  <si>
    <t>Nissan Scope 3.1 Gen4 NAV-Mid JPN(JPN) (ADR DARC) "NPIVI2 FAKE"</t>
  </si>
  <si>
    <t>[wzr2hi, 23.01.2020] Added 7.515.751.176-98 for FAKE.DEVELOPMENT (RENAULT)
[wzr2hi, 23.01.2020] Added 7.515.751.424-98 for FAKE.DEVELOPMENT (RENAULT)</t>
  </si>
  <si>
    <t>[wzr2hi, 23.01.2020] Added 7.515.751.176-97 for FAKE.DEVELOPMENT (RENAULT)
[wzr2hi, 23.01.2020] Added 7.515.751.424-97 for FAKE.DEVELOPMENT (RENAULT)</t>
  </si>
  <si>
    <t>Mitsubishi Scope 3.1 DA-Mid LAC/MEX/AFR/SAF/MEA/CAS/BRA/RUS (AM/FM)</t>
  </si>
  <si>
    <t>7.505.750.835,
7.505.751.250,
7.505.751.293,
7.505.751.482</t>
  </si>
  <si>
    <t>7.510.751.513-01,
7.513.751.523-01,
7.513.751.523</t>
  </si>
  <si>
    <t>[wzr2hi, 04.04.2019] Added 7.510.751.513-01 for DSB2.2.MFI1-COSE (P33B)
[wzr2hi, 07.05.2019] Added 7.513.751.523-01 for TSB1.BrgP (P33B)
[wzr2hi, 11.02.2020] Added 7.513.751.523 for PP1.BrgP (P33B)</t>
  </si>
  <si>
    <t>Nissan Scope 3.1 NAV-Mid EUR(TUR) (DAB)</t>
  </si>
  <si>
    <t>Nissan Scope 3.1 NAV-Mid LAC(SAM-ARG) (DAB)</t>
  </si>
  <si>
    <t>Nissan Scope 3.1 NAV-Mid AFR(SAF) (DAB)</t>
  </si>
  <si>
    <t>Nissan Scope 3.1 NAV-Mid RUS(RUS) (AM/FM)</t>
  </si>
  <si>
    <t>Nissan Scope 3.1 NAV-Mid PRC(THA) (AM/FM)</t>
  </si>
  <si>
    <t>Nissan Scope 3.1 NAV-Mid CAS(ISR) (AM/FM)</t>
  </si>
  <si>
    <t>Nissan Scope 3.1 NAV-Mid AFR(MAR) (AM/FM)</t>
  </si>
  <si>
    <t>Nissan Scope 3.1 NAV-Mid PRC(TWN) (AM/FM)</t>
  </si>
  <si>
    <t>Nissan Scope 3.1 DA-Mid GCC/MEA/EGY (DAB)</t>
  </si>
  <si>
    <t>Nissan Scope 3.1 DA-Mid PRC/TWN/ASEAN-A/ASEAN-B (DAB)</t>
  </si>
  <si>
    <t>Nissan Scope 3.1 NAV-Mid EUR(TUR) (AM/FM)</t>
  </si>
  <si>
    <t>Nissan Scope 3.1 DA-Mid EUL (DAB)</t>
  </si>
  <si>
    <t>Nissan Scope 3.1 NAV-Mid LAC(SAM-CHL) (AM/FM)</t>
  </si>
  <si>
    <t>Nissan Scope 3.1 NAV-Mid Navi LAC(SAM-ARG) (AM/FM)</t>
  </si>
  <si>
    <t>Nissan Scope 3.1 NAV-Mid AFR(AFR) (AM/FM)</t>
  </si>
  <si>
    <t>Nissan Scope 3.1 NAV-Mid PRC(APAC) (AM/FM)</t>
  </si>
  <si>
    <t>Nissan Scope 3.1 DA-Mid PRC/TWN/KOR/ASEAN-A/ASEAN-B (AM/FM)</t>
  </si>
  <si>
    <r>
      <t>Nissan Scope 3.1 DA-Mid LAC/BRA/</t>
    </r>
    <r>
      <rPr>
        <sz val="10"/>
        <color rgb="FFFF0000"/>
        <rFont val="Arial"/>
        <family val="2"/>
      </rPr>
      <t>MEX</t>
    </r>
    <r>
      <rPr>
        <sz val="10"/>
        <color theme="1"/>
        <rFont val="Arial"/>
        <family val="2"/>
      </rPr>
      <t>/AFR/SAF/MEA/CAS/RUS (AM/FM)</t>
    </r>
  </si>
  <si>
    <t>Nissan Scope 3.1 NAV-Mid AFR(MEA/EGP) (DAB)</t>
  </si>
  <si>
    <t>Nissan Scope 3.1 NAV-Mid NAM(MEX) (HD)</t>
  </si>
  <si>
    <t>R7_AUTOSAR_C4</t>
  </si>
  <si>
    <t>R7_AUTOSAR_C3</t>
  </si>
  <si>
    <t>R7_AUTOSAR_C2</t>
  </si>
  <si>
    <t>R7_AUTOSAR_C1</t>
  </si>
  <si>
    <t>7.503.751.325,
7.503.751.326,
7.503.751.388,
7.505.751.405,
7.503.751.391</t>
  </si>
  <si>
    <t>[wzr2hi, 20.08.2019] Added 7.503.751.325 for LJC-QLU.BrgP (V2) =&gt; [wzr2hi, 04.09.2019] Moved from FCID 0x01A0 to FCID 0x01DB due to new BID according to Vincent Briffaut.
[wzr2hi, 20.08.2019] Added 7.503.751.326 for PreProd2.BrgP (V1) =&gt; [wzr2hi, 25.09.2019] Moved from FCID 0x01A0 to FCID 0x01DB due to new BID according to Vincent Briffaut.
[wzr2hi, 17.10.2019] Added 7.503.751.388 for QLU1.BrgP (LJC)
[wzr2hi, 28.10.2019] Added 7.505.751.405 for PreProd3.PgP1 (V2)
[wzr2hi, 28.02.2020] Added 7.503.751.391 for QLU1.BrgP (V1 HHA)</t>
  </si>
  <si>
    <t>[wzr2hi, 20.08.2019] Added 7.513.751.711 for LJC-QLU.BrgP (V2) =&gt; [wzr2hi, 04.09.2019] Moved from FCID 0x019A to FCID 0x01DC due to new BID according to Vincent Briffaut.
[wzr2hi, 20.08.2019] Added 7.513.751.712 for PreProd2.BrgP (V1) =&gt; [wzr2hi, 25.09.2019] Moved from FCID 0x019A to FCID 0x01DC due to new BID according to Vincent Briffaut.
[wzr2hi, 17.10.2019] Added 7.513.751.799 for QLU1.BrgP (LJC)
[wzr2hi, 28.02.2020] Added 7.513.751.811 for QLU1.BrgP (V1 HHA)</t>
  </si>
  <si>
    <t>7.513.751.711,
7.513.751.712,
7.513.751.799,
7.513.751.811</t>
  </si>
  <si>
    <t>Partitioning Schema 1
(1st eMMC)</t>
  </si>
  <si>
    <t>Partitioning Schema 2
(2nd eMMC)</t>
  </si>
  <si>
    <t>rnaivi2_nav_jpn (rfs_nav)</t>
  </si>
  <si>
    <t>npivi2_nav (rfs_nav)</t>
  </si>
  <si>
    <t>npivi2_da (rfs_nav)</t>
  </si>
  <si>
    <t>rnaivi2_nav_high (rfs_nav_high)</t>
  </si>
  <si>
    <t>rivie2_nav_full (rfs_nav_full)</t>
  </si>
  <si>
    <t>rnaivi2_nav (rfs_nav)</t>
  </si>
  <si>
    <t>RFS_GEN4_11</t>
  </si>
  <si>
    <t>RFS_GEN4_21
rnaivi2_nav
(A-IVI2_Nissan_Nav*)</t>
  </si>
  <si>
    <t>RFS_GEN4_20
rnaivi2_da
(A-IVI2_Nissan_DA*)</t>
  </si>
  <si>
    <t>RFS_GEN4_8
npivi2_nav
(P-IVI2_Nissan_Nav*)</t>
  </si>
  <si>
    <t>RFS_GEN4_11
rivie2_nav_full
(A-IVI2_Renault_Nav_Full)</t>
  </si>
  <si>
    <t>RFS_GEN4_21J
rnaivi2_nav_jpn
(A-IVI2_Nissan_Nav_Jpn)</t>
  </si>
  <si>
    <t>RFS_GEN4_21H
rnaivi2_nav_high
(A-IVI2_Nissan_Nav_H3)</t>
  </si>
  <si>
    <t>RFS_GEN4_21H</t>
  </si>
  <si>
    <t>RFS_GEN4_21J</t>
  </si>
  <si>
    <t>Nissan Scope 3.1 Gen4 NAV-Mid AFR(AFR/SAF) (SBR DAB)</t>
  </si>
  <si>
    <t>Nissan P-IVI 3.1 Gen4 DA-Premium MEA/AFR/SAF/ISR (SBR DAB)</t>
  </si>
  <si>
    <t>Nissan Scope 3.1 Gen4 NAV-Mid PRC(THA) (SBR DAB)</t>
  </si>
  <si>
    <t>Nissan Scope 3.1 Gen4 NAV-Mid GOM(MAR) (SBR DAB)</t>
  </si>
  <si>
    <t>030C11 (H3_V3.0_CS_EF)</t>
  </si>
  <si>
    <t>030D11 (M3_V1.3_CS_EF)</t>
  </si>
  <si>
    <t>030E11 (M3_V1.3_CS_EF)</t>
  </si>
  <si>
    <t>Nissan Scope 3.1 DA-Mid RESPI (AMFM)</t>
  </si>
  <si>
    <t>Resp_HMI_Scope_3.1</t>
  </si>
  <si>
    <t>V850_Scope_2_Resp</t>
  </si>
  <si>
    <t>[wzr2hi, 21.04.2020] Added 7.503.751.414-01 for TSB1.BrgP (RESP)
[wzr2hi, 21.04.2020] Added 7.503.751.414 for PreProd1.BrgP (RESP)</t>
  </si>
  <si>
    <t>7.503.751.414-01,
7.503.751.414</t>
  </si>
  <si>
    <t>7.510.750.974-02,
7.510.750.974-03,
7.515.750.800-03,
7.515.750.974,
7.515.750.976,
7.515.750.868-01,
7.515.750.883-01,
7.515.750.975,
7.515.750.977,
7.515.750.878-01,
7.515.750.842-01,
7.515.750.873-01,
7.515.750.874-01,
7.515.750.979-01,
7.515.750.343-01,
7.515.750.800-04,
7.515.750.800-05,
7.515.750.822-03,
7.515.750.868-02,
7.515.750.883-02,
7.515.750.869-02,
7.515.750.884-02,
7.515.750.873-02,
7.515.750.874-02,
7.515.750.800,
7.515.750.822,
7.515.751.145-01,
7.515.751.023-91,
7.515.751.036-91,
7.515.751.037-91,
7.515.751.023,
7.515.751.036,
7.515.751.037,
7.515.750.901,
7.515.750.896,
7.515.750.891,
7.515.750.906,
7.515.751.026,
7.515.751.031,
7.515.750.873,
7.515.750.874,
7.515.751.027,
7.515.751.032,
7.515.751.100,
7.515.751.106,
7.515.750.351,
7.515.750.356,
7.515.750.892,
7.515.750.897,
7.515.750.902,
7.515.750.907,
7.515.751.101,
7.515.751.107,
7.515.750.352,
7.515.750.357,
7.515.751.028,
7.515.751.033,
7.515.750.353,
7.515.750.358,
7.515.751.102,
7.515.751.108,
7.515.750.893,
7.515.750.898,
7.515.750.903,
7.515.750.908,
7.515.751.029,
7.515.751.034,
7.515.751.103,
7.515.751.109,
7.515.750.894,
7.515.750.899,
7.515.750.354,
7.515.750.359,
7.515.750.355,
7.515.750.360,
7.515.751.915</t>
  </si>
  <si>
    <t>7.515.751.964</t>
  </si>
  <si>
    <t>Nissan Scope 2 NAV-Mid NAM(US/CAN) (AM/FM) (CPLD)</t>
  </si>
  <si>
    <t>Nissan Scope 2 NAV-Mid NAM(US/CAN) (AM/FM)</t>
  </si>
  <si>
    <t>Nissan Scope 2 NAV-Mid NAM(MEX) (AM/FM)</t>
  </si>
  <si>
    <t>Nissan Scope 2 NAV-Mid NAM(MEX) (AM/FM) (CPLD)</t>
  </si>
  <si>
    <t>Nissan Scope 2.1 NAV-Mid NAM(US/CAN) (AM/FM)</t>
  </si>
  <si>
    <t>Nissan Scope 2.1 NAV-Mid NAM(MEX) (AM/FM) (CPLD)</t>
  </si>
  <si>
    <t>Nissan Scope 2.1 NAV-Mid NAM(MEX) (AM/FM)</t>
  </si>
  <si>
    <t>0.000.000.000-08</t>
  </si>
  <si>
    <t>Nissan Scope 2.1 NAV-Mid RUS(RUS) (AM/FM) (CPLD)</t>
  </si>
  <si>
    <t>[wzr2hi, 12.06.2020] Added 0.000.000.000-08 as PlaceholderBuild.PlaceholderPlant (P42M)</t>
  </si>
  <si>
    <t>[wzr2hi, 12.06.2020] Added 7.515.751.964 for MY21-NoHD.PgP1 (P42M)</t>
  </si>
  <si>
    <t>7.515.751.968</t>
  </si>
  <si>
    <t>[wzr2hi, 17.06.2020] Added 7.515.751.968 for MY21-NoHD.PgP1 (L42N)</t>
  </si>
  <si>
    <t>[wzr2hi, 13.03.2018] Added 7.503.750.815-02 for TSB2.BrgP (V4/V5 SBX)
[wzr2hi, 20.06.2018] Added 7.503.750.815 for PreProd1.BrgP (V4/V5 SBX)
[wzr2hi, 05.09.2018] Added 7.503.750.889 for PreProd2.BrgP (V4/V5 SBX)
[wzr2hi, 04.12.2018] Added 7.503.751.198 for X07 PPC.BrgP (V4 SBX)
[wzr2hi, 28.01.2019] Added 7.503.751.213 for PreProd3.BrgP (V4/V5 SBX) =&gt; [wzr2hi, 28.03.2019] Moved to MP-UPD.BrgP (V4/V5 SBX X07 DLO)
[wzr2hi, 28.03.2019] Added 7.503.751.271 for MP-UPD.BrgP (V4/V5 SBX X07 DLO)
[wzr2hi, 28.03.2019] Added 7.503.751.272 for MP-UPD.BrgP (V4/V5 SBX X07 DLO)
[wzr2hi, 23.08.2019] Added 7.503.751.328 for QLU0.1.BrgP (V4/V5 SBX)
[wzr2hi, 07.10.2019] Added 7.503.751.376 for QLU1.BrgP (V4/V5 SBX)
[wzr2hi, 19.06.2020] Added 7.503.751.415 for QLU1.BrgP (V4/V5 SBX) (SIIX)</t>
  </si>
  <si>
    <t>7.503.750.815-02,
7.503.750.815,
7.503.750.889,
7.503.751.198,
7.503.751.213,
7.503.751.271,
7.503.751.272,
7.503.751.328,
7.503.751.376,
7.503.751.415</t>
  </si>
  <si>
    <t xml:space="preserve">
[wzr2hi, 30.08.2017] Added 7.503.750.816-01 for TSB1.BrgP (SBX)
[wzr2hi, 13.03.2018] Added 7.503.750.816-02 for TSB2.BrgP (V4/V5 SBX)
[wzr2hi, 20.06.2018] Added 7.503.750.816 for PreProd1.BrgP (V4/V5 SBX)
[wzr2hi, 05.09.2018] Added 7.503.750.890 for PreProd2.BrgP (V4/V5SBX)
[wzr2hi, 04.12.2018] Added 7.503.751.200 for X07 PPC.BrgP (V4 SBX)
[wzr2hi, 28.01.2019] Added 7.503.751.214 for PreProd3.BrgP (V4/V5 SBX) =&gt;  [wzr2hi, 28.03.2019] Moved to MP-UPD.BrgP (V4/V5 SBX X07 DLO)
[wzr2hi, 28.03.2019] Added 7.503.751.273 for MP-UPD.BrgP (V4/V5 SBX X07 DLO)
[wzr2hi, 23.08.2019] Added 7.503.751.329 for QLU0.1.BrgP (V4/V5 SBX)
[wzr2hi, 07.10.2019] Added 7.503.751.377 for QLU1.BrgP (V4/V5 SBX)
[wzr2hi, 19.06.2020] Added 7.503.751.416 for QLU1.BrgP (V4/V5 SBX) (SIIX)</t>
  </si>
  <si>
    <t>7.500.750.818-01,
7.503.750.816-01,
7.503.750.816-02,
7.503.750.816,
7.503.750.890,
7.503.751.200,
7.503.751.214,
7.503.751.273,
7.503.751.329,
7.503.751.377,
7.503.751.416</t>
  </si>
  <si>
    <t>[wzr2hi, 30.08.2017] Added 7.513.750.841-01 for TSB1.BrgP (SBX) (Renault Scope 2.1 Core Nav, EN_ND_DAB (PV Test))
[wzr2hi, 30.08.2017] Added 7.513.750.807-01 for TSB1.BrgP (SBX) (Renault Scope 2.1 Core Nav, EN_ND_DAB_EUR)
[wzr2hi, 13.03.2018] Added 7.513.750.807-02 for TSB2.BrgP (V4/V5 SBX)
[wzr2hi, 20.06.2018] Added 7.513.750.807 for PreProd1.BrgP (V4/V5 SBX)
[wzr2hi, 05.09.2018] Added 7.513.751.178 for PreProd2.BrgP (V4/V5 SBX)
[wzr2hi, 23.08.2019] Added 7.513.751.715 for QLU0.1.BrgP (V4/V5 SBX)
[wzr2hi, 07.10.2019] Added 7.513.751.744 for QLU1.BrgP (V4/V5 SBX)
[wzr2hi, 19.06.2020] Added 7.513.751.892 for QLU1.BrgP (V4/V5 SBX) (SIIX)</t>
  </si>
  <si>
    <t>7.513.750.841-01,
7.513.750.807-01,
7.513.750.807-02,
7.513.750.807,
7.513.751.178,
7.513.751.715,
7.513.751.744,
7.513.751.892</t>
  </si>
  <si>
    <t>Renault Scope 2.1 Mid Navi EUR DAB
Renault Scope 2.1 Mid Navi EUR DAB
[wzr2hi, 30.08.2017] Added 7.513.750.823-01 for TSB1.BrgP (SBX) (Renault Scope 2.1 Full Nav, MI_NDL_DAB_EUR)
[wzr2hi, 30.08.2017] Added 7.513.750.824-01 for TSB1.BrgP (SBX) (Renault Scope 2.1 Full Nav, MI_NDL_DAB_ETH_EUR)
[wzr2hi, 30.08.2017] Added 7.513.750.843-01 for TSB1.BrgP (SBX) (Renault Scope 2.1 Full Nav, MI_NDL_DAB_ETH (PV Test)
[wzr2hi, 06.09.2017] Added 7.510.750.902-01 ("HW-UBoot")
[wzr2hi, 13.03.2018] Added 7.513.750.823-02 for TSB2.BrgP (V4/V5 SBX) (Renault Scope 2.1 Full Nav, MI_NDL_DAB_EUR)
[wzr2hi, 13.03.2018] Added 7.513.750.843-02 for TSB2.BrgP (V4/V5 SBX) (Renault Scope 2.1 Full Nav, MI_NDL_DAB_ETH_EUR)
[wzr2hi, 20.06.2018] Added 7.513.750.823 for PreProd1.BrgP (V4/V5 SBX) (Renault Scope 2.1 Full Nav, MI_NDL_DAB_EUR)
[wzr2hi, 20.06.2018] Added 7.513.750.843 for PreProd1.BrgP (V4/V5 SBX) (Renault Scope 2.1 Full Nav, MI_NDL_DAB_ETH_EUR)
[wzr2hi, 05.09.2018] Added 7.513.751.154 for PreProd2.BrgP (V4/V5 SBX)
[wzr2hi, 05.09.2018] Added 7.513.751.180 for PreProd2.BrgP (V4/V5 SBX)
[wzr2hi, 23.08.2019] Added 7.513.751.714 for QLU0.1.BrgP (V4/V5 SBX)
[wzr2hi, 07.10.2019] Added 7.513.751.750 for QLU1.BrgP (V4/V5 SBX)
[wzr2hi, 19.06.2020] Added 7.513.751.893 for QLU1.BrgP (V4/V5 SBX) (SIIX)</t>
  </si>
  <si>
    <t>7.510.750.875-01,
7.510.750.876-01,
7.513.750.823-01,
7.513.750.824-01,
7.513.750.843-01,
7.510.750.902-01,
7.513.750.823-02,
7.513.750.843-02,
7.513.750.823,
7.513.750.843,
7.513.751.154,
7.513.751.180,
7.513.751.714,
7.513.751.750,
7.513.751.893</t>
  </si>
  <si>
    <r>
      <t xml:space="preserve">Renault Scope 3.1 Gen4 NAV-Mid EUR(EUR) (SBR DAB) </t>
    </r>
    <r>
      <rPr>
        <sz val="10"/>
        <color rgb="FFFF0000"/>
        <rFont val="Arial"/>
        <family val="2"/>
      </rPr>
      <t>"RIVIE2 FAKE"</t>
    </r>
  </si>
  <si>
    <t>7.515.751.176-99,
7.515.751.424-99</t>
  </si>
  <si>
    <t>[wzr2hi, 17.10.2018] Added 7.500.750.869-01 for DSB2.1.Hi (H61L)
[wzr2hi, 17.10.2018] Added 7.500.750.871-01 for DSB2.1.Hi (H61L)
[wzr2hi, 17.10.2018] Added 7.500.750.874-01 for DSB2.1.Hi (H61L)
[wzr2hi, 17.10.2018] Added 7.500.750.861-02 for DSB2.1.Hi (P33AB)
[wzr2hi, 17.10.2018] Added 7.500.750.864-01 for DSB2.1.Hi (P33A)
[wzr2hi, 28.01.2019] Added 7.500.750.861-03 for DSB2.1.Hi (P33A)
[wzr2hi, 04.04.2019] Added 7.505.751.286-01 for TSB1.1.PgP1 (H61L)
[wzr2hi, 04.04.2019] Added 7.505.751.287-01 for TSB1.1.PgP1 (H61L)
[wzr2hi, 04.04.2019] Added 7.505.751.288-01 for TSB1.1.PgP1 (H61L)
[wzr2hi, 23.04.2019] Added 7.500.750.861-05 for DSB2.1.Hi (P33A)
[wzr2hi, 24.06.2019] Added 7.505.751.286-02 for TSB2.1.PgP1 (H61L)
[wzr2hi, 24.06.2019] Added 7.505.751.287-02 for TSB2.1.PgP1 (H61L)
[wzr2hi, 24.06.2019] Added 7.505.751.288-02 for TSB2.1.PgP1 (H61L)
[mkr2hi, 12.08.2019] Added 7.505.751.286 for PP1.1.PgP1 (H61L)
[mkr2hi, 12.08.2019] Added 7.505.751.287 for PP1.1.PgP1 (H61L)
[mkr2hi, 12.08.2019] Added 7.505.751.288 for PP1.1.PgP1 (H61L)
[wzr2hi, 24.03.2020] Added 7.505.751.415 for QLU1.PgP1 (H61L)
[wzr2hi, 24.03.2020] Added 7.505.751.416 for QLU1.PgP1 (H61L)
[wzr2hi, 24.06.2020] Added 7.505.751.479-01 for TSB5.PgP1 (H61L)</t>
  </si>
  <si>
    <t>7.500.750.869-01,
7.500.750.871-01,
7.500.750.874-01,
7.500.750.861-02,
7.500.750.864-01,
7.500.750.861-03,
7.505.751.286-01,
7.505.751.287-01,
7.505.751.288-01,
7.500.750.861-05,
7.505.751.286-02,
7.505.751.287-02,
7.505.751.288-02,
7.505.751.286,
7.505.751.287,
7.505.751.288,
7.505.751.415,
7.505.751.416,
7.505.751.479-01</t>
  </si>
  <si>
    <t>7.510.751.206-01,
7.510.751.203-01,
7.515.751.469-01,
7.510.751.501-01,
7.510.751.501-02,
7.515.751.469-02,
7.515.751.469,
7.515.751.800</t>
  </si>
  <si>
    <t>[wzr2hi, 17.10.2018] Added 7.510.751.206-01 for DSB2.1.Hi (H61L)
[wzr2hi, 17.10.2018] Added 7.510.751.203-01 for DSB2.1.Hi (P33A)
[wzr2hi, 04.04.2019] Added 7.515.751.469-01 for TSB1.1.PgP1 (H61L)
[wzr2hi, 17.06.2019] Added 7.510.751.501-01 for DSB3.0.HI (P42R)
[wzr2hi, 14.06.2019] Added 7.510.751.501-02 for DSB3.2.HI (P42R)
[wzr2hi, 24.06.2019] Added 7.515.751.469-02 for TSB2.1.PgP1 (H61L)
[mkr2hi, 12.08.2019] Added 7.515.751.469 for PP1.1.PgP1 (H61L)
[wzr2hi, 24.03.2020] Added 7.515.751.800 for QLU1.PgP1 (H61L)</t>
  </si>
  <si>
    <t>[wzr2hi, 12.11.2019] Added 7.515.751.619-02 for TSB5.3.PgP1 (P33C)
[wzr2hi, 29.01.2020] Added 7.515.751.817-01 for TSB5.5.PgP1 (P33C)
[wzr2hi, 20.07.2020] Added 7.515.751.619 for PreProd5.1.PgP1 (P33C)</t>
  </si>
  <si>
    <t>7.515.751.619-02,
7.515.751.817-01,
7.515.751.619</t>
  </si>
  <si>
    <t>7.503.750.817-03,
7.503.750.881-01,
7.503.750.881,
7.505.751.198,
7.503.751.262,
7.503.751.323</t>
  </si>
  <si>
    <t>[wzr2hi, 13.03.2018] Added 7.503.750.817-03 for TSB1.BrgP (Q+).
[wzr2hi, 06.09.2018] Added 7.503.750.881-01 for TSB2.BrgP (V4/V5 SBX)
[wzr2hi, 13.02.2019] Added 7.503.750.881 for PreProdBis.BrgP (V4/V5 SBX)
[wzr2hi, 14.02.2019] Added 7.505.751.198 for PreProd1.PgP1 (V4/V5 SBX)
[wzr2hi, 05.04.2019] Added 7.503.751.262 for PreProd2.BrgP (V4/V5 SBX)
[mkr2hi, 13.08.2020] Added 7.503.751.323 for QLU0.2.BrgP (V4/V5 SBX)</t>
  </si>
  <si>
    <t>7.515.751.959,
7.515.751.987</t>
  </si>
  <si>
    <t>[wzr2hi, 12.06.2020] Added 7.515.751.959 for MY21-NoHD.PgP1 (L42P)
[wzr2hi, 31.08.2020] Added 7.515.751.987 for MY21-NoHD.PgP1 (L42P)</t>
  </si>
  <si>
    <t>[wzr2hi, 08.03.2019] Added 7.510.751.512-01 for DSB5.X.Hi (P33C)
[wzr2hi, 12.11.2019] Added 7.515.751.621-02 for TSB5.3.PgP1 (P33C)
[wzr2hi, 29.01.2020] Added 7.515.751.819-01 for TSB5.5.PgP1 (P33C)
[wzr2hi, 20.07.2020] Added 7.515.751.621 for PreProd5.1.PgP1 (P33C)
[wzr2hi, 17.09.2020] Added 7.515.751.819 for PreProd5.2.PgP1 (P33C)</t>
  </si>
  <si>
    <t>7.510.751.512-01,
7.515.751.621-02,
7.515.751.819-01,
7.515.751.621,
7.515.751.819</t>
  </si>
  <si>
    <t>rcar</t>
  </si>
  <si>
    <t>[wzr2hi, 27.06.2019] Added 7.513.751.643 for PreProd15.BrgP (P32R)
[wzr2hi, 19.11.2020] Added 7.513.751.907 for QLU1.BrgP (P32R/S)</t>
  </si>
  <si>
    <t>7.513.751.643,
7.513.751.907</t>
  </si>
  <si>
    <t>[wzr2hi, 24.06.2020] Added 7.515.751.176-99 for FAKE.DEVELOPMENT (RENAULT)
[wzr2hi, 19.03.2019] Added 7.515.751.424-99 for FAKE.DEVELOPMENT (RENAULT)</t>
  </si>
  <si>
    <t>030F11 (M3_V1.3_CS_EF)</t>
  </si>
  <si>
    <t>7.510.751.616-01</t>
  </si>
  <si>
    <t>[wzr2hi, 07.01.2021] Added 7.510.751.616-01 for Proto.Hi (SBX)</t>
  </si>
  <si>
    <t>Renault CCS1.1 Gen4 Full Nav, A2_MI_NDL_DAB_ETH_EUR</t>
  </si>
  <si>
    <t>CPLD_PEXT_SBR_M3_CCS11_PM01</t>
  </si>
  <si>
    <t>7.513.751.630,
7.513.751.805,
7.513.752.149</t>
  </si>
  <si>
    <t>[wzr2hi, 25.09.2019] Added 7.513.751.630 for PreProd1.BrgP (V2)
[wzr2hi, 03.12.2019] Added 7.513.751.805 for PreProd2.BrgP (V2) (XJK PPC)
[wzr2hi, 20.01.2021] Added 7.513.752.149 for PreProd3 BrgP (V1)</t>
  </si>
  <si>
    <t>EUR-PAM6_AIVI2P1_N_MID</t>
  </si>
  <si>
    <t>US-PAM6_AIVI2P1_N_MID</t>
  </si>
  <si>
    <t>7.510.751.614-01</t>
  </si>
  <si>
    <t>7.510.751.615-01</t>
  </si>
  <si>
    <t>[wzr2hi, 03.02.2021] Added 7.510.751.615-01 for DSB3.Hi (CCS 2.0)</t>
  </si>
  <si>
    <t>[wzr2hi, 03.02.2021] Added 7.510.751.614-01 for DSB3.Hi (CCS 2.0)</t>
  </si>
  <si>
    <t>rnaivi2_nav_jpn_high (rfs_nav_high)</t>
  </si>
  <si>
    <t>RFS_GEN4_21JH</t>
  </si>
  <si>
    <t>7.510.751.612-01</t>
  </si>
  <si>
    <t>7.510.751.613-01</t>
  </si>
  <si>
    <t>[wzr2hi, 03.02.2021] Added 7.510.751.613-01 for DSB3.Hi (CCS 2.0)</t>
  </si>
  <si>
    <t>[wzr2hi, 03.02.2021] Added 7.510.751.612-01 for DSB3.Hi (CCS 2.0)</t>
  </si>
  <si>
    <t>7.515.751.639-02,
7.515.751.641-02</t>
  </si>
  <si>
    <t>7.515.751.640-02,
7.515.751.642-02,
7.515.751.642-03</t>
  </si>
  <si>
    <t>[wzr2hi, 19.03.2019] Added 7.515.751.640-02 for TSB4.PgP1 (TBD)
[wzr2hi, 19.03.2019] Added 7.515.751.642-02 for TSB4.PgP1 (TBD)
[wzr2hi, 19.03.2019] Added 7.515.751.642-03 for DSB4.Hi (TBD)</t>
  </si>
  <si>
    <t>[wzr2hi, 19.03.2019] Added 7.515.751.639-02 for TSB4.PgP1 (TBD)
[wzr2hi, 19.03.2019] Added 7.515.751.641-02 for TSB4.PgP1 (TBD)</t>
  </si>
  <si>
    <t>Do not use. Entries still in work.</t>
  </si>
  <si>
    <t>0.000.000.000-09</t>
  </si>
  <si>
    <t>0.000.000.000-10</t>
  </si>
  <si>
    <t>0.000.000.000-11</t>
  </si>
  <si>
    <t>[wzr2hi, 04.02.2021] Added 0.000.000.000-09 as PlaceholderBuild.PlaceholderPlant (V1/V2)</t>
  </si>
  <si>
    <t>[wzr2hi, 04.02.2021] Added 0.000.000.000-10 as PlaceholderBuild.PlaceholderPlant (V1/V2)</t>
  </si>
  <si>
    <t>[wzr2hi, 04.02.2021] Added 0.000.000.000-11 as PlaceholderBuild.PlaceholderPlant (V1/V2)</t>
  </si>
  <si>
    <t>06A9 (Quad)</t>
  </si>
  <si>
    <t>Renault Scope 3.0 Access Nav, EN_{NAC|NAF}_FM_RUS (USB PHY)</t>
  </si>
  <si>
    <t>031111 (M3_V1.3_CS_EF)</t>
  </si>
  <si>
    <t>CPLD_PEXT_SBR_M3_J32V_PM01</t>
  </si>
  <si>
    <t>Kalpuri Sainath (RBEI/ECF2), 03.03.2021:</t>
  </si>
  <si>
    <t>PF 20.0F/21.0F: BASE_RFS_RCAR3_20.0F30</t>
  </si>
  <si>
    <t>PF 20.1S: 20.1S2021.07</t>
  </si>
  <si>
    <t>PF 20.1C: Not yet updated, No Go from Peter Vogel</t>
  </si>
  <si>
    <t>[wzr2hi, 05.04.2018] Added 7.515.750.924-06 for TSB2.PgP1 (C2-Sample)
[wzr2hi, 05.04.2018] Added 7.515.750.924-07 for TSB3.PgP1 (C3-Sample)
[wzr2hi, 22.10.2018] Added 7.515.750.924 for PreProd1.PgP1
[wzr2hi, 23.08.2019] Added 7.515.751.553 for QLU1.PgP1
[wzr2hi, 12.03.2021] Added 7.515.752.052 for FIX-CAPS-PCB.PgP1</t>
  </si>
  <si>
    <t>7.515.750.924-06,
7.515.750.924-07,
7.515.750.924,
7.515.751.553,
7.515.752.052</t>
  </si>
  <si>
    <t>[wzr2hi, 02.03.2018] Added 7.515.750.926-05 for TSB1.PgP1 (C-Sample)
[wzr2hi, 05.04.2018] Added 7.515.750.926-06 for TSB2.PgP1 (C2-Sample)
[wzr2hi, 05.04.2018] Added 7.515.750.926-07 for TSB3.PgP1 (C3-Sample)
[wzr2hi, 16.08.2018] Added 7.515.750.926-08 for TSB4.PgP1 (C4-Sample)
[wzr2hi, 22.10.2018] Added 7.515.750.926 for PreProd1.PgP1
[wzr2hi, 23.08.2019] Added 7.515.751.555 for QLU1.PgP1
[wzr2hi, 03.12.2020] Added 7.515.752.136 for SOP.PgP1 (N61G)
[wzr2hi, 22.02.2021] Added 7.515.752.145 for MY22.PT1.PgP1 (P71A)
[wzr2hi, 12.03.2021] Added 7.515.752.054 for FIX-CAPS-PCB.PgP1
[wzr2hi, 12.03.2021] Added 7.515.752.241 for FIX-CAPS-PCB.PgP1</t>
  </si>
  <si>
    <t>7.515.750.926-05,
7.515.750.926-06,
7.515.750.926-07,
7.515.750.926-08,
7.515.750.926,
7.515.751.555,
7.515.752.136,
7.515.752.145,
7.515.752.054,
7.515.752.241</t>
  </si>
  <si>
    <t>[wzr2hi, 05.04.2018] Added 7.515.750.927-06 for TSB2.PgP1 (C2-Sample)
[wzr2hi, 05.04.2018] Added 7.515.750.927-07 for TSB3.PgP1 (C3-Sample)
[wzr2hi, 22.10.2018] Added 7.515.750.927 for PreProd1.PgP1
[wzr2hi, 12.03.2021] Added 7.515.752.055 for FIX-CAPS-PCB.PgP1</t>
  </si>
  <si>
    <t>7.515.750.927-06,
7.515.750.927-07,
7.515.750.927,
7.515.752.055</t>
  </si>
  <si>
    <t>[wzr2hi, 01.12.2017] Added 7.515.750.932-05 for TSB1.PgP1 (C-Sample)
[wzr2hi, 05.04.2018] Added 7.515.750.932-06 for TSB2.PgP1 (C2-Sample)
[wzr2hi, 05.04.2018] Added 7.515.750.932-07 for TSB3.PgP1 (C3-Sample)
[wzr2hi, 16.08.2018] Added 7.515.750.932-08 for TSB4.PgP1 (C4-Sample)
[wzr2hi, 22.10.2018] Added 7.515.750.932 for PreProd1.PgP1
[wzr2hi, 23.08.2019] Added 7.515.751.560 for MY21-ASEAN/GCC.PgP1
[wzr2hi, 12.03.2021] Added 7.515.752.061 for FIX-CAPS-PCB.PgP1</t>
  </si>
  <si>
    <t>7.515.750.932-05,
7.515.750.932-06,
7.515.750.932-07,
7.515.750.932-08,
7.515.750.932,
7.515.751.560,
7.515.752.061</t>
  </si>
  <si>
    <t>[wzr2hi, 01.12.2017] Added 7.515.750.933-05 for TSB1.PgP1 (C-Sample)
[wzr2hi, 05.04.2018] Added 7.515.750.933-06 for TSB2.PgP1 (C2-Sample)
[wzr2hi, 05.04.2018] Added 7.515.750.933-07 for TSB3.PgP1 (C3-Sample)
[wzr2hi, 16.08.2018] Added 7.515.750.933-08 for TSB4.PgP1 (C4-Sample)
[wzr2hi, 22.10.2018] Added 7.515.750.933 for PreProd1.PgP1
[wzr2hi, 23.08.2019] Added 7.515.751.561 for QLU1.PgP1
[wzr2hi, 16.12.2019] Added 7.515.751.856 for TBD.PgP1 (TBD)
[wzr2hi, 27.11.2020] Added 7.515.751.859 for MY21-QLU.PgP1 (D53H)
[wzr2hi, 15.01.2021] Added 7.515.752.141 for MY22.SOP.PgP1
[wzr2hi, 12.03.2021] Added 7.515.752.062 for FIX-CAPS-PCB.PgP1
[wzr2hi, 12.03.2021] Added 7.515.752.244 for FIX-CAPS-PCB.PgP1</t>
  </si>
  <si>
    <t>7.515.750.933-05,
7.515.750.933-06,
7.515.750.933-07,
7.515.750.933-08,
7.515.750.933,
7.515.751.561,
7.515.751.856,
7.515.751.859,
7.515.752.141,
7.515.752.062,
7.515.752.244</t>
  </si>
  <si>
    <t>[wzr2hi, 01.12.2017] Added 7.515.750.936-05 for TSB1.PgP1 (C-Sample)
[wzr2hi, 05.04.2018] Added 7.515.750.936-06 for TSB2.PgP1 (C2-Sample)
[wzr2hi, 05.04.2018] Added 7.515.750.936-07 for TSB3.PgP1 (C3-Sample)
[wzr2hi, 22.10.2018] Added 7.515.750.936 for PreProd1.PgP1
[wzr2hi, 23.08.2019] Added 7.515.751.563 for QLU1.PgP1
[wzr2hi, 12.03.2021] Added 7.515.752.064 for FIX-CAPS-PCB.PgP1</t>
  </si>
  <si>
    <t>7.515.750.936-05,
7.515.750.936-06,
7.515.750.936-07,
7.515.750.936,
7.515.751.563,
7.515.752.064</t>
  </si>
  <si>
    <t>[wzr2hi, 05.04.2018] Added 7.505.750.959-06 for TSB2.PgP1 (C2-Sample)
[wzr2hi, 05.04.2018] Added 7.505.750.959-07 for TSB3.PgP1 (C3-Sample)
[wzr2hi, 22.10.2018] Added 7.505.750.959 for PreProd1.PgP1
[wzr2hi, 23.08.2019] Added 7.505.751.335 for QLU1.PgP1
[wzr2hi, 03.12.2020] Added 7.505.751.562 for SOP.PgP1 (N61G)
[wzr2hi, 22.02.2021] Added 7.505.751.654 for MY22.PT1.PgP1 (P71A)
[wzr2hi, 12.03.2021] Added 7.505.751.592 for FIX-CAPS-PCB.PgP1
[wzr2hi, 12.03.2021] Added 7.505.751.711 for FIX-CAPS-PCB.PgP1</t>
  </si>
  <si>
    <t>[wzr2hi, 05.04.2018] Added 7.505.750.966-06 for TSB2.PgP1 (C2-Sample)
[wzr2hi, 05.04.2018] Added 7.505.750.966-07 for TSB3.PgP1 (C3-Sample)
[wzr2hi, 22.10.2018] Added 7.505.750.966 for PreProd1.PgP1
[wzr2hi, 23.08.2019] Added 7.505.751.341 for QLU1.PgP1
[wzr2hi, 12.03.2021] Added 7.505.751.598 for FIX-CAPS-PCB.PgP1</t>
  </si>
  <si>
    <t>7.505.750.966-06,
7.505.750.966-07,
7.505.750.966,
7.505.751.341,
7.505.751.598</t>
  </si>
  <si>
    <t>7.505.750.959-06,
7.505.750.959-07,
7.505.750.959,
7.505.751.335,
7.505.751.562,
7.505.751.654,
7.505.751.592,
7.505.751.711</t>
  </si>
  <si>
    <t>[wzr2hi, 02.03.2018] Added 7.515.750.929-05 for TSB1.PgP1 (C-Sample)
[wzr2hi, 05.04.2018] Added 7.515.750.929-06 for TSB2.PgP1 (C2-Sample)
[wzr2hi, 05.04.2018] Added 7.515.750.929-07 for TSB3.PgP1 (C3-Sample)
[wzr2hi, 16.08.2018] Added 7.515.750.929-08 for TSB4.PgP1 (C4-Sample)
[wzr2hi, 22.10.2018] Added 7.515.750.929 for PreProd1.PgP1
[wzr2hi, 27.06.2019] Added 7.515.751.558 for SOP.PgP1 (P61G)
[wzr2hi, 27.06.2019] Added 7.515.751.084 for SOP.PgP1 (P61G)
[wzr2hi, 23.08.2019] Added 7.515.751.088 for QLU1.PgP1
[wzr2hi, 05.08.2020] Added 7.515.751.927 for MY21-ASEAN/GCC.PgP1
[wzr2hi, 12.03.2021] Added 7.515.752.058 for FIX-CAPS-PCB.PgP1
[wzr2hi, 15.03.2021] Added 7.515.751.931 for QLU2.PgP1</t>
  </si>
  <si>
    <t>7.515.750.929-05,
7.515.750.929-06,
7.515.750.929-07,
7.515.750.929-08,
7.515.750.929,
7.515.751.558,
7.515.751.084,
7.515.751.088,
7.515.751.927,
7.515.752.058,
7.515.751.931</t>
  </si>
  <si>
    <t>AIVIA-8505</t>
  </si>
  <si>
    <t>AIVIA-8739</t>
  </si>
  <si>
    <t>AIVIA-8725</t>
  </si>
  <si>
    <t>AIVIA-8724</t>
  </si>
  <si>
    <t>AIVIA-8726</t>
  </si>
  <si>
    <t>AIVIA-8742</t>
  </si>
  <si>
    <t>AIVIA-8746, AIVIA-8750, AIVIA-8769</t>
  </si>
  <si>
    <t>AIVIA-8743</t>
  </si>
  <si>
    <t>AIVIA-8748</t>
  </si>
  <si>
    <t>AIVIA-8772</t>
  </si>
  <si>
    <t>AIVIA-8776</t>
  </si>
  <si>
    <t>AIVIA-8775</t>
  </si>
  <si>
    <t>AIVIA-8774</t>
  </si>
  <si>
    <t>AIVIA-8773</t>
  </si>
  <si>
    <t>AIVIA-8751, AIVIA-8777</t>
  </si>
  <si>
    <t>Tryout Asset</t>
  </si>
  <si>
    <t>[wzr2hi, 19.03.2019] Added 7.515.751.765-02 for TSB3.PgP1 (TBD)
[wzr2hi, 22.07.2020] Added 7.515.751.765 for PreProd2.PgP1 (TBD)
[wzr2hi, 09.12.2020] Added 7.515.752.112 for MP.PgP1 (TBD)
[wzr2hi, 15.01.2021] Added 7.515.752.155 for PreProd2-UPD.PgP1 (P42Q)
[wzr2hi, 18.03.2021] Added 7.515.752.183 for PreProd3.PgP1 (P42Q)</t>
  </si>
  <si>
    <t>7.515.751.765-02,
7.515.751.765,
7.515.752.112,
7.515.752.155,
7.515.752.183</t>
  </si>
  <si>
    <t>7.515.750.814-03,
7.513.751.056,
7.513.751.150,
7.513.751.279-01,
7.513.751.279-02,
7.513.751.279,
7.513.751.649,
7.515.751.638,
7.515.751.785,
7.515.751.791,
7.513.751.880,
7.513.752.156</t>
  </si>
  <si>
    <t>[wzr2hi, 08.01.2018] Added 7.515.750.814-03 for TSB12.PgP1
[wzr2hi, 17.05.2018] Added 7.513.751.056 for PreProd6.1.BrgP (P32S)
[wzr2hi, 16.08.2018] Added 7.513.751.150 for PreProd7.BrpP (P32S)
[wzr2hi, 04.10.2018] Added 7.513.751.279-01 for TSB12.1.BrgP (H60A)
[wzr2hi, 06.11.2018] Added 7.513.751.279-02 for TSB13.BrgP (H60A)
[wzr2hi, 07.03.2019] Added 7.513.751.279 for PreProd13a.BrgP (H60A)
[wzr2hi, 19.06.2019] Added 7.513.751.649 for QLU1.BrpP (P32S)
[wzr2hi, 03.07.2019] Added 7.515.751.638 for PreProd21.PgP1 (P32R)
[wzr2hi, 29.11.2019] Added 7.515.751.785 for PreProd26a.BrgP (P32R)
[wzr2hi, 10.12.2019] Added 7.515.751.791 for PreProd26a.BrgP (H60A)
[wzr2hi, 24.09.2020] Added 7.513.751.880 for SOP.BrgP (H60A LCP)
[wzr2hi, 26.03.2021] Added 7.513.752.156 for SOP.BrgP (H60A LCP)</t>
  </si>
  <si>
    <t>AIVIA-8746</t>
  </si>
  <si>
    <t>AIVIA-TBD</t>
  </si>
  <si>
    <t>06AA (QuadPlus)</t>
  </si>
  <si>
    <t>06AB (Quad)</t>
  </si>
  <si>
    <t>0.000.000.000-17</t>
  </si>
  <si>
    <t>0.000.000.000-19</t>
  </si>
  <si>
    <t>0.000.000.000-21</t>
  </si>
  <si>
    <t>0.000.000.000-24</t>
  </si>
  <si>
    <t>0.000.000.000-26</t>
  </si>
  <si>
    <t>0.000.000.000-27</t>
  </si>
  <si>
    <t>[wzr2hi, 12.04.2021] Added 0.000.000.000-17 as PlaceholderBuild.PlaceholderPlant (V4/V5)</t>
  </si>
  <si>
    <t>[wzr2hi, 12.04.2021] Added 0.000.000.000-19 as PlaceholderBuild.PlaceholderPlant (V4/V5)</t>
  </si>
  <si>
    <t>[wzr2hi, 12.04.2021] Added 0.000.000.000-21 as PlaceholderBuild.PlaceholderPlant (V4/V5)</t>
  </si>
  <si>
    <t>[wzr2hi, 12.04.2021] Added 0.000.000.000-24 as PlaceholderBuild.PlaceholderPlant (V4/V5)</t>
  </si>
  <si>
    <t>[wzr2hi, 12.04.2021] Added 0.000.000.000-26 as PlaceholderBuild.PlaceholderPlant (V4/V5)</t>
  </si>
  <si>
    <t>[wzr2hi, 12.04.2021] Added 0.000.000.000-27 as PlaceholderBuild.PlaceholderPlant (V4/V5)</t>
  </si>
  <si>
    <t>Nissan P-IVI NAV-Premium UKR (DAB)</t>
  </si>
  <si>
    <t>Nissan P-IVI DA-Premium UKR(UKR) (DAB)</t>
  </si>
  <si>
    <t>AIVIA-8748, AIVIA-8781</t>
  </si>
  <si>
    <t>AIVIA-8782</t>
  </si>
  <si>
    <t>AIVIA-8783</t>
  </si>
  <si>
    <t>AIVIA-8744, AIVIA-8784</t>
  </si>
  <si>
    <t>7.515.750.823-02,
7.515.750.978,
7.515.750.870-01,
7.515.750.875-01,
7.515.750.823-03,
7.515.750.870-02,
7.515.750.875-02,
7.515.750.823,
7.515.750.875,
7.515.751.421,
7.515.751.452,
7.515.751.477,
7.515.751.903,
 7.515.752.299</t>
  </si>
  <si>
    <t>[wzr2hi, 17.01.2020] Added 7.513.751.607 for QLU0.1.BrgP (V4/V5 SBX) (JFC B10 XFD XFB)
[wzr2hi, 06.03.2020] Added 7.513.751.693 for PPC-SOP.BrgP (V4/V5 SBX) (HJB PHEV)
[wzr2hi, 24.03.2020] Added 7.515.751.574 for QLU0.1.PgP1 (V4/V5 SBX)
[wzr2hi, 17.05.2021] Added 7.515.752.273 for MZK-HW-PSW.PgP1 (V4/V5 SBX)
[wzr2hi, 17.05.2021] Added 7.513.752.171 for MZK-HW-PSW.BrgP (V4/V5 SBX)</t>
  </si>
  <si>
    <t>7.513.751.607,
7.513.751.693,
7.515.751.574,
7.515.752.273,
7.513.752.171</t>
  </si>
  <si>
    <t>EEU_SDB</t>
  </si>
  <si>
    <t>[wzr2hi, 25.09.2019] Added 7.513.751.627 for PreProd1.BrgP (V2)
[wzr2hi, 25.09.2019] Added 7.513.751.639 for PreProd1.BrgP (V2)
[wzr2hi, 25.09.2019] Added 7.515.751.157 for PreProd1.PgP1 (V1)
[wzr2hi, 03.12.2019] Added 7.513.751.803 for PreProd2.BrgP (V2) (XJK PPC)
[wzr2hi, 01.06.2021] Added 7.513.752.179 for QLU5.BrgP (V2)</t>
  </si>
  <si>
    <t>7.513.751.627,
7.513.751.639,
7.515.751.157,
7.513.751.803,
7.513.752.179</t>
  </si>
  <si>
    <t>[wzr2hi, 06.09.2018] Added 7.513.751.047-02 for TSB2.BrgP (V4/V5 SBX)
[wzr2hi, 14.02.2019] Added 7.513.751.047 for PreProdBis.BrgP (V4/V5 SBX)
[wzr2hi, 14.02.2019] Added 7.515.751.429 for PreProd1.PgP1 (V4/V5 SBX)
[wzr2hi, 05.04.2019] Added 7.513.751.568 for PreProd2.BrgP (V4/V5 SBX)
[wzr2hi, 09.03.2020] Added 7.515.751.668 for PPC-SOP.BrgP (V4/V5 SBX) (HJB PHEV)
[wzr2hi, 09.03.2020] Added 7.513.751.876 for PPC-SOP.BrgP (V4/V5 SBX) (HJB PHEV)
[wzr2hi, 24.03.2020] Added 7.515.751.528 for QLU0.1.PgP1 (V4/V5 SBX)
[wzr2hi, 03.06.2021] Added 7.513.752.177 for MZK-HW-PSW.BrgP (V4/V5 SBX)</t>
  </si>
  <si>
    <t>7.513.751.047-02,
7.513.751.047,
7.515.751.429,
7.513.751.568,
7.515.751.668,
7.513.751.876,
7.515.751.528,
7.513.752.177</t>
  </si>
  <si>
    <t>7.515.751.825-01,
7.515.751.825,
7.515.752.257</t>
  </si>
  <si>
    <t>7.505.751.698,
7.505.751.699,
7.505.751.701</t>
  </si>
  <si>
    <t>Nissan P-IVI 3.1 Gen4 DA-Premium RUS/KAZ/UKR/LAC/AFR (SBR AM/FM)</t>
  </si>
  <si>
    <t>Nissan Scope 3.1 Gen4 NAV-Mid EUR(EUR) (ADR DAB)</t>
  </si>
  <si>
    <t>Nissan Scope 3.1 Gen4 NAV-Mid EUR(EUR) (DAB) "CLEO"</t>
  </si>
  <si>
    <t>Nissan Scope 3.1 Gen4 NAV-Mid EUR(RUS) (SBR DAB)</t>
  </si>
  <si>
    <t>Nissan Scope 3.1 Gen4 DA-Mid TKY/RUS(NO) (SBR DAB)</t>
  </si>
  <si>
    <t>Nissan Scope 3.1 Gen4 DA-Mid US(NO) (SBR HD)</t>
  </si>
  <si>
    <t>Nissan Scope 3.1 Gen4 DA-Mid MEA/AFR/SAF/ISR(NO) (SBR DAB)</t>
  </si>
  <si>
    <t>Nissan Scope 3.1 Gen4 DA-Mid US/CAN(NO) (SBR AM/FM)</t>
  </si>
  <si>
    <t>7.505.751.702</t>
  </si>
  <si>
    <t>7.505.750.829-01,
7.505.750.829-02,
7.500.750.848-01,
7.505.750.901-01,
7.505.750.804-05,
7.505.750.804-07,
7.505.750.901-02,
7.505.751.103,
7.505.750.804,
7.505.751.166,
7.505.750.901,
7.505.751.176,
7.505.751.202,
7.505.751.291,
7.505.751.278</t>
  </si>
  <si>
    <t>[wzr2hi, 14.06.2021] Added 7.505.751.702 for PreProd3.PgP1 (TBD)</t>
  </si>
  <si>
    <t>[wzr2hi, 14.06.2021] Added 7.505.751.698 for PreProd3.PgP1 (TBD)
[wzr2hi, 14.06.2021] Added 7.505.751.699 for PreProd3.PgP1 (TBD)
[wzr2hi, 14.06.2021] Added 7.505.751.701 for PreProd3.PgP1 (TBD)</t>
  </si>
  <si>
    <t>[wzr2hi, 19.03.2019] Added 7.515.751.825-01 for TSB3.PgP1 (TBD)
[wzr2hi, 26.01.2021] Added 7.515.751.825 for PreProd3.PgP1 (TBD)
[wzr2hi, 14.06.2021] Added 7.515.752.257 for PreProd3.PgP1 (TBD)</t>
  </si>
  <si>
    <t>7.515.751.758-02,
7.515.751.758,
7.515.752.189</t>
  </si>
  <si>
    <t>[wzr2hi, 19.03.2019] Added 7.515.751.758-02 for TSB3.PgP1 (TBD)
[wzr2hi, 26.01.2021] Added 7.515.751.758 for PreProd3.PgP1 (TBD)
[wzr2hi, 10.02.2021] Added 7.515.752.189 for MP.PgP1 (P33A)</t>
  </si>
  <si>
    <t>Nissan Scope 3.1 Gen4 NAV-Mid NAM(MEX) (SBR DAB)</t>
  </si>
  <si>
    <t>GCN3_CN_LA_NA</t>
  </si>
  <si>
    <t>Mitsubishi Scope 3.1 NAV-Mid PRC(THA) (AM/FM)</t>
  </si>
  <si>
    <t>7.513.752.192-01</t>
  </si>
  <si>
    <t>[wzr2hi, 08.07.2021] Added 7.513.752.192-01 for TSB1.BrgP (SBX)</t>
  </si>
  <si>
    <t>rnaivi2_da (rfs_da)</t>
  </si>
  <si>
    <t>[wzr2hi, 21.03.2018] Added 7.515.750.983-01 for TSB13.4.PgP1
[wzr2hi, 20.11.2018] Added 7.515.751.441 for PreProd19.2.PgP1 (L21B)
[wzr2hi, 24.01.2018] Added 7.513.751.438 for PreProd10.1.BrgP (P13A)
[wzr2hi, 05.04.2019] Added 7.515.751.442 for PreProd20.1b.PgP1 (L21B)
[wzr2hi, 03.07.2019] Added 7.513.751.601 for PreProd11.BrgP (P13A)
[wzr2hi, 10.07.2019] Added 7.513.751.641 for PreProd15.BrgP (U60)
[wzr2hi, 12.09.2019] Added 7.515.751.629 for PreProd21.PgP1 (L21B)
[wzr2hi, 28.11.2019] Added 7.515.751.622 for SOP.PgP1 (L21B)
[wzr2hi, 15.07.2020] Added 7.515.751.917 for MY21-SOP.PgP1 (L21B)
[wzr2hi, 10.03.2021] Added 7.515.752.223 for MY22-SOP.PgP1 (L21B)
[wzr2hi, 29.07.2021] Added 7.515.752.363 for MY21.SOP.PgP1 (L21B)</t>
  </si>
  <si>
    <t>7.515.750.983-01,
7.515.751.441,
7.513.751.438,
7.515.751.442,
7.513.751.601,
7.513.751.641,
7.515.751.629,
7.515.751.622,
7.515.751.917,
7.515.752.223,
7.515.752.363</t>
  </si>
  <si>
    <t>7.515.751.177-01,
7.515.750.983,
7.515.751.443,
7.515.751.630,
7.515.751.623,
7.515.751.918,
7.515.752.224,
7.515.752.364</t>
  </si>
  <si>
    <r>
      <t xml:space="preserve">7.500.750.889-01,
7.500.750.832-01,
7.505.750.803-01,
7.505.750.818-01,
7.505.750.818-02,
7.505.750.803-02,
7.500.750.828-01,
7.500.750.839-01,
7.505.750.803-03,
7.505.750.818-03,
</t>
    </r>
    <r>
      <rPr>
        <sz val="10"/>
        <rFont val="Arial"/>
        <family val="2"/>
      </rPr>
      <t>7.505.750.803,</t>
    </r>
    <r>
      <rPr>
        <sz val="10"/>
        <color rgb="FFFF0000"/>
        <rFont val="Arial"/>
        <family val="2"/>
      </rPr>
      <t xml:space="preserve">
</t>
    </r>
    <r>
      <rPr>
        <sz val="10"/>
        <rFont val="Arial"/>
        <family val="2"/>
      </rPr>
      <t>7.505.750.818,</t>
    </r>
    <r>
      <rPr>
        <sz val="10"/>
        <color rgb="FFFF0000"/>
        <rFont val="Arial"/>
        <family val="2"/>
      </rPr>
      <t xml:space="preserve">
</t>
    </r>
    <r>
      <rPr>
        <sz val="10"/>
        <rFont val="Arial"/>
        <family val="2"/>
      </rPr>
      <t>7.505.750.869,</t>
    </r>
    <r>
      <rPr>
        <sz val="10"/>
        <color rgb="FFFF0000"/>
        <rFont val="Arial"/>
        <family val="2"/>
      </rPr>
      <t xml:space="preserve">
</t>
    </r>
    <r>
      <rPr>
        <sz val="10"/>
        <rFont val="Arial"/>
        <family val="2"/>
      </rPr>
      <t>7.505.750.870,</t>
    </r>
    <r>
      <rPr>
        <sz val="10"/>
        <color theme="1"/>
        <rFont val="Arial"/>
        <family val="2"/>
      </rPr>
      <t xml:space="preserve">
7.505.750.803-05,
7.505.750.818-05,
7.505.750.869-01,
7.505.750.870-01,
7.505.750.850,
7.505.750.864,
7.505.750.803-06,
7.505.750.818-06,
7.505.750.883,
7.505.750.888,
7.505.750.884,
7.505.750.891,
7.505.750.860,
7.505.750.865,
7.505.750.803-07,
7.505.750.818-07,
7.505.751.262,
7.505.751.265,
7.505.750.885,
7.505.750.892,
7.505.750.861,
7.505.750.866,
7.505.751.353,
7.505.751.354,
7.505.751.355,
7.505.751.356,
7.505.750.886,
7.505.750.893,
7.505.750.887,
7.505.750.894,
7.505.751.667,
7.505.751.668,
7.505.751.734,
7.505.751.735,
7.505.751.799,
7.505.751.800</t>
    </r>
  </si>
  <si>
    <t>[wzr2hi, 06.09.2018] Added 7.513.751.030-02 for TSB2.BrgP (V4/V5 SBX)
[wzr2hi, 14.02.2019] Added 7.513.751.030 for PreProdBis.BrgP (V4/V5 SBX)
[wzr2hi, 05.04.2019] Added 7.513.751.573 for PreProd2.BrgP (V4/V5 SBX)
[wzr2hi, 16.01.2020] Added 7.513.751.868 for PPC-SOP.BrgP (V4/V5 SBX) (HJB PHEV)
[wzr2hi, 01.03.2021] Added 7.513.752.153 for QLU0.4.BrgP (V4/V5 SBX)
[wzr2hi, 03.06.2021] Added 7.513.752.175 for MZK-HW-PSW.BrgP (V4/V5 SBX)</t>
  </si>
  <si>
    <t>7.513.751.030-02,
7.513.751.030,
7.513.751.573,
7.513.751.868,
7.513.752.153,
7.513.752.175</t>
  </si>
  <si>
    <t>7.513.751.033-02,
7.513.751.033,
7.513.751.574,
7.513.751.869,
7.513.752.176</t>
  </si>
  <si>
    <t>[wzr2hi, 06.09.2018] Added 7.513.751.033-02 forTSB2.BrgP (V4/V5 SBX)
[wzr2hi, 14.02.2018] Added 7.513.751.033 for PreProdBis.BrgP (V4/V5 SBX)
[wzr2hi, 05.04.2019] Added 7.513.751.574 for PreProd2.BrgP (V4/V5 SBX)
[wzr2hi, 06.03.2020] Added 7.513.751.869 for PPC-SOP.BrgP (V4/V5 SBX) (HJB PHEV)
[wzr2hi, 03.06.2021] Added 7.513.752.176 for MZK-HW-PSW.BrgP (V4/V5 SBX)</t>
  </si>
  <si>
    <t>[wzr2hi, 06.09.2018] Added 7.513.751.026-02 for TSB2.BrgP (V4/V5 SBX)
[wzr2hi, 13.02.2019] Added 7.513.751.026 for PreProdBis.BrgP (V4/V5 SBX)
[wzr2hi, 05.04.2019] Added 7.513.751.570 for PreProd2.BrgP (V4/V5 SBX) =&gt; [wzr2hi, 01.10.2019] Moved to PPC.BrgP (V4/V5 SBX)(LJL)
[wzr2hi, 17.01.2020] Added 7.513.751.702 for MP-UPD.BrgP (V4/V5 SBX) (B10 LJL)
[wzr2hi, 09.04.2021] Added 7.513.752.174 for PP4.BrgP ( V4/V5 SBX)</t>
  </si>
  <si>
    <t>7.513.751.026-02,
7.513.751.026,
7.513.751.570,
7.513.751.702,
7.513.752.174</t>
  </si>
  <si>
    <t>[wzr2hi, 06.09.2018] Added 7.513.751.034-02 for TSB2.BrgP (V4/V5 SBX)
[wzr2hi, 20.11.2018] Added 7.513.750.987-02 for TSB2.BrgP (V4/V5 SBX)
[wzr2hi, 13.02.2019] Added 7.513.751.034 for PreProdBis.BrgP (V4/V5 SBX)
[wzr2hi, 05.04.2019] Added 7.513.751.571 for PreProd2.BrgP (V4/V5 SBX)
[wzr2hi, 18.12.2019] Added 7.513.751.703 for PPC-SOP.BrgP (V4/V5 SBX) (HJB PHEV)
[wzr2hi, 17.01.2020] Added 7.513.751.867 for QLU0.1.BrgP (V4/V5 SBX) (JFC B10 XFD XFB)
[wzr2hi, 01.03.2021] Added 7.513.752.152 for QLU0.4.BrgP (V4/V5 SBX)
[wzr2hi, 09.04.2021] Added 7.513.752.173 for PP4.BrgP ( V4/V5 SBX)</t>
  </si>
  <si>
    <t>7.513.751.034-02,
7.513.750.987-02,
7.513.751.034,
7.513.751.571,
7.513.751.703,
7.513.751.867,
7.513.752.152,
7.513.752.173</t>
  </si>
  <si>
    <t>Nissan Scope 2 Entry DA WW(LAC/GCC/MEX/AFR/ZAF/TUR/MEA/EGY/ASEAN-A&amp;B/CHN/TWN/KOR) (AM/FM)</t>
  </si>
  <si>
    <t>7.515.750.373-02,
7.515.751.224-01,
7.515.751.226,
7.515.751.478,
7.515.751.224,
7.515.751.627,
7.515.751.538,
7.515.751.901,
7.515.751.994,
7.515.752.014,
7.515.752.330</t>
  </si>
  <si>
    <t>[wzr2hi, 30.07.2018] Added 7.515.750.373-02 for TSB15.1a.PgP1 (H60A)
[wzr2hi, 20.09.2018] Added 7.515.751.224-01 for TSB16.2.PgP1 (P60A)
[wzr2hi, 08.11.2018] Added 7.515.751.226 for PreProd18.PgP1 (H60A)
[wzr2hi, 14.02.2019] Added 7.515.751.478 for MP.PgP1 (H60A)
[wzr2hi, 05.04.2019] Added 7.515.751.224 for PreProd20.1a.PgP1 (P60A)
[wzr2hi, 09.05.2019] Added 7.515.751.627 for PreProd20.1a.PgP1 (P60A)
[wzr2hi, 04.02.2020] Added 7.515.751.538 for ASEAN.QLU1.PgP1 (H60A)
[wzr2hi, 21.02.2020] Added 7.515.751.901 for QLU1.PgP1 (H60A SWC)
[wzr2hi, 04.09.2020] Added 7.515.751.994 for SOP-UPD.PgP1 (P60A)
[wzr2hi, 23.09.2020] Added 7.515.752.014 for SOP.PgP1 (H60A LCP)
[mkr2hi, 31.08.2021] Added 7.515.752.330 for MP-UPD.PgP1 (H60A LCP)</t>
  </si>
  <si>
    <t>7.515.750.987-01,
7.515.750.373-01,
7.513.751.155-01,
7.515.751.223-01,
7.515.750.373-79,
7.515.750.373-03,
7.515.750.373,
7.513.751.155,
7.515.751.537,
7.515.751.223,
7.515.751.626,
7.515.751.625,
7.513.751.662,
7.515.751.899,
7.515.751.902,
7.515.751.993,
7.515.752.098,
7.515.752.331</t>
  </si>
  <si>
    <t>[wzr2hi, 21.03.2018] Added 7.515.750.987-01 for TSB13.4.PgP1
[wzr2hi, 13.06.2018] Added 7.515.750.373-01 for TSB15.3.PgP1 (H60A)
[wzr2hi, 25.07.2018] Added 7.513.751.155-01 for TSB11.BrgP (P13A)
[wzr2hi, 17.09.2018] Added 7.515.751.223-01 for TSB16.PgP1 (P60A)
[wzr2hi, 17.09.2018] Added 7.515.750.373-79 for fake of 7.515.751.223-01 based on 7.515.750.373-01
[wzr2hi, 20.09.2018] Added 7.515.750.373-03 for TSB16.2.PgP1 (H60A)
[wzr2hi, 24.01.2019] Added 7.515.750.373 for PreProd20b.PgP1 (H60A)
[wzr2hi, 24.01.2018] Added 7.513.751.155 for PreProd10.1.BrgP (P13A)
[wzr2hi, 21.03.2019] Added 7.515.751.537 for MP.PgP1 (H60A)
[wzr2hi, 05.04.2019] Added 7.515.751.223 for PreProd20.1a.PgP1 (P60A)
[wzr2hi, 09.05.2019] Added 7.515.751.626 for PreProd20.1a.PgP1 (P60A)
[wzr2hi, 13.05.2019] Added 7.515.751.625 for SOP-UPD.PgP1 (H60A)
[wzr2hi, 03.07.2019] Added 7.513.751.662 for PreProd11.BrgP (P13A)
[wzr2hi, 04.02.2020] Added 7.515.751.899 for ASEAN.QLU1.PgP1 (H60A)
[wzr2hi, 21.02.2020] Added 7.515.751.902 for QLU1.PgP1 (H60A SWC)
[wzr2hi, 04.09.2020] Added 7.515.751.993 for SOP-UPD.PgP1 (P60A)
[wzr2hi, 25.11.2020] Added 7.515.752.098 for MP-UPD.PgP1 (H60A)
[mkr2hi, 31.08.2021] Added 7.515.752.331 for MP-UPD.PgP1 (H60A LCP)</t>
  </si>
  <si>
    <t>7.515.750.341-01,
7.515.750.341-02,
7.515.750.341,
7.515.751.449,
7.515.751.480,
7.515.752.341</t>
  </si>
  <si>
    <t>[wzr2hi, 20.03.2018] Added 7.515.750.341-01 for TSB13.1.PgP1
[wzr2hi, 13.06.2018] Added 7.515.750.341-02 for TSB15.2.PgP1
[wzr2hi, 31.08.2018] Added 7.515.750.341 for PreProd16.PgP1 (P42M)
[wzr2hi, 20.12.2018] Added 7.515.751.449 for PreProd19.PgP1 (P42M)
[wzr2hi, 12.03.2019] Added 7.515.751.480 for ILLUCHG.PgP1 (P42M)
[mkr2hi, 03.09.2021] Added 7.515.752.341 for MY23.SOP.PgP1 (P42M)</t>
  </si>
  <si>
    <t>7.515.750.982-01,
7.515.750.982-02,
7.515.750.982,
7.515.751.450,
7.515.751.481,
7.515.752.342</t>
  </si>
  <si>
    <t>[wzr2hi, 20.03.2018] Added 7.515.750.982-01 for TSB13.1.PgP1
[wzr2hi, 13.06.2018] Added 7.515.750.982-02 for TSB15.2.PgP1
[wzr2hi, 31.08.2018] Added 7.515.750.982 for PreProd16.PgP1 (P42M)
[wzr2hi, 20.12.2018] Added 7.515.751.450 for PreProd19.PgP1 (P42M)
[wzr2hi, 12.03.2019] Added 7.515.751.481 for ILLUCHG.PgP1 (P42M)
[mkr2hi, 03.09.2021] Added 7.515.752.342 for MY23.SOP.PgP1 (P42M)</t>
  </si>
  <si>
    <t>7.500.750.841-01,
7.505.750.991-01,
7.505.750.991-02,
7.505.750.991,
7.505.751.253,
7.505.751.296,
7.505.751.792</t>
  </si>
  <si>
    <t>[wzr2hi, 14.08.2017] Added 7.500.750.841-01 for DSB10.Hi
[wzr2hi, 20.03.2018] Added 7.505.750.991-01 for TSB13.1.PgP1
[wzr2hi, 13.06.2018] Added 7.505.750.991-02 for TSB15.2.PgP1 (P42M)
[wzr2hi, 31.08.2018] Added 7.505.750.991 for PreProd16.PgP1 (P42M)
[wzr2hi, 20.12.2018] Added 7.505.751.253 for PreProd19.PgP1 (P42M)
[wzr2hi, 12.03.2019] Added 7.505.751.296 for ILLUCHG.PgP1 (P42M)
[mkr2hi, 03.09.2021] Added 7.505.751.792 for MY23.SOP.PgP1 (P42M)</t>
  </si>
  <si>
    <t>7.513.751.584,
7.513.751.707,
7.513.751.709,
7.513.751.736,
7.513.751.798,
7.513.751.796,
7.513.752.308</t>
  </si>
  <si>
    <t>[wzr2hi, 25.03.2019] Added 7.513.751.583 for PreProd13.1.BrgP (P32S)
[wzr2hi, 28.06.2019] Added 7.513.751.707 for PreProd10.3.BrgP (P13A)
[wzr2hi, 03.07.2019] Added 7.513.751.709 for PreProd11.BrgP (P13A)
[wzr2hi, 21.08.2019] Added 7.513.751.736 for PreProd11.BrgP (P13A)(TCU)
[wzr2hi, 12.09.2019] Added 7.513.751.798 for PreProd17.BrgP (B12P)(TCU)
[wzr2hi, 25.09.2019] Added 7.513.751.796 for PreProd16.BrgP (P32S)(TCU)
[wzr2hi, 07.09.2021] Added 7.513.752.308 for SOP.BrgP (P13A)</t>
  </si>
  <si>
    <t>Nissan Scope 3.1 Gen4 DA-Mid EUR/UKR(NO) (SBR DAB)</t>
  </si>
  <si>
    <t>Nissan Scope 3.1 Gen4 NAV-Mid EUR/UKR(EUR) (SBR DAB)</t>
  </si>
  <si>
    <t>[wzr2hi, 19.03.2019] Added 7.515.751.759-02 for TSB3.PgP1 (TBD)
[wzr2hi, 22.07.2020] Added 7.515.751.759 for PreProd2.PgP1 (TBD)
[wzr2hi, 01.04.2021] Added 7.513.752.161-01 for TSB1.BrgP (P33B)
[wzr2hi, 01.04.2021] Added 7.513.752.162-01 for TSB1.BrgP (P33A)
[wzr2hi, 16.09.2021] Added 7.513.752.161 for PreProd1.BrgP (P33B)</t>
  </si>
  <si>
    <t>7.515.751.759-02,
7.515.751.759,
7.513.752.161-01,
7.513.752.162-01,
7.513.752.161</t>
  </si>
  <si>
    <t>0.000.000.000-30</t>
  </si>
  <si>
    <t>[wzr2hi, 16.09.2021] Added 0.000.000.000-30 as PlaceholderBuild.PlaceholderPlant (TBC)</t>
  </si>
  <si>
    <t>Nissan Scope 3.1 NAV-Mid EEU(EUR-W) (DAB)</t>
  </si>
  <si>
    <t>Mitsubishi Scope 3.1 NAV-Mid EEU(EUR-W) (DAB)</t>
  </si>
  <si>
    <t>Nissan Scope 3.1 DA-Mid EEU (DAB)</t>
  </si>
  <si>
    <t>Nissan Scope 2.1 DA-Mid EEU (DAB)</t>
  </si>
  <si>
    <t>Mitsubishi Scope 3.1 DA-Mid EEU (DAB)</t>
  </si>
  <si>
    <t>7.515.752.376</t>
  </si>
  <si>
    <t>[wzr2hi, 16.09.2021] Added 7.515.752.376 for PreProd5.5.BrgP (P33C)</t>
  </si>
  <si>
    <t>[wzr2hi, 08.03.2021] Added 7.510.751.617-01 for DSB1.Hi (J32V)
[wzr2hi, 26.05.2021] Added 7.515.752.285-01 for DSB1.PgP1 (J32V)</t>
  </si>
  <si>
    <t>7.510.751.617-01,
7.515.752.285-01</t>
  </si>
  <si>
    <t>031311 (M3_V1.3_CS_EF)</t>
  </si>
  <si>
    <t>7.503.751.265,
7.505.751.410,
7.503.751.396,
7.505.751.814</t>
  </si>
  <si>
    <t>[wzr2hi, 25.03.2019] Added 7.503.751.265 for PreProd13.1.BrgP (P32S)
[wzr2hi, 29.11.2019] Added 7.505.751.410 for PreProd26b.BrgP (P32R)
[wzr2hi, 13.12.2019] Added 7.503.751.396 for MP-UPD.BrgP (P32S)
[wzr2hi, 05.10.2021] Added 7.505.751.814 for SOP.PgP1 (P32R)</t>
  </si>
  <si>
    <t>7.515.750.826-02,
7.515.750.826-03,
7.515.750.826,
7.513.751.588,
7.513.751.651-01,
7.515.751.693,
7.515.751.707,
7.515.751.787,
7.515.752.300,
7.513.752.309</t>
  </si>
  <si>
    <t>[wzr2hi, 13.11.2017] Added 7.515.750.826-02 for TSB10.PgP1
[wzr2hi, 22.03.2018] Added 7.515.750.826-03 for TSB13.6.PgP1
[mkr2hi, 12.07.2018] Added 7.515.750.826 for Nissan Sc2 PreProd15.1.PgP1 (L42P)
[wzr2hi, 25.03.2019] Added 7.513.751.588 for PreProd13.2.BrgP (P32S)
[wzr2hi, 13.06.2019] Added 7.513.751.651-01 for TSB15.BrgP (H60A)
[wzr2hi, 16.07.2018] Added 7.515.751.693 for RoW SOP-UPD.PgP1 (L42P)
[wzr2hi, 05.09.2019] Added 7.515.751.707 for PreProd24a.PgP1 (H60A)
[wzr2hi, 29.11.2019] Added 7.515.751.787 for PreProd26a.BrgP (P32R)
[wzr2hi, 17.05.2021] Added 7.515.752.300 for SOP.PgP1 (H60A)
[wzr2hi, 19.10.2021] Added 7.513.752.309 for MY23.SOP.PgP1 (H60A)</t>
  </si>
  <si>
    <t>[wzr2hi, 03.11.2017] Added 7.513.750.901-01 for TSB7.BrgP
[wzr2hi, 13.11.2017] Added 7.515.750.809-02 for TSB10.PgP1
[wzr2hi, 12.12.2017] Added 7.513.750.982-01 for TSB7.BrgP
[wzr2hi, 21.02.2018] Added 7.513.750.981 for PreProd4.BrgP  =&gt; [wzr2hi, 08.05.2018] Now PreProd5.BrgP
[wzr2hi, 22.03.2018] Added 7.515.750.809-03 for TSB13.6.PgP1
[wzr2hi, 08.05.2018] Added 7.513.750.982 for PreProd5.BrgP
[wzr2hi, 17.05.2018] Added 7.513.751.050 for PreProd6.1.BrgP (P32S)
[mkr2hi, 11.07.2018] Added 7.515.750.809 for Nissan Sc2 PreProd15.1.PgP1 (L42P)
[wzr2hi, 16.08.2018] Added 7.513.751.059 for PreProd7.BrpP (P32S)
[wzr2hi, 04.10.2018] Added 7.513.750.901-02 for TSB12.1.BrgP (H60A)
[wzr2hi, 06.11.2018] Added 7.513.750.901-03 for TSB13.BrgP (H60A)
[wzr2hi, 07.03.2019] Added 7.513.751.276 for MP-UPD.BrgP (H60A)
[wzr2hi, 07.03.2019] Added 7.513.751.277 for MP-UPD.BrgP (H60A)
[wzr2hi, 19.06.2019] Added 7.513.751.648 for QLU1.BrpP (P32S)
[wzr2hi, 03.07.2019] Added 7.515.751.637 for PreProd21.PgP1 (P32R)
[wzr2hi, 05.09.2019] Added 7.515.751.706 for PreProd24a.PgP1 (H60A)
[wzr2hi, 29.11.2019] Added 7.515.751.786 for PreProd26a.BrgP (P32R)
[wzr2hi, 30.09.2020] Added 7.513.751.877 for MP-UPD.BrgP (H60A LCP)
[wzr2hi, 17.05.2021] Added 7.515.752.301 for SOP.PgP1 (H60A)
[wzr2hi, 19.10.2021] Added 7.513.752.193 for MY23.SOP.PgP1 (H60A)</t>
  </si>
  <si>
    <t>7.513.750.901-01,
7.515.750.809-02,
7.513.750.982-01,
7.513.750.981,
7.515.750.809-03,
7.513.750.982,
7.513.751.050,
7.515.750.809,
7.513.751.059,
7.513.750.901-02,
7.513.750.901-03,
7.513.751.276,
7.513.751.277,
7.513.751.648,
7.515.751.637,
7.515.751.706,
7.515.751.786,
7.513.751.877,
7.515.752.301,
7.513.752.193</t>
  </si>
  <si>
    <t>Nissan Scope 3.1 Gen4 NAV-Mid NAM(US/CAN) (SBR AM/FM)</t>
  </si>
  <si>
    <t>Mitsubishi Scope 3.1 NAV-Mid AFR(MAR) (AM/FM)</t>
  </si>
  <si>
    <t>7.515.751.143-04,
7.515.751.422-03,
7.515.751.419-03,
7.515.751.143,
7.515.751.419,
7.515.752.088,
7.515.752.268,
7.515.752.269</t>
  </si>
  <si>
    <t>[wzr2hi, 19.03.2019] Added 7.515.751.143-04 for TSB3.PgP1 (TBD)
[wzr2hi, 19.03.2019] Added 7.515.751.422-03 for TSB3.PgP1 (TBD)
[wzr2hi, 19.03.2019] Added 7.515.751.419-03 for TSB3.PgP1 (TBD)
[wzr2hi, 22.07.2020] Added 7.515.751.143 for PreProd1.PgP1 (TBD)
[wzr2hi, 22.07.2020] Added 7.515.751.419 for PreProd1.PgP1 (TBD)
[wzr2hi, 09.12.2020] Added 7.515.752.088 for SOP.PgP1 (TBD)
[wzr2hi, 14.06.2021] Added 7.515.752.268 for PreProd3.PgP1 (TBD)
[wzr2hi, 14.06.2021] Added 7.515.752.269 for PreProd3.PgP1 (TBD)</t>
  </si>
  <si>
    <t>7.515.751.701-02,
7.515.751.701,
7.515.752.104,
7.515.752.115,
7.515.752.221,
7.515.752.296,
7.515.752.404</t>
  </si>
  <si>
    <t>[wzr2hi, 19.03.2019] Added 7.515.751.701-02 for TSB3.PgP1 (TBD)
[wzr2hi, 22.07.2020] Added 7.515.751.701 for PreProd1.PgP1 (TBD)
[wzr2hi, 09.12.2020] Added 7.515.752.104 for MP.PgP1 (TBD)
[wzr2hi, 09.12.2020] Added 7.515.752.115 for MP.PgP1 (TBD)
[wzr2hi, 18.03.2021] Added 7.515.752.221 for PreProd3.PgP1 (P42Q)
[wzr2hi, 22.04.2021] Added 7.515.752.296 for PreProd3.PgP1 (P42Q) (N61G)
[wzr2hi, 29.11.2021] Added 7.515.752.404 for SOP.PgP1 (TBD)</t>
  </si>
  <si>
    <t>[wzr2hi, 06.09.2018] Added 7.513.751.170-01 for TSB2.BrgP (V4/V5 SBX)
[wzr2hi, 14.02.2019] Added 7.513.751.170 for PreProdBis.BrgP (V4/V5 SBX)
[wzr2hi, 05.04.2019] Added 7.513.751.564 for PreProd2.BrgP (V4/V5 SBX)
[wzr2hi, 06.03.2020] Added 7.513.751.695 for PPC-SOP.BrgP (V4/V5 SBX) (HJB PHEV)
[wzr2hi, 01.12.2021] Added 7.513.752.328 for QLU.BrgP (V4/V5 SBX)</t>
  </si>
  <si>
    <t>7.513.751.170-01,
7.513.751.170,
7.513.751.564,
7.513.751.695,
7.513.752.328</t>
  </si>
  <si>
    <t>[wzr2hi, 30.08.2017] Added 7.513.750.827-01 for TSB1.BrgP (SBX) =&gt; [wzr2hi, 29.2018] Originally manufactured as ST2.1 but intended for ST3.0 development. Superseded by 7.513.751.167-01. Will hopefully never be manufactured again.
[wzr2hi, 06.09.2018] Added 7.513.751.167-01 for TSB2.BrgP (V4/V5 SBX)
[wzr2hi, 29.10.2018] Added 7.515.751.128-01 for TSB1.PgP1 (V4/V5 SBX)
[wzr2hi, 29.10.2018] Added 7.515.751.128-02 for TSB2.PgP1 (V4/V5 SBX)
[wzr2hi, 13.02.2019] Added 7.513.751.167 for PreProdBis.BrgP (V4/V5 SBX)
[wzr2hi, 20.02.2019] Added 7.515.751.128 for PreProd1.PgP1 (V4/V5 SBX)
[wzr2hi, 05.04.2019] Added 7.513.751.545 for PreProd2.BrgP (V4/V5 SBX)
[wzr2hi, 18.11.2019] Added 7.515.751.521 for LFD-PPC.PgP1 (V4/V5 SBX)
[wzr2hi, 17.01.2020] Added 7.513.751.690 for MP-UPD.BrgP (V4/V5 SBX) (B10 LJL)
[wzr2hi, 17.01.2020] Added 7.515.751.662 for MP-UPD.PgP1(V4/V5 SBX)(HJB LFD LJL)
[wzr2hi, 01.12.2021] Added 7.513.752.329 for QLU.BrgP (V4/V5 SBX)</t>
  </si>
  <si>
    <t>7.513.750.827-01,
7.513.751.167-01,
7.515.751.128-01,
7.515.751.128-02,
7.513.751.167,
7.515.751.128,
7.513.751.545,
7.515.751.521,
7.513.751.690,
7.515.751.662,
7.513.752.329</t>
  </si>
  <si>
    <t>[wzr2hi, 17.01.2020] Added 7.513.751.801 for QLU0.1.BrgP (V4/V5 SBX) (JFC B10 XFD XFB)
[wzr2hi, 09.03.2020] Added 7.513.751.865 for PPC-SOP.BrgP (V4/V5 SBX) (HJB PHEV)
[wzr2hi, 01.12.2021] Added 7.513.752.326 for QLU.BrgP (V4/V5 SBX)</t>
  </si>
  <si>
    <t>7.513.751.801,
7.513.751.865,
7.513.752.326</t>
  </si>
  <si>
    <t>[wzr2hi, 06.09.2018] Added 7.513.751.168-01 for TSB2.BrgP (V4/V5 SBX)
[wzr2hi, 14.02.2019] Added 7.513.751.168 for PreProdBis.BrgP (V4/V5 SBX)
[wzr2hi, 14.02.2019] Added 7.515.751.427 for PreProd1.PgP1 (V4/V5 SBX)
[wzr2hi, 05.04.2019] Added 7.513.751.546 for PreProd2.BrgP (V4/V5 SBX)
[wzr2hi, 09.03.2020] Added 7.513.751.691 for PPC-SOP.BrgP (V4/V5 SBX) (HJB PHEV)
[wzr2hi, 01.12.2021] Added 7.513.752.327 for QLU.BrgP (V4/V5 SBX)</t>
  </si>
  <si>
    <t>7.513.751.168-01,
7.513.751.168,
7.515.751.427,
7.513.751.546,
7.513.751.691,
7.513.752.327</t>
  </si>
  <si>
    <t>031511 (M3_V1.3_CS_EF)</t>
  </si>
  <si>
    <t>Nissan Scope 2.1 NAV-Mid EEU(EUR-W) (DAB)</t>
  </si>
  <si>
    <t>7.515.752.246,
7.515.752.249</t>
  </si>
  <si>
    <t>7.505.751.715,
7.505.751.718</t>
  </si>
  <si>
    <t>[wzr2hi, 07.05.2021] Added 7.505.751.715 for PreProd1.PgP1 (TBD)
[wzr2hi, 10.01.2022] Added 7.505.751.718 for QLU.PgP1 (TBD)</t>
  </si>
  <si>
    <t>7.510.751.616-02,
7.510.751.616-03</t>
  </si>
  <si>
    <t>[wzr2hi, 07.01.2021] Added 7.510.751.616-02 for DSB1.Hi (SBX)
[wzr2hi, 25.01.2022] Added 7.510.751.616-03 for DSB1.Hi (SBX)(new Housing)</t>
  </si>
  <si>
    <t>CPLD_PEXT_SBR_LATTICE_PM02</t>
  </si>
  <si>
    <t>7.515.752.496</t>
  </si>
  <si>
    <t>7.515.752.499</t>
  </si>
  <si>
    <t>031811 (M3_V1.3_CS_EF)</t>
  </si>
  <si>
    <t>UBlox_updatable</t>
  </si>
  <si>
    <t>GNSS</t>
  </si>
  <si>
    <t>GNSS_not_updatable</t>
  </si>
  <si>
    <t>[06.06.16] 0x68C = Teseo 2 (checked OK). BUT no Navi therefore GNSS_not_updatable.</t>
  </si>
  <si>
    <t>Variantentabelle wurde aktualisiert und SWUP-Tabelle nachgezogen. [06.06.16] 0x68C = Teseo 2 (checked OK). BUT no Navi therefore GNSS_not_updatable.</t>
  </si>
  <si>
    <t>7.515.752.451-01,
7.515.752.451,
7.515.752.488</t>
  </si>
  <si>
    <t>7.515.752.501,
7.515.752.480</t>
  </si>
  <si>
    <t>7.515.752.487,
7.515.752.497</t>
  </si>
  <si>
    <t>7.515.752.485,
7.515.752.491</t>
  </si>
  <si>
    <t>7.515.752.482,
7.515.752.493</t>
  </si>
  <si>
    <t>7.515.752.483,
7.515.752.495</t>
  </si>
  <si>
    <t>7.515.752.484,
7.515.752.500</t>
  </si>
  <si>
    <t>7.515.752.486,
7.515.752.492</t>
  </si>
  <si>
    <t>7.515.752.490,
7.515.752.494</t>
  </si>
  <si>
    <t>7.503.751.678,
7.503.751.679-01,
7.503.751.679,
7.505.751.853</t>
  </si>
  <si>
    <t>7.505.751.854,
7.503.751.680,
7.503.751.681-01,
7.503.751.681</t>
  </si>
  <si>
    <t>[wzr2hi, 10.02.2022] Added 7.505.751.854 for PreProd5.PgP1(V4/V5 SBX)
[wzr2hi, 10.02.2022] Added 7.503.751.680 for PreProd5.BrgP(V4/V5 SBX)
[wzr2hi, 11.02.2022] Added 7.503.751.681-01 for TSB1.BrgP(V4/V5 SBX)
[wzr2hi, 10.02.2022] Added 7.503.751.681 for PreProd5.BrgP(V4/V5 SBX)</t>
  </si>
  <si>
    <t>[wzr2hi, 10.02.2022] Added 7.503.751.678 for PreProd5.BrgP(V4/V5 SBX)
[wzr2hi, 11.02.2022] Added 7.503.751.679-01 for TSB1.BrgP(V4/V5 SBX)
[wzr2hi, 10.02.2022] Added 7.503.751.679 for PreProd5.BrgP(V4/V5 SBX)
[wzr2hi, 10.02.2022] Added 7.505.751.853 for PreProd4.PgP1(V4/V5 SBX)</t>
  </si>
  <si>
    <r>
      <t xml:space="preserve">Nissan Scope 3.1 Gen4 NAV-Mid NAM(MEX) (SBR </t>
    </r>
    <r>
      <rPr>
        <sz val="10"/>
        <color theme="1"/>
        <rFont val="Arial"/>
        <family val="2"/>
      </rPr>
      <t>HD)</t>
    </r>
  </si>
  <si>
    <r>
      <t xml:space="preserve">Nissan Scope 3.1 Gen4 NAV-Mid NAM(MEX) (SBR </t>
    </r>
    <r>
      <rPr>
        <sz val="10"/>
        <color theme="1"/>
        <rFont val="Arial"/>
        <family val="2"/>
      </rPr>
      <t>DAB)</t>
    </r>
  </si>
  <si>
    <t>0.000.000.000-32</t>
  </si>
  <si>
    <t>0.000.000.000-31</t>
  </si>
  <si>
    <t>[wzr2hi, 10.02.2022] Added 0.000.000.000-31 as PlaceholderBuild.PlaceholderPlant (in case HD is needed)</t>
  </si>
  <si>
    <t>[wzr2hi, 10.02.2022] Added 0.000.000.000-32 as PlaceholderBuild.PlaceholderPlant (in case HD is needed)</t>
  </si>
  <si>
    <t>[wzr2hi, 09.02.2022] Added 7.515.752.451-01 for TSB1.PgP1 (PZ1A)
[wzr2hi, 09.02.2022] Added 7.515.752.451 for MP.PgP1 (PZ1A)
[wzr2hi, 09.02.2022] Added 7.515.752.488 for MP.PgP1 (P33A)</t>
  </si>
  <si>
    <t>[wzr2hi, 09.02.2022] Added 7.515.752.501 for MP.PgP1 (N61G)
[wzr2hi, 09.02.2022] Added 7.515.752.480 for MP.PgP1 (P42Q)</t>
  </si>
  <si>
    <t>[wzr2hi, 09.02.2022] Added 7.515.752.484 for MP.PgP1 (PZ1A)
[wzr2hi, 09.02.2022] Added 7.515.752.500 for MP.PgP1 (P33A)</t>
  </si>
  <si>
    <t>[wzr2hi, 09.02.2022] Added 7.515.752.487 for MP.PgP1 (PZ1A)
[wzr2hi, 09.02.2022] Added 7.515.752.497 for MP.PgP1 (P33A)</t>
  </si>
  <si>
    <t>[wzr2hi, 09.02.2022] Added 7.515.752.485 for MP.PgP1 (PZ1A)
[wzr2hi, 09.02.2022] Added 7.515.752.491 for MP.PgP1 (P33A)</t>
  </si>
  <si>
    <t>[wzr2hi, 09.02.2022] Added 7.515.752.482 for MP.PgP1 (PZ1A)
[wzr2hi, 09.02.2022] Added 7.515.752.493 for MP.PgP1 (P33A)</t>
  </si>
  <si>
    <t>[wzr2hi, 09.02.2022] Added 7.515.752.483 for MP.PgP1 (PZ1A)
[wzr2hi, 09.02.2022] Added 7.515.752.495 for MP.PgP1 (P33A)</t>
  </si>
  <si>
    <t>[wzr2hi, 09.02.2022] Added 7.515.752.496 for MP.PgP1 (P33A)</t>
  </si>
  <si>
    <t>[wzr2hi, 09.02.2022] Added 7.515.752.486 for MP.PgP1 (PZ1A)
[wzr2hi, 09.02.2022] Added 7.515.752.492 for MP.PgP1 (P33A)</t>
  </si>
  <si>
    <t>[wzr2hi, 09.02.2022] Added 7.515.752.490 for MP.PgP1 (P33A)
[wzr2hi, 09.02.2022] Added 7.515.752.494 for MP.PgP1 (P33A)</t>
  </si>
  <si>
    <t>[wzr2hi, 09.02.2022] Added 7.515.752.499 for MP.PgP1 (P33A)</t>
  </si>
  <si>
    <t>7.505.751.855,
7.503.751.682,
7.503.751.683-01,
7.503.751.683,
7.503.751.684</t>
  </si>
  <si>
    <t>7.503.751.685-01,
7.503.751.685</t>
  </si>
  <si>
    <t>031611 (M3_V1.3_CS_EF)</t>
  </si>
  <si>
    <t>Renault_HMI_Scope_1.1</t>
  </si>
  <si>
    <t>Renault CCS1.1 Gen4 Full Nav, A2_MI_NDL_DAB_[ETH]_EUR</t>
  </si>
  <si>
    <t xml:space="preserve">Renault CCS1.1 Gen4 Full Nav, A2_MI_NDL_DAB_[ETH]_PREKOR
</t>
  </si>
  <si>
    <t>Renault CCS1.1 Gen4 Full Nav, A2_MI_NDL_DAB_APAC</t>
  </si>
  <si>
    <t>Renault CCS1.1 Gen4 Full Nav, A2_MI_NDL_DAB_AFR</t>
  </si>
  <si>
    <t>Renault CCS1.1 Gen4 Full Nav, A2_MI_NDL_DAB_ETH_ISR</t>
  </si>
  <si>
    <t>Renault CCS1.1 Gen4 Full Nav, A2_MI_NDL_DAB_MAR</t>
  </si>
  <si>
    <t>Renault CCS1.1 Gen4 Full Nav, A2_MI_NDL_DAB_TUR</t>
  </si>
  <si>
    <t>Renault CCS1.1 Gen4 Full Nav, A2_MI_NDL_DAB_[ETH]_MEA</t>
  </si>
  <si>
    <t>[wzr2hi, 10.02.2022] Added 7.505.751.855 for PreProd4.PgP1 (V1/V2)
[wzr2hi, 10.02.2022] Added 7.503.751.682 for PreProd6.BrgP (V1/V2)
[wzr2hi, 16.02.2022] Added 7.503.751.683-01 for TSB5.BrgP (V1/V2)
[wzr2hi, 10.02.2022] Added 7.503.751.683 for PreProd5.BrgP (V1/V2)
[wzr2hi, 10.02.2022] Added 7.503.751.684 for PreProd7.BrgP (V1/V2)</t>
  </si>
  <si>
    <t>[wzr2hi, 16.02.2022] Added 7.503.751.685-01 for TSB7.BrgP (V1/V2)
[wzr2hi, 10.02.2022] Added 7.503.751.685 for PreProd7.BrgP (V1/V2)</t>
  </si>
  <si>
    <t>[wzr2hi, 11.04.2018] Added 7.513.750.823-03 for TSB2.BrgP (V4/V5 SBX)
[wzr2hi, 06.09.2018] Added 7.513.751.165-01 for TSB2.BrgP (V4/V5 SBX)
[wzr2hi, 13.02.2019] Added 7.513.751.165 for PreProdBis.BrgP (V4/V5 SBX)
[wzr2hi, 05.04.2019] Added 7.513.751.569 for PreProd2.BrgP (V4/V5 SBX)
[wzr2hi, 18.12.2019] Added 7.513.751.700 for PPC-SOP.BrgP (V4/V5 SBX) (HJB PHEV)
[wzr2hi, 17.01.2020] Added 7.513.751.864 for QLU0.1.BrgP (V4/V5 SBX) (JFC B10 XFD XFB)
[wzr2hi, 01.03.2021] Added 7.513.752.154 for QLU0.4.BrgP (V4/V5 SBX)
[wzr2hi, 09.04.2021] Added 7.513.752.172 for PP4.BrgP (V4/V5 SBX)
[wzr2hi, 22.02.2022] Added 7.513.752.413-01 for TSB1.BrgP (V4/V5 SBX)</t>
  </si>
  <si>
    <t>7.513.750.823-03,
7.513.751.165-01,
7.513.751.165,
7.513.751.569,
7.513.751.700,
7.513.751.864,
7.513.752.154,
7.513.752.172,
7.513.752.413-01</t>
  </si>
  <si>
    <t>[wzr2hi, 04.02.2021] Added 7.513.751.944 for PreProd1a.BrgP (V1/V2)
[wzr2hi, 04.02.2021] Added 7.513.751.946 for PreProd1a.BrgP (V1/V2)
[wzr2hi, 04.02.2021] Added 7.513.752.148 for PreProd2.BrgP (V1/V2)
[wzr2hi, 04.02.2021] Added 7.513.752.146 for PreProd4.BrgP (V1/V2)
[wzr2hi, 08.07.2021] Added 7.513.752.178 for PreProd5.BrgP (V2)
[wzr2hi, 22.02.2022] Added 7.513.752.415-01 for TSB1.BrgP (V1/V2)</t>
  </si>
  <si>
    <t>7.513.751.944,
7.513.751.946,
7.513.752.148,
7.513.752.146,
7.513.752.178,
7.513.752.415-01</t>
  </si>
  <si>
    <t>7.510.750.975-02,
7.510.750.975-03,
7.515.750.869-01,
7.515.750.884-01,
7.515.750.822-02,
7.515.751.822,
7.515.751.823,
7.515.751.916,
7.515.751.957,
7.515.751.958,
7.515.751.983,
7.515.751.984,
7.515.752.159,
7.515.752.160,
7.515.752.279,
7.515.752.280,
7.515.752.343,
7.515.752.344,
7.515.752.536-01</t>
  </si>
  <si>
    <t>[wzr2hi, 13.11.2017] Added 7.510.750.975-02 for DSB11.Hi
[wzr2hi, 13.11.2017] Added 7.510.750.975-03 for DSB11.Hi
[wzr2hi, 08.01.2018] Added 7.515.750.869-01 for TSB12.PgP1
[wzr2hi, 08.01.2018] Added 7.515.750.884-01 for TSB12.PgP1
[wzr2hi, 08.01.2018] Added 7.515.750.822-02 for TSB12.PgP1
[wzr2hi, 18.01.2020] Added 7.515.751.822 for MP.PgP1 (B12P)
[wzr2hi, 18.01.2020] Added 7.515.751.823 for MP.PgP1 (B12P)
[wzr2hi, 04.05.2020] Added 7.515.751.916 for PreProd28.PgP1 (L42P)
[wzr2hi, 12.06.2020] Added 7.515.751.957 for MY21-NoHD.PgP1 (L42P)
[wzr2hi, 12.06.2020] Added 7.515.751.958 for MY21-NoHD.PgP1 (L42P) 
[wzr2hi, 31.08.2020] Added 7.515.751.983 for MY21-NoHD.PgP1 (L42P)
[wzr2hi, 31.08.2020] Added 7.515.751.984 for MY21-NoHD.PgP1 (L42P)
[wzr2hi, 07.01.2021] Added 7.515.752.159 for MY23.PgP1 (B12P)
[wzr2hi, 07.01.2021] Added 7.515.752.160 for MY23.PgP1 (B12P)
[wzr2hi, 14.06.2021] Added 7.515.752.279 for MY22.SOP.PgP1 (L42P)
[wzr2hi, 14.06.2021] Added 7.515.752.280 for MY22.SOP.PgP1 (L42P)
[wzr2hi, 14.06.2021] Added 7.515.752.343 for MY22.SOP.PgP1 (B12P)
[wzr2hi, 14.06.2021] Added 7.515.752.344 for MY22.SOP.PgP1 (B12P)
[wzr2hi, 23.02.2022] Added 7.515.752.536-01 for LSR.DSB1.PgP1 (L42P)</t>
  </si>
  <si>
    <t>[wzr2hi, 16.09.2021] Added 7.513.752.310 for PreProd20.BrgP (P13A)
[wzr2hi, 16.09.2021] Added 7.513.752.311 for PreProd20.BrgP (B12P)
[wzr2hi, 02.03.2022] Added 7.513.752.418 for PreProd20.BrgP (B12P)</t>
  </si>
  <si>
    <t>[wzr2hi, 16.09.2021] Added 7.503.751.663 for PreProd20.BrgP (P13A)
[wzr2hi, 16.09.2021] Added 7.503.751.664 for PreProd20.BrgP (B12P)
[wzr2hi, 02.03.2022] Added 7.503.751.688 for PreProd20.BrgP (B12P)</t>
  </si>
  <si>
    <t>7.513.752.310,
7.513.752.311,
7.513.752.418</t>
  </si>
  <si>
    <t>7.503.751.663,
7.503.751.664,
7.503.751.688</t>
  </si>
  <si>
    <t>7.515.750.925-05,
7.515.750.925-06,
7.515.750.925-07,
7.515.750.925,
7.515.751.554,
7.515.752.034,
7.515.752.038,
7.515.752.138,
7.515.752.053,
7.515.752.240,
7.515.752.254</t>
  </si>
  <si>
    <t>[wzr2hi, 01.12.2017] Added 7.515.750.925-05 for TSB1.PgP1 (C-Sample)
[wzr2hi, 05.04.2018] Added 7.515.750.925-06 for TSB2.PgP1 (C2-Sample)
[wzr2hi, 05.04.2018] Added 7.515.750.925-07 for TSB3.PgP1 (C3-Sample)
[wzr2hi, 22.10.2018] Added 7.515.750.925 for PreProd1.PgP1
[wzr2hi, 23.08.2019] Added 7.515.751.554 for QLU1.PgP1
[wzr2hi, 16.10.2020] Added 7.515.752.034 for MY22.SOP.PgP1
[wzr2hi, 16.11.2020] Added 7.515.752.038 for MY21.SOP.PgP1 (N61G)
[wzr2hi, 22.02.2021] Added 7.515.752.138 for MY22.PT1.PgP1 (P71A)
[wzr2hi, 12.03.2021] Added 7.515.752.053 for FIX-CAPS-PCB.PgP1
[wzr2hi, 12.03.2021] Added 7.515.752.240 for FIX-CAPS-PCB.PgP1
[wzr2hi, 04.03.2022] Added 7.515.752.254 for MY23.QLU.PgP1</t>
  </si>
  <si>
    <t>7.505.750.958-06,
7.505.750.958-07,
7.505.750.958,
7.505.751.334,
7.505.751.556,
7.505.751.559,
7.505.751.564,
7.505.751.591,
7.505.751.710,
7.505.751.726</t>
  </si>
  <si>
    <t>[wzr2hi, 05.04.2018] Added 7.505.750.958-06 for TSB2.PgP1 (C2-Sample)
[wzr2hi, 05.04.2018] Added 7.505.750.958-07 for TSB3.PgP1 (C3-Sample)
[wzr2hi, 22.10.2018] Added 7.505.750.958 for PreProd1.PgP1
[wzr2hi, 23.08.2019] Added 7.505.751.334 for QLU1.PgP1
[wzr2hi, 16.10.2020] Added 7.505.751.556 for MY22.SOP.PgP1
[wzr2hi, 16.11.2020] Added 7.505.751.559 for MY21.SOP.PgP1 (N61G)
[wzr2hi, 22.02.2021] Added 7.505.751.564 for MY22.PT1.PgP1 (P71A)
[wzr2hi, 12.03.2021] Added 7.505.751.591 for FIX-CAPS-PCB.PgP1
[wzr2hi, 12.03.2021] Added 7.505.751.710 for FIX-CAPS-PCB.PgP1
[wzr2hi, 04.03.2022] Added 7.505.751.726 for MY23.QLU.PgP1</t>
  </si>
  <si>
    <t>[wzr2hi, 03.11.2017] Added 7.513.750.902-01 for TSB7.BrgP
[wzr2hi, 13.11.2017] Added 7.515.750.824-04 for TSB10.PgP1
[wzr2hi, 08.01.2018] Added 7.515.750.824-05 for TSB12.PgP1
[wzr2hi, 20.03.2018] Added 7.515.750.876-01 for TSB13.2.PgP1
[wzr2hi, 16.04.2018] Added 7.515.750.824-06 for TSB13.7.PgP1
[wzr2hi, 03.05.2018] Added 7.515.750.876-02 for TSB14.3.PgP1 (L42N)
[wzr2hi, 07.05.2018] Added 7.515.750.876-03 for TSB14.3.PgP1
[wzr2hi, 08.05.2018] Added 7.513.750.902 for PreProd5.BrgP
[mkr2hi, 12.07.2018] Added 7.515.750.824 for Nissan Sc2 PreProd15.1.PgP1 (L42P)
[wzr2hi, 31.08.2018] Added 7.515.750.876 for PreProd16.PgP1 (L42N)
[wzr2hi, 22.11.2018] Added 7.515.751.243 for SOP.PgP1 (L42N)
[wzr2hi, 03.12.2018] Added 7.515.751.451 for RoW SOP-UPD.PgP1 (L42P)
[wzr2hi, 21.02.2019] Added 7.515.751.475 for SOP.PgP1 (UPDHW) (L42N)
[wzr2hi, 25.03.2019] Added 7.513.751.587 for PreProd13.2.BrgP (P32S)
[mkr2hi, 12.08.2019] Added 7.515.751.673 for MP (FMVSS).PgP1 (L42N)
[wzr2hi, 29.11.2019] Added 7.515.751.784 for PreProd26a.BrgP (P32R)
[wzr2hi, 10.12.2019] Added 7.513.751.640 for PreProd18.PgP1 (H60A)
[wzr2hi, 06.05.2020] Added 7.515.751.691 for MP-UPD.PgP1 (L42P)
[wzr2hi, 06.05.2020] Added 7.515.751.944 for MP-UPD.PgP1 (L42N)
[wzr2hi, 05.11.2021] Added 7.515.752.277 for MY23.SOP.PgP1 (L42N)
[wzr2hi, 11.03.2022] Added 7.515.752.517 for MY23.SOP.PgP1 (L42N)</t>
  </si>
  <si>
    <t>7.513.750.902-01,
7.515.750.824-04,
7.515.750.824-05,
7.515.750.876-01,
7.515.750.824-06,
7.515.750.876-02,
7.515.750.876-03,
7.513.750.902,
7.515.750.824,
7.515.750.876,
7.515.751.243,
7.515.751.451,
7.515.751.475,
7.513.751.587,
7.515.751.673,
7.515.751.784,
7.513.751.640,
7.515.751.691,
7.515.751.944,
7.515.752.277,
7.515.752.517</t>
  </si>
  <si>
    <t>7.515.750.815-02,
7.510.751.017-01,
7.515.750.970-01,
7.515.750.970-02,
7.515.750.815-03,
7.513.751.048,
7.515.750.815,
7.513.751.057,
7.515.750.970,
7.513.751.278-01,
7.513.751.278-02,
7.515.751.420,
7.515.751.476,
7.513.751.278,
7.513.751.646,
7.515.751.635,
7.515.751.674,
7.515.751.466,
7.515.751.945,
7.515.752.278,
7.515.752.518</t>
  </si>
  <si>
    <t>7.505.750.835-01,
7.505.750.836-01,
7.505.750.831-99,
7.505.750.806-99,
7.515.750.822-99,
7.515.750.825-98,
7.515.750.824-99,
7.515.750.830-99,
7.505.750.896-01,
7.500.750.849-01,
7.505.750.835-02,
7.505.750.836-02,
7.505.750.831-03,
7.503.750.861,
7.505.750.900-01,
7.505.750.900-02,
7.505.750.835-03,
7.505.750.896-02,
7.505.750.831-05,
7.505.750.900-03,
7.505.750.900-04,
7.505.750.831-06,
7.503.750.862,
7.503.750.872,
7.503.750.867,
7.505.750.831,
7.505.751.150-01,
7.503.750.873,
7.503.750.834-02,
7.505.750.900,
7.505.751.126,
7.503.750.901-01,
7.503.750.902-01,
7.503.750.903-01,
7.503.750.834-03,
7.503.750.901-02,
7.503.750.902-02,
7.503.750.903-02,
7.505.751.201,
7.505.751.255,
7.503.751.205,
7.505.751.150,
7.505.751.290,
7.503.750.899,
7.503.750.900,
7.505.751.283,
7.503.751.316,
7.505.751.358,
7.505.751.363,
7.505.751.348,
7.505.751.409,
7.505.751.487,
7.505.751.488,
7.505.751.523,
7.505.751.524,
7.503.751.386,
7.503.751.499,
7.505.751.751,
7.503.751.524,
7.505.751.708,
7.505.751.852</t>
  </si>
  <si>
    <t>[wzr2hi, 13.11.2017] Added 7.513.750.908-01 for TSB9.1.BrgP
[wzr2hi, 13.11.2017] Added 7.513.750.909-01 for TSB9.1.BrgP
[wzr2hi, 20.09.2018] Added 7.515.751.135-02 for TSB16.1.PgP1 (L02D)
[wzr2hi, 24.01.2019] Added 7.515.751.135 for PreProd20a.PgP1 (L02D)
[wzr2hi, 06.08.2021] Added 7.515.752.359 for MY22.SOP.PgP1 (L02D)
[wzr2hi, 26.04.2022] Added 7.515.752.597 for SOP.PgP1 (L02D)</t>
  </si>
  <si>
    <t>7.513.750.908-01,
7.513.750.909-01,
7.515.751.135-02,
7.515.751.135,
7.515.752.359,
7.515.752.597</t>
  </si>
  <si>
    <t>7.513.750.890-02,
7.513.750.894-02,
7.513.750.977,
7.513.750.978,
7.515.751.179-01,
7.513.751.181,
7.513.751.182,
7.515.751.179,
7.513.751.448,
7.513.751.449,
7.515.752.360,
7.515.752.598</t>
  </si>
  <si>
    <t>[wzr2hi, 21.02.2018] Added 7.513.750.979 for PreProd4.BrgP
[wzr2hi, 21.02.2018] Added 7.513.750.980 for PreProd4.BrgP
[wzr2hi, 20.09.2018] Added 7.515.751.178-01 for TSB16.1.PgP1 (L02D)
[wzr2hi, 20.09.2018] Added 7.513.751.183 for MP.BrgP (B02E LG UPT)
[wzr2hi, 20.09.2018] Added 7.513.751.184 for MP.BrgP (B02E LG UPT)
[wzr2hi, 24.01.2019] Added 7.515.751.178 for PreProd20a.PgP1 (L02D)
[wzr2hi, 25.09.2019] Added 7.515.751.769 for MP-UPD.PgP1 (L02D)
[wzr2hi, 06.08.2021] Added 7.515.752.361 for MY22.SOP.PgP1 (L02D)
[wzr2hi, 26.04.2022] Added 7.515.752.599 for SOP.PgP1 (L02D)</t>
  </si>
  <si>
    <t>7.513.750.979,
7.513.750.980,
7.515.751.178-01,
7.513.751.183,
7.513.751.184,
7.515.751.178,
7.515.751.769,
7.515.752.361,
7.515.752.599</t>
  </si>
  <si>
    <t>[wzr2hi, 21.01.2019] Added 7.515.751.458-01 for TSB18.PgP1 (L02D)
[wzr2hi, 25.09.2019] Added 7.515.751.772 for PreProd25.PgP1 (L02D)
[wzr2hi, 09.11.2020] Added 7.515.752.090 for SOP.PgP1 (L02D)
[wzr2hi, 06.08.2021] Added 7.515.752.362 for MY22.SOP.PgP1 (L02D)
[wzr2hi, 26.04.2022] Added 7.515.752.600 for SOP.PgP1 (L02D)</t>
  </si>
  <si>
    <t>7.515.751.458-01,
7.515.751.772,
7.515.752.090,
7.515.752.362,
7.515.752.600</t>
  </si>
  <si>
    <t>[wzr2hi, xx.xx.2017] Added 7.505.750.808-01 for TSB4.PgP1
[wzr2hi, 31.01.2017] Added 7.500.750.825-01
[wzr2hi, 23.05.2017] Added 7.505.750.808-02 for TSB4.PgP1
[wzr2hi, 23.05.2017] Added 7.505.750.808-03 for TSB4.PgP1
[wzr2hi, 07.06.2017] Added 7.503.750.820-01 for TSB4.BrgP
[wzr2hi, 15.09.2017] Added 7.503.750.828-01 for TSB6.BrgP
[wzr2hi, 15.09.2017] Added 7.503.750.820-02 for TSB6.BrgP
[wzr2hi, 15.09.2017] Added 7.503.750.829-01 for TSB6.BrgP
[wzr2hi, 15.09.2017] Added 7.503.750.830-01 for TSB6.BrgP
[wzr2hi, 15.09.2017] Added 7.503.750.831-01 for TSB6.BrgP
[wzr2hi, 15.09.2017] Added 7.503.750.832-01 for TSB6.BrgP
[wzr2hi, 03.11.2017] Added 7.503.750.820-03 for TSB7.BrgP
[wzr2hi, 03.11.2017] Added 7.503.750.831-02 for TSB7.BrgP
[wzr2hi, 13.11.2017] Added 7.503.750.830-02 for TSB9.1.BrgP
[wzr2hi, 13.11.2017] Added 7.503.750.828-02 for TSB9.1.BrgP
[wzr2hi, 21.02.2018] Added 7.503.750.843 for PreProd4.BrgP
[wzr2hi, 21.02.2018] Added 7.503.750.844 for PreProd4.BrgP
[wzr2hi, 21.02.2018] Added 7.503.750.845 for PreProd4.BrgP
[wzr2hi, 21.02.2018] Added 7.503.750.846 for PreProd4.BrgP
[wzr2hi, 20.09.2018] Added 7.505.751.165-01 for TSB16.1.PgP1 (L02D)
[wzr2hi, 20.09.2018] Added 7.503.750.893 for MP.BrgP (B02E LG UPT)
[wzr2hi, 20.09.2018] Added 7.503.750.894 for MP.BrgP (B02E LG UPT)
[wzr2hi, 20.09.2018] Added 7.503.750.895 for MP.BrgP (B02E LG UPT)
[wzr2hi, 20.09.2018] Added 7.503.750.896 for MP.BrgP (B02E LG UPT)
[wzr2hi, 24.01.2019] Added 7.505.751.165 for PreProd20a.PgP1 (L02D)
[wzr2hi, 25.03.2019] Added 7.503.751.250 for MP.BrgP (FMVSS) (B02E QLU)
[wzr2hi, 25.03.2019] Added 7.503.751.251 for MP.BrgP (FMVSS) (B02E QLU)
[wzr2hi, 25.09.2019] Added 7.505.751.400 for MP-UPD.PgP1 (L02D)
[wzr2hi, 14.06.2021] Added 7.505.751.795 for MY22.SOP.PgP1 (L02D)
[wzr2hi, 06.08.2021] Added 7.505.751.801 for MY22.SOP.PgP1 (L02D)
[wzr2hi, 26.04.2022] Added 7.505.751.901 for SOP.PgP1 (L02D)</t>
  </si>
  <si>
    <t>7.500.750.808-01,
7.500.750.805-01,
7.505.750.805-01,
7.505.750.808-01,
7.500.750.825-01,
7.505.750.808-02,
7.505.750.808-03,
7.503.750.820-01,
7.503.750.828-01,
7.503.750.820-02,
7.503.750.829-01,
7.503.750.830-01,
7.503.750.831-01,
7.503.750.832-01,
7.503.750.820-03,
7.503.750.831-02,
7.503.750.830-02,
7.503.750.828-02,
7.503.750.843,
7.503.750.844,
7.503.750.845,
7.503.750.846,
7.505.751.165-01,
7.503.750.893,
7.503.750.894,
7.503.750.895,
7.503.750.896,
7.505.751.165,
7.503.751.250,
7.503.751.251,
7.505.751.400,
7.505.751.795,
7.505.751.801,
7.505.751.901</t>
  </si>
  <si>
    <t>[wzr2hi, 21.02.2017] Added 7.503.750.813-01 for TSB4.BrgP
[wzr2hi, 07.06.2017] Added 7.503.750.813-02 for TSB4.BrgP
[wzr2hi, 15.09.2017] Added 7.503.750.813-03 for TSB6.BrgP
[wzr2hi, 01.11.2017] Added 7.503.750.813-05 for TSB6.BrgP
[wzr2hi, 01.11.2017] Added 7.503.750.837-02 for TSB6.BrgP
[wzr2hi, 03.11.2017] Added 7.503.750.813-04 for TSB7.BrgP
[wzr2hi, 03.11.2017] Added 7.503.750.837-01 for TSB7.BrgP
[wzr2hi, 21.02.2018] Added 7.503.750.841 for PreProd4.BrgP
[wzr2hi, 20.02.2018] Added 7.503.750.842 for PreProd4.BrgP
[wzr2hi, 20.09.2018] Added 7.503.750.891 for MP.BrgP (B02E LG UPT)
[wzr2hi, 20.09.2018] Added 7.503.750.892 for MP.BrgP (B02E LG UPT)
[wzr2hi, 25.03.2019] Added 7.503.751.215 for MP.BrgP (FMVSS) (B02E QLU)
[wzr2hi, 25.03.2019] Added 7.503.751.216 for MP.BrgP (FMVSS) (B02E QLU)
[wzr2hi, 25.09.2019] Added 7.505.751.401 for PreProd25.PgP1 (L02D)
[wzr2hi, 09.11.2020] Added 7.505.751.618 for SOP.PgP1 (L02D)
[wzr2hi, 06.08.2021] Added 7.505.751.802 for MY22.SOP.PgP1 (L02D)
[wzr2hi, 26.04.2022] Added 7.505.751.902 for SOP.PgP1 (L02D)</t>
  </si>
  <si>
    <t>7.500.750.821-01,
7.503.750.813-01,
7.503.750.813-02,
7.503.750.813-03,
7.503.750.813-05,
7.503.750.837-02,
7.503.750.813-04,
7.503.750.837-01,
7.503.750.841,
7.503.750.842,
7.503.750.891,
7.503.750.892,
7.503.751.215,
7.503.751.216,
7.505.751.401,
7.505.751.618,
7.505.751.802,
7.505.751.902</t>
  </si>
  <si>
    <t>7.515.752.595-01,
7.515.752.595</t>
  </si>
  <si>
    <t>7.515.752.596-01,
7.515.752.596</t>
  </si>
  <si>
    <t>[wzr2hi, 12.04.2022] Added 7.515.752.596-01 for TSB1.PgP1 (TBD)
[wzr2hi, 12.05.2022] Added 7.515.752.596 for PreProd1.PgP1 (TBD)</t>
  </si>
  <si>
    <t>[wzr2hi, 12.04.2022] Added 7.515.752.595-01 for TSB1.PgP1 (TBD),
[wzr2hi, 12.05.2022] Added 7.515.752.595 for PreProd1.PgP1 (TBD)</t>
  </si>
  <si>
    <t>[wzr2hi, 08.03.2019] Added 7.510.751.320-01 for DSB5.X.Hi (P33C)
[wzr2hi, 12.11.2019] Added 7.515.751.612-02 for TSB5.3.PgP1 (P33C)
[wzr2hi, 29.01.2020] Added 7.515.751.812-01 for TSB5.5.PgP1 (P33C)
[wzr2hi, 20.07.2020] Added 7.515.751.612 for PreProd5.1.PgP1 (P33C)
[wzr2hi, 17.09.2020] Added 7.515.751.812 for PreProd5.2.PgP1 (P33C)
[wzr2hi, 15.11.2021] Added 7.515.752.378-01 for TSB2.PgP1 (Triton)
[wzr2hi, 25.01.2022] Added 7.515.752.378-02 for TSB3.PgP1 (Triton)
[wzr2hi, 30.05.2022] Added 7.515.752.378 for PreProd1.PgP1 (Triton)</t>
  </si>
  <si>
    <t>7.510.751.320-01,
7.515.751.612-02,
7.515.751.812-01,
7.515.751.612,
7.515.751.812,
7.515.752.378-01,
7.515.752.378-02,
7.515.752.378</t>
  </si>
  <si>
    <t>[wzr2hi, 06.09.2018] Added 7.513.751.164-01 for TSB2.BrgP (V4/V5 SBX)
[wzr2hi, 14.02.2019] Added 7.513.751.164 for PreProdBis.BrgP (V4/V5 SBX)
[wzr2hi, 14.02.2019] Added 7.515.751.425 for PreProd1.PgP1 (V4/V5 SBX)
[wzr2hi, 05.04.2019] Added 7.513.751.542 for PreProd2.BrgP (V4/V5 SBX)
[wzr2hi, 17.01.2020] Added 7.513.751.862 for QLU0.1.BrgP (V4/V5 SBX) (JFC B10 XFD XFB)
[wzr2hi, 09.03.2020] Added 7.515.751.657 for PPC-SOP.BrgP (V4/V5 SBX) (HJB PHEV)
[wzr2hi, 09.03.2020] Added 7.513.751.674 for PPC-SOP.BrgP (V4/V5 SBX) (HJB PHEV)
[wzr2hi, 24.03.2020] Added 7.515.751.489 for QLU0.1.PgP1 (V4/V5 SBX)
[wzr2hi, 03.06.2021] Added 7.513.752.170 for MZK-HW-PSW.BrgP (V4/V5 SBX)
[wzr2hi, 08.07.2022] Added 7.513.752.475 for SOP.BrgP (V4/V5 SBX)</t>
  </si>
  <si>
    <t>7.513.751.164-01,
7.513.751.164,
7.515.751.425,
7.513.751.542,
7.513.751.862,
7.515.751.657,
7.513.751.674,
7.515.751.489,
7.513.752.170,
7.513.752.475</t>
  </si>
  <si>
    <t>[wzr2hi, 28.03.2022] Added 7.513.752.419 for MP.BrgP (SBX V4/V5)
[wzr2hi, 08.07.2022] Added 7.513.752.489 for SOP.BrgP (V4/V5 SBX)</t>
  </si>
  <si>
    <t>7.513.752.419,
7.513.752.489</t>
  </si>
  <si>
    <t>[wzr2hi, 17.01.2020] Added 7.513.751.664 for QLU0.1.BrgP (V4/V5 SBX) (JFC B10 XFD XFB)
[wzr2hi, 02.03.2020] Added 7.513.751.606 for QLU0.1.BrgP (V4/V5 SBX) (JFC B10 XFD XFB)
[wzr2hi, 09.03.2020] Added 7.513.751.812 for PPC-SOP.BrgP (V4/V5 SBX) (HJB PHEV)
[wzr2hi, 01.12.2021] Added 7.513.752.322 for QLU.BrgP (V4/V5 SBX)
[wzr2hi, 08.07.2022] Added 7.513.752.476 for SOP.BrgP (V4/V5 SBX)</t>
  </si>
  <si>
    <t>7.513.751.664,
7.513.751.606,
7.513.751.812,
7.513.752.322,
7.513.752.476</t>
  </si>
  <si>
    <t>[wzr2hi, 28.03.2022] Added 7.513.752.423 for MP.BrgP (SBX V4/V5)
[wzr2hi, 08.07.2022] Added 7.513.752.486 for SOP.BrgP (V4/V5 SBX)</t>
  </si>
  <si>
    <t>7.513.752.423,
7.513.752.486</t>
  </si>
  <si>
    <t>[wzr2hi, 28.03.2022] Added 7.513.752.422 for MP.BrgP (SBX V4/V5)
[wzr2hi, 08.07.2022] Added 7.513.752.488 for SOP.BrgP (V4/V5 SBX)</t>
  </si>
  <si>
    <t>7.513.752.422,
7.513.752.488</t>
  </si>
  <si>
    <t>[wzr2hi, 13.08.2021] Added 7.513.752.195 for MZK.PP1.BrgP (V4/V5 SBX)
[wzr2hi, 28.03.2022] Added 7.513.752.364 for MP.BrgP (SBX V4/V5)
[wzr2hi, 08.07.2022] Added 7.513.752.494 for SOP.BrgP (V4/V5 SBX)</t>
  </si>
  <si>
    <t>7.513.752.195,
7.513.752.364,
7.513.752.494</t>
  </si>
  <si>
    <t>[wzr2hi, 13.08.2021] Added 7.513.752.196 for MZK.PP1.BrgP (V4/V5 SBX)
[wzr2hi, 28.03.2022] Added 7.513.752.365 for MP.BrgP (SBX V4/V5)
[wzr2hi, 08.07.2022] Added 7.513.752.495 for SOP.BrgP (V4/V5 SBX)</t>
  </si>
  <si>
    <t>7.513.752.196,
7.513.752.365,
7.513.752.495</t>
  </si>
  <si>
    <t>[wzr2hi, 06.09.2018] Added 7.513.751.163-01 for TSB2.BrgP (V4/V5 SBX)
[wzr2hi, 14.02.2019] Added 7.513.751.163 for PreProdBis.BrgP (V4/V5 SBX)
[wzr2hi, 05.04.2019] Added 7.513.751.537 for PreProd2.BrgP (V4/V5 SBX)
[wzr2hi, 16.01.2020] Added 7.513.751.667 for PPC-SOP.BrgP (V4/V5 SBX) (HJB PHEV)
[wzr2hi, 01.03.2021] Added 7.513.752.150 for QLU0.4.BrgP (V4/V5 SBX)
[wzr2hi, 01.12.2021] Added 7.513.752.324 for QLU.BrgP (V4/V5 SBX)
[wzr2hi, 08.07.2022] Added 7.513.752.473 for SOP.BrgP (V4/V5 SBX)</t>
  </si>
  <si>
    <t>7.513.751.163-01,
7.513.751.163,
7.513.751.537,
7.513.751.667,
7.513.752.150,
7.513.752.324,
7.513.752.473</t>
  </si>
  <si>
    <t>[wzr2hi, 28.03.2022] Added 7.513.752.421 for MP.BrgP (SBX V4/V5)
[wzr2hi, 08.07.2022] Added 7.513.752.487 for SOP.BrgP (V4/V5 SBX)</t>
  </si>
  <si>
    <t>7.513.752.421,
7.513.752.487</t>
  </si>
  <si>
    <t>[wzr2hi, 28.03.2022] Added 7.513.752.420 for MP.BrgP (SBX V4/V5)
[wzr2hi, 08.07.2022] Added 7.513.752.492 for SOP.BrgP (V4/V5 SBX)</t>
  </si>
  <si>
    <t>7.513.752.420,
7.513.752.492</t>
  </si>
  <si>
    <t>[wzr2hi, 04.02.2021] Added 7.513.751.950 for PreProd4.BrgP (V1/V2)
[wzr2hi, 08.07.2022] Added 7.513.752.500 for SOP.BrgP (V2)</t>
  </si>
  <si>
    <t>7.513.751.950,
7.513.752.500</t>
  </si>
  <si>
    <t>[wzr2hi, 04.02.2021] Added 7.513.751.951 for PreProd4.BrgP (V1/V2)
[wzr2hi, 08.07.2022] Added 7.513.752.501 for SOP.BrgP (V2)</t>
  </si>
  <si>
    <t>7.513.751.951,
7.513.752.501</t>
  </si>
  <si>
    <t>[wzr2hi, 04.02.2021] Added 7.513.752.147 for PreProd4.BrgP (V1/V2)
[wzr2hi, 08.07.2022] Added 7.513.752.632 for SOP.BrgP (V2)</t>
  </si>
  <si>
    <t>7.513.752.147,
7.513.752.632</t>
  </si>
  <si>
    <t>[wzr2hi, 28.03.2022] Added 7.513.752.361 for MP.BrgP (SBX V4/V5)
[wzr2hi, 28.03.2022] Added 7.515.752.424 for MP.BrgP (SBX V4/V5)
[wzr2hi, 08.07.2022] Added 7.513.752.490 for SOP.BrgP (V4/V5 SBX)
[wzr2hi, 11.07.2022] Added 7.515.752.654 for SOP.PgP1 (V4/V5 SBX)</t>
  </si>
  <si>
    <t>7.513.752.361,
7.515.752.424,
7.513.752.490,
7.515.752.654</t>
  </si>
  <si>
    <t>7.505.751.700</t>
  </si>
  <si>
    <t>[wzr2hi, 14.06.2021] Added 7.505.751.700 for PreProd3.PgP1 (TBD)</t>
  </si>
  <si>
    <t>Nissan Scope 3.1 Gen4 DA-Mid LAC(NO) (SBR DAB)</t>
  </si>
  <si>
    <t>[wzr2hi, 26.04.2019] Added 7.505.751.081 for SOP.PgP1
[wzr2hi, 23.08.2019] Added 7.505.751.082 for QLU1.PgP1
[wzr2hi, 15.01.2021] Added 7.505.751.565 for MY22.SOP.PgP1
[wzr2hi, 12.03.2021] Added 7.505.751.594 for FIX-CAPS-PCB.PgP1
[wzr2hi, 12.03.2021] Added 7.505.751.712 for FIX-CAPS-PCB.PgP1
[wzr2hi, 15.03.2021] Added 7.505.751.657 for QLU2.PgP1
[wzr2hi, 14.07.2022] Added 7.505.751.885 for QLU.PgP1 (TBD)</t>
  </si>
  <si>
    <t>7.505.751.081,
7.505.751.082,
7.505.751.565,
7.505.751.594,
7.505.751.712,
7.505.751.657,
7.505.751.885</t>
  </si>
  <si>
    <t>[wzr2hi, 01.12.2017] Added 7.515.750.931-05 for TSB1.PgP1 (C-Sample)
[wzr2hi, 05.04.2018] Added 7.515.750.931-06 for TSB2.PgP1 (C2-Sample)
[wzr2hi, 05.04.2018] Added 7.515.750.931-07 for TSB3.PgP1 (C3-Sample)
[wzr2hi, 22.10.2018] Added 7.515.750.931 for PreProd1.PgP1
[wzr2hi, 23.08.2019] Added 7.515.751.559 for QLU1.PgP1
[wzr2hi, 23.08.2019] Added 7.515.751.924 for QLU2.PgP1
[wzr2hi, 16.10.2020] Added 7.515.752.033 for MY22.SOP.PgP1
[wzr2hi, 15.01.2021] Added 7.515.752.140 for MY22.SOP.PgP1
[wzr2hi, 12.03.2021] Added 7.515.752.060 for FIX-CAPS-PCB.PgP1
[wzr2hi, 12.03.2021] Added 7.515.752.243 for FIX-CAPS-PCB.PgP1
[wzr2hi, 14.07.2022] Added 7.515.752.462 for QLU.PgP1 (TBD)</t>
  </si>
  <si>
    <t>7.515.750.931-05,
7.515.750.931-06,
7.515.750.931-07,
7.515.750.931,
7.515.751.559,
7.515.751.924,
7.515.752.033,
7.515.752.140,
7.515.752.060,
7.515.752.243,
7.515.752.462</t>
  </si>
  <si>
    <t>AIVIA-8792</t>
  </si>
  <si>
    <t>AIVIA-8789, AIVIA-8796</t>
  </si>
  <si>
    <t>AIVIA-8798</t>
  </si>
  <si>
    <t>AIVIA-8799</t>
  </si>
  <si>
    <t>AIVIA-8800</t>
  </si>
  <si>
    <t>AIVIA-8806</t>
  </si>
  <si>
    <t>AIVIA-8745, AIVIA-8771, AIVIA-8808, AIVIA-8809</t>
  </si>
  <si>
    <t>030711 (M3N_V1.1_CS)</t>
  </si>
  <si>
    <t>[wzr2hi, 01.12.2017] Added 7.505.750.956-05 for TSB1.PgP1 (C-Sample)
[wzr2hi, 05.04.2018] Added 7.505.750.956-06 for TSB2.PgP1 (C2-Sample)
[wzr2hi, 05.04.2018] Added 7.505.750.956-07 for TSB3.PgP1 (C3-Sample)
[wzr2hi, 22.10.2018] Added 7.505.750.956 for PreProd1.PgP1
[wzr2hi, 23.08.2019] Added 7.505.751.332 for QLU1.PgP1
[wzr2hi, 16.12.2019] Added 7.505.751.087 for SOP.PgP1 (N61G)
[wzr2hi, 05.03.2020] Added 7.505.751.456 for SOP3rd.PgP1
[wzr2hi, 15.01.2021] Added 7.505.751.563 for MY22.SOP.PgP1
[wzr2hi, 25.01.2021] Added 7.505.751.651 for MP-UPD.PgP1
[wzr2hi, 12.03.2021] Added 7.505.751.587 for FIX-CAPS-PCB.PgP1
[wzr2hi, 12.03.2021] Added 7.505.751.588 for FIX-CAPS-PCB.PgP1
[wzr2hi, 05.11.2021] Added 7.505.751.724 for US-CAN-MY23.PT1.PgP1 (P71A)
[wzr2hi, 01.03.2022] Added 7.505.751.729 for QLU4.PgP1 (TBD)
[wzr2hi, 02.09.2022] Added 7.505.751.890 for QLU4.1.PgP1 (TBD)
[wzr2hi, 02.09.2022] Added 7.505.751.889 for QLU4.1.PgP1 (TBD)
[wzr2hi, 21.09.2022] Added 7.505.751.956 for QLU5.PgP1 (TBD)
[wzr2hi, 21.09.2022] Added 7.505.751.893 for QLU5.PgP1 (TBD)</t>
  </si>
  <si>
    <t>7.505.750.956-05,
7.505.750.956-06,
7.505.750.956-07,
7.505.750.956,
7.505.751.332,
7.505.751.087,
7.505.751.456,
7.505.751.563,
7.505.751.651,
7.505.751.587,
7.505.751.588,
7.505.751.724,
7.505.751.729,
7.505.751.890,
7.505.751.889,
7.505.751.956,
7.505.751.893</t>
  </si>
  <si>
    <t>7.505.750.895-02,
7.500.750.806-01,
7.505.750.806-01,
7.505.750.817-01,
7.505.750.807-03,
7.505.750.816-01,
7.505.750.807,
7.505.750.895,
7.505.750.819,
7.505.750.820,
7.500.750.834-01,
7.505.750.801-01,
7.505.750.837,
7.505.750.838,
7.500.750.826-01,
7.500.750.827-01,
7.505.750.806-02,
7.505.750.907,
7.505.750.908,
7.500.750.847-01,
7.500.750.860-01,
7.505.750.872-01,
7.505.750.873-01,
7.505.750.801-02,
7.505.750.842,
7.505.750.846,
7.505.750.843,
7.505.750.847,
7.505.750.844,
7.505.750.848,
7.505.750.898-01,
7.505.750.899-01,
7.505.750.806-03,
7.505.750.801-03,
7.505.750.872-02,
7.505.750.873-02,
7.505.750.898-02,
7.505.750.899-02,
7.505.750.801,
7.505.750.806,
7.505.750.845,
7.505.750.849,
7.505.750.998-91,
7.505.751.009-91,
7.505.750.998,
7.505.751.009,
7.505.751.160,
7.505.750.878,
7.505.751.004,
7.505.750.999,
7.505.750.898,
7.505.750.899,
7.505.751.000,
7.505.751.005,
7.505.751.057,
7.505.751.062,
7.505.751.035,
7.505.751.040,
7.505.751.067,
7.505.751.068,
7.505.750.879,
7.505.751.161,
7.505.751.058,
7.505.751.063,
7.505.751.344,
7.505.751.345,
7.505.751.036,
7.505.751.041,
7.505.751.001,
7.505.751.006,
7.505.751.037,
7.505.751.042,
7.505.751.059,
7.505.751.064,
7.505.751.162,
7.505.750.880,
7.505.751.383,
7.505.751.394,
7.505.751.002,
7.505.751.007,
7.505.751.060,
7.505.751.065,
7.505.751.163,
7.505.750.881,
7.505.751.038,
7.505.751.043,
7.505.751.039,
7.505.751.044,
7.505.751.480,
7.505.751.481,
7.505.751.494,
7.505.751.526,
7.505.751.527,
7.505.751.736,
7.505.751.737,
7.505.751.709,
7.505.751.730,
7.505.751.942,
7.505.751.943</t>
  </si>
  <si>
    <t>7.515.750.850-02,
7.515.750.850-03,
7.515.750.850,
7.515.750.802-01,
7.515.750.811,
7.515.750.838,
7.515.750.848,
7.515.750.849,
7.515.750.860,
7.515.750.861,
7.515.751.117,
7.515.751.565,
7.515.751.704,
7.515.752.283,
7.515.752.724</t>
  </si>
  <si>
    <t>7.515.750.889,
7.515.750.812,
7.515.750.822-01,
7.510.750.984-01,
7.510.750.908-01,
7.515.750.840,
7.510.750.975-01,
7.510.750.975-04,
7.515.750.862,
7.515.750.865,
7.515.750.866,
7.515.750.867,
7.515.751.118,
7.515.751.566,
7.515.751.705,
7.515.752.284,
7.515.752.725</t>
  </si>
  <si>
    <t>[wzr2hi, 17.06.2019] Added 7.510.751.506-01 for DSB3.0.HI (P42R)
[wzr2hi, 14.06.2019] Added 7.510.751.506-02 for DSB3.2.HI (P42R)
[wzr2hi, 28.10.2019] Added 7.515.751.750-01 for TSB3.1.PgP1 (P42R)
[wzr2hi, 07.09.2020] Added 7.515.751.750 for PreProd3.1.PgP1 (P42R)
[wzr2hi, 13.10.2019] Added 7.515.751.975 for PreProd3.2.PgP1 (P42R)
[wzr2hi, 04.02.2021] Added 7.515.752.134 for PreProd3.8.PgP1 (P42R)
[wzr2hi, 04.05.2021] Added 7.515.752.170 for SOP2.PgP1 (P42R)
[wzr2hi, 07.07.2021] Added 7.515.752.317 for SOP2.1.PgP1 (P42R)
[wzr2hi, 01.10.2021] Added 7.515.752.387 for SOP3.2.PgP1 (P42R)
[wzr2hi, 17.01.2022] Added 7.515.752.393 for SOP6.PgP1 (P42R)
[wzr2hi, 09.02.2022] Added 7.515.752.514 for SOP8.PgP1 (P42R)
[wzr2hi, 22.03.2022] Added 7.515.752.560 for SOP8.PgP1 (P42R)
[wzr2hi, 27.09.2022] Added 7.515.752.696 for SOP13.PgP1 (P42R)</t>
  </si>
  <si>
    <t>7.510.751.506-01,
7.510.751.506-02,
7.515.751.750-01,
7.515.751.750,
7.515.751.975,
7.515.752.134,
7.515.752.170,
7.515.752.317,
7.515.752.387,
7.515.752.393,
7.515.752.514,
7.515.752.560,
7.515.752.696</t>
  </si>
  <si>
    <t>7.505.751.947-01</t>
  </si>
  <si>
    <t>Mitsubishi_TCS_HMI_Scope_3.1</t>
  </si>
  <si>
    <t>Nissan_TCS_HMI_Scope_3.1</t>
  </si>
  <si>
    <t>RFS_GEN4_30
mmcivi2_da
(A-IVI2_Mitsubishi_DA*)</t>
  </si>
  <si>
    <t>RFS_GEN4_31
mmcivi2_nav
(A-IVI2_Mitsubishi_Nav*)</t>
  </si>
  <si>
    <t>RFS_GEN4_31H
mmcivi2_nav_high
(A-IVI2_Mitsubishi_Nav_H3)</t>
  </si>
  <si>
    <t>RFS_GEN4_31J
mmcivi2_nav_jpn
(A-IVI2_Mitsubishi_Nav_Jpn)</t>
  </si>
  <si>
    <t>RFS_GEN4_30</t>
  </si>
  <si>
    <t>RFS_GEN4_31</t>
  </si>
  <si>
    <t>RFS_GEN4_31J</t>
  </si>
  <si>
    <t>mmcivi2_nav (rfs_nav)</t>
  </si>
  <si>
    <t>mmcivi2_nav_jpn (rfs_nav)</t>
  </si>
  <si>
    <t>mmcivi2_da (rfs_da)</t>
  </si>
  <si>
    <t>Mitsubishi Scope 3.1 Gen4 NAV-Mid NAM(US/CAN) (SBR AM/FM)</t>
  </si>
  <si>
    <t>Mitsubishi Scope 3.1 Gen4 NAV-Mid PRC(APAC) (SBR DAB)</t>
  </si>
  <si>
    <t>Mitsubishi Scope 3.1 Gen4 NAV-Mid JPN(JPN) (SBR DARC)</t>
  </si>
  <si>
    <t>Mitsubishi Scope 3.1 Gen4 DA-Mid US/CAN(NO) (SBR AM/FM)</t>
  </si>
  <si>
    <t>Mitsubishi Scope 3.1 Gen4 DA-Mid GCC/AFR/SAF/ISR(NO) (SBR DAB)</t>
  </si>
  <si>
    <t>Mitsubishi Scope 3.1 Gen4 NAV-Mid NAM(MEX) (SBR DAB)</t>
  </si>
  <si>
    <r>
      <t>Mitsubishi Scope 3.1 Gen4 NAV-Mid EUR/</t>
    </r>
    <r>
      <rPr>
        <sz val="10"/>
        <color rgb="FFFF0000"/>
        <rFont val="Arial"/>
        <family val="2"/>
      </rPr>
      <t>UKR?</t>
    </r>
    <r>
      <rPr>
        <sz val="10"/>
        <color theme="1"/>
        <rFont val="Arial"/>
        <family val="2"/>
      </rPr>
      <t>(EUR) (SBR DAB)</t>
    </r>
  </si>
  <si>
    <t>Mitsubishi Scope 3.1 Gen4 NAV-Mid AFR(AFR/SAF) (SBR DAB)</t>
  </si>
  <si>
    <t>Mitsubishi Scope 3.1 Gen4 NAV-Mid GOM(MAR) (SBR DAB)</t>
  </si>
  <si>
    <t>Mitsubishi Scope 3.1 Gen4 NAV-Mid CAS(ISR) (SBR DAB)</t>
  </si>
  <si>
    <t>Mitsubishi Scope 3.1 Gen4 NAV-Mid AFR(MEA) (SBR DAB)</t>
  </si>
  <si>
    <t>Mitsubishi Scope 3.1 Gen4 NAV-Mid LAC(SAM-CHL) (SBR DAB)</t>
  </si>
  <si>
    <t>Mitsubishi Scope 3.1 Gen4 NAV-Mid LAC(SAM-ARG) (SBR DAB)</t>
  </si>
  <si>
    <t>AIVIA-8812, AIVIA-8813</t>
  </si>
  <si>
    <t>AIVIA-8814 (LSR)</t>
  </si>
  <si>
    <t>AIVIA-7848, AIVIA-8730, AIVIA-8815 (LSR)</t>
  </si>
  <si>
    <t>AIVIA-8816 (LSR)</t>
  </si>
  <si>
    <t>AIVIA-8817 (LSR)</t>
  </si>
  <si>
    <t>7.510.751.007-01,
7.515.750.985-01,
7.515.751.960,
7.515.751.961,
7.515.751.981,
7.515.751.982,
7.515.752.275,
7.515.752.276,
7.515.752.305,
7.515.752.306,
7.515.752.391,
7.515.752.392,
7.515.752.519,
7.515.752.522,
7.515.752.711,
7.515.752.712</t>
  </si>
  <si>
    <t>[wzr2hi, 13.11.2017] Added 7.510.751.007-01 for DSB11.Hi
[wzr2hi, 21.03.2018] Added 7.515.750.985-01 for TSB13.4.PgP1
[wzr2hi, 12.06.2020] Added 7.515.751.960 for MY21-NoHD.PgP1 (L42N)
[wzr2hi, 12.06.2020] Added 7.515.751.961 for MY21-NoHD.PgP1 (L42N) 
[wzr2hi, 07.09.2020] Added 7.515.751.981 for MY21-SOP.PgP1 (L42N)
[wzr2hi, 07.09.2020] Added 7.515.751.982 for MY21-SOP.PgP1 (L42N)
[wzr2hi, 15.04.2021] Added 7.515.752.275 for MY22.SOP.PgP1 (L42N)
[wzr2hi, 15.04.2021] Added 7.515.752.276 for MY22.SOP.PgP1 (L42N)
[wzr2hi, 27.04.2021] Added 7.515.752.305 for MY22.SOP.PgP1 (L42N)
[wzr2hi, 27.04.2021] Added 7.515.752.306 for MY22.SOP.PgP1 (L42N)
[wzr2hi, 05.11.2021] Added 7.515.752.391 for MY23.SOP.PgP1 (L42N)
[wzr2hi, 05.11.2021] Added 7.515.752.392 for MY23.SOP.PgP1 (L42N)
[wzr2hi, 14.02.2022] Added 7.515.752.519 for QLU.PgP1 (L42N)
[wzr2hi, 14.02.2022] Added 7.515.752.522 for QLU.PgP1 (L42N)
[wzr2hi, 12.10.2022] Added 7.515.752.711 for MY23.SOP.PgP1 (L42N)
[wzr2hi, 12.10.2022] Added 7.515.752.712 for MY23.SOP.PgP1 (L42N)</t>
  </si>
  <si>
    <t>Nissan Scope 2.1 DA-Mid NAM(US/CAN) (AM/FM) (CPLD)</t>
  </si>
  <si>
    <t>[mkr2hi, 11.07.2018] Added 7.505.750.835 for Nissan Sc2 PreProd15.1.PgP1
[wzr2hi, 29.11.2018] Added 7.505.751.250 for Nissan Sc2 SOP-UPD.PgP1 (PB1D)
[wzr2hi, 31.01.2019] Added 7.505.751.293 for Nissan Sc2 SOP-UPD.PgP1 (FMVSS) (PB1D)
[wzr2hi, 04.02.2020] Added 7.505.751.482 for Nissan Sc2 QLU2-UPD.PgP1 (PB1D)</t>
  </si>
  <si>
    <t>[wzr2hi, 31.08.2018] Added 7.515.751.177-01 for TSB15.2.2.PgP1 (L21B)
[wzr2hi, 20.11.2018] Added 7.515.750.983 for PreProd19.2.PgP1 (L21B)
[wzr2hi, 05.04.2019] Added 7.515.751.443 for PreProd20.1b.PgP1 (L21B)
[wzr2hi, 12.09.2019] Added 7.515.751.630 for PreProd21.PgP1 (L21B)
[wzr2hi, 28.11.2019] Added 7.515.751.623 for SOP.PgP1 (L21B)
[wzr2hi, 15.07.2020] Added 7.515.751.918 for MY21-SOP.PgP1 (L21B)
[wzr2hi, 10.03.2021] Added 7.515.752.224 for MY22-SOP.PgP1 (L21B)
[wzr2hi, 29.07.2021] Added 7.515.752.364 for MY21.SOP.PgP1 (L21B)</t>
  </si>
  <si>
    <t>[wzr2hi, 28.04.2017] Added 7.515.750.811
[wzr2hi, 18.08.2017] Added 7.515.750.838 for MP.PgP1
[wzr2hi, 26.01.2018] Added 7.515.750.848 for MP.Pgp1 (QLU1 UPD)
[wzr2hi, 29.01.2018] Added 7.515.750.849 for MP.PgP1 (QLU2)
[wzr2hi, 05.02.2018] Added 7.515.750.860 for MP.PgP1 (QLU1.1)
[wzr2hi, 31.07.2018] Added 7.515.750.861 for MP.PgP1 (QLU3)
[wzr2hi, 09.01.2019] Added 7.515.751.117 for MP.PgP1 (FMVSS) (P32R)
[wzr2hi, 25.04.2019] Added 7.515.751.565 for SOP.PgP1 (QLU4) (P32R)
[wzr2hi, 30.08.2019] Added 7.515.751.704 for QLU4.2.PgP1 (P32R)
[wzr2hi, 14.06.2021] Added 7.515.752.283 for MY22.SOP.PgP1 (P32R)
[wzr2hi, 27.09.2022] Added 7.515.752.724 for MY23.QLU.PgP1 (P32S)</t>
  </si>
  <si>
    <r>
      <t xml:space="preserve">[wzr2hi, 28.04.2017] Added 7.515.750.812
[wzr2hi, 04.05.2017] Added 7.515.750.822-01 for TSB4.PgP1
</t>
    </r>
    <r>
      <rPr>
        <sz val="10"/>
        <color rgb="FFFF0000"/>
        <rFont val="Arial"/>
        <family val="2"/>
      </rPr>
      <t xml:space="preserve">[wzr2hi, 04.05.2017] Added 7.510.750.984-01 for DSB6.Hi ("Fake-Device" base on 7.510.750.848-01 !!! </t>
    </r>
    <r>
      <rPr>
        <b/>
        <sz val="10"/>
        <color rgb="FFFF0000"/>
        <rFont val="Arial"/>
        <family val="2"/>
      </rPr>
      <t xml:space="preserve">Not sure why it is AM/FM@FCID, noHD@PD but HD@VM!!! </t>
    </r>
    <r>
      <rPr>
        <sz val="10"/>
        <color rgb="FFFF0000"/>
        <rFont val="Arial"/>
        <family val="2"/>
      </rPr>
      <t>).</t>
    </r>
    <r>
      <rPr>
        <sz val="10"/>
        <color theme="1"/>
        <rFont val="Arial"/>
        <family val="2"/>
      </rPr>
      <t xml:space="preserve">
[wzr2hi, 24.07.2017] Added 7.515.750.908-01 for DSB10.Hi
[wzr2hi, 18.08.2017] Added 7.515.750.840 for MP.PgP1
[wzr2hi, 14.08.2017] Added 7.510.750.975-01 for DSB9.Hi
[wzr2hi, 14.11.2017] Added 7.510.750.975-04 for DSB9.Hi
[wzr2hi, 26.01.2018] Added 7.515.750.862 for MP.PgP1 (QLU1 UPD)
[wzr2hi, 29.01.2018] Added 7.515.750.865 for MP.PgP1 (QLU2)
[wzr2hi, 05.02.2018] Added 7.515.750.866 for MP.PgP1 (QLU1.1)
[wzr2hi, 31.07.2018] Added 7.515.750.867 for MP.PgP1 (QLU3)
[wzr2hi, 09.01.2019] Added 7.515.751.118 for MP.PgP1 (FMVSS) (P32R)
[wzr2hi, 25.04.2019] Added 7.515.751.566 for SOP.PgP1 (QLU4) (P32R)
[wzr2hi, 30.08.2019] Added 7.515.751.705 for QLU4.2.PgP1 (P32R)
[wzr2hi, 14.06.2021] Added 7.515.752.284 for MY22.SOP.PgP1 (P32R)
[wzr2hi, 27.09.2022] Added 7.515.752.725 for MY23.QLU.PgP1 (P32S)</t>
    </r>
  </si>
  <si>
    <r>
      <t xml:space="preserve">[wzr2hi, 31.01.2017] New FCID due to new Board-ID.
[wzr2hi, 21.02.2017] There is no decision yet, but most likely those devices get VR.
[wzr2hi, 15.03.2017] Added 7.505.750.807
[wzr2hi, 15.03.2017] Added 7.505.750.895
[wzr2hi, 28.04.2017] Added 7.505.750.819
[wzr2hi, 28.04.2017] Added 7.505.750.820
[wzr2hi, 08.05.2017] Added 7.500.750.834-01 for DSB6.Hi ("Fake-Device" based on 7.500.750.806-01 !!!)
[wzr2hi, 08.05.2017] Added 7.505.750.801-01 for TSB4.PgP1
[wzr2hi, 18.08.2017] Added 7.505.750.837 for MP.PgP1
[wzr2hi, 18.08.2017] Added 7.505.750.838 for MP.PgP1
[wzr2hi, 14.08.2017] Added 7.500.750.826-01 for DSB9.Hi
[wzr2hi, 14.08.2017] Added 7.500.750.827-01 for DSB9.Hi
[wzr2hi, 13.11.2017] Added 7.505.750.806-02 for TSB11.PgP1
[wzr2hi, 13.11.2017] Added 7.505.750.907 for PreProd10.PgP1 (H61L)
[wzr2hi, 13.11.2017] Added 7.505.750.908 for PreProd10.PgP1 (H61L)
</t>
    </r>
    <r>
      <rPr>
        <sz val="10"/>
        <rFont val="Arial"/>
        <family val="2"/>
      </rPr>
      <t>[wzr2hi, 23.11.2017] Added 7.500.750.847-01 for DSB11.1.Hi</t>
    </r>
    <r>
      <rPr>
        <sz val="10"/>
        <color theme="1"/>
        <rFont val="Arial"/>
        <family val="2"/>
      </rPr>
      <t xml:space="preserve">
[wzr2hi, 22.11.2017] Added 7.500.750.860-01 for DSB11.1.Hi
[wzr2hi, 08.01.2018] Added 7.505.750.872-01 for TSB12.PgP1
[wzr2hi, 08.01.2018] Added 7.505.750.873-01 for TSB12.PgP1
[wzr2hi, 08.01.2018] Added 7.505.750.801-02 for TSB12.PgP1
[wzr2hi, 26.01.2018] Added 7.505.750.842 for MP.PgP1 (QLU1 UPD)
[wzr2hi, 26.01.2018] Added 7.505.750.846 for MP.PgP1 (QLU1 UPD)
[wzr2hi, 29.01.2018] Added 7.505.750.843 for MP.PgP1 (QLU2)
[wzr2hi, 29.01.2018] Added 7.505.750.847 for MP.PgP1 (QLU2)
[wzr2hi, 05.02.2018] Added 7.505.750.844 for MP.PgP1 (QLU1.1)
[wzr2hi, 05.02.2018] Added 7.505.750.848 for MP.PgP1 (QLU1.1)
[wzr2hi, 20.03.2018] Added 7.505.750.898-01 for TSB13.2.PgP1
[wzr2hi, 20.03.2018] Added 7.505.750.899-01 for TSB13.2.PgP1
[wzr2hi, 22.03.2018] Added 7.505.750.806-03 for TSB13.6.PgP1
[wzr2hi, 22.03.2018] Added 7.505.750.801-03 for TSB13.6.PgP1
[wzr2hi, 25.04.2018] Added 7.505.750.872-02 for TSB12.2.PgP1
[wzr2hi, 25.04.2018] Added 7.505.750.873-02 for TSB12.2.PgP1
[wzr2hi, 03.05.2018] Added 7.505.750.898-02 for TSB14.PgP1
[wzr2hi, 03.05.2018] Added 7.505.750.899-02 for TSB14.PgP1
[wzr2hi, 08.05.2018] Added 7.505.750.801 for PreProd13.PgP1 (H61L)
[wzr2hi, 08.05.2018] Added 7.505.750.806 for PreProd13.PgP1
[wzr2hi, 31.07.2018] Added 7.505.750.845 for MP.PgP1 (QLU3)
[wzr2hi, 31.07.2018] Added 7.505.750.849 for MP.PgP1 (QLU3)
[wzr2hi, 03.08.2018] Added 7.505.750.998-91 for TSB14.1.PgP1 (B12P QVC) ST2.0 fake based on ST2.1 7.505.750.998-01
[wzr2hi, 03.08.2018] Added 7.505.751.009-91 for TSB14.1.PgP1 (B12P QVC) ST2.0 fake based on ST2.1 7.505.751.009-01
[wzr2hi, 03.08.2018] Added 7.505.750.998 for PreProd16.PgP1 (B12P)
[wzr2hi, 03.08.2018] Added 7.505.751.009 for PreProd16.PgP1 (B12P)
[wzr2hi, 22.08.2018] Added 7.505.751.160 for SOP.PgP1 (H61L)
[wzr2hi, 22.08.2018] Added 7.505.750.878 for SOP.PgP1 (H61L)
[wzr2hi, 22.08.2018] Added 7.505.751.004 for SOP.PgP1 (L42P)
[wzr2hi, 22.08.2018] Added 7.505.750.999 for SOP.PgP1 (L42P)
[wzr2hi, 31.08.2018] Added 7.505.750.898 for PreProd16.PgP1 (L42N)
[wzr2hi, 31.08.2018] Added 7.505.750.899 for PreProd16.PgP1 (L42N)
[wzr2hi, 17.09.2018] Added 7.505.751.000 for QLU1.PgP1 (L42P)
[wzr2hi, 17.09.2018] Added 7.505.751.005 for QLU1.PgP1 (L42P)
[wzr2hi, 22.11.2018] Added 7.505.751.057 for SOP.PgP1 (L42N)
[wzr2hi, 22.11.2018] Added 7.505.751.062 for SOP.PgP1 (L42N)
[wzr2hi, 05.12.2018] Added 7.505.751.035 for PreProd16.1.PgP1 (B12P)
[wzr2hi, 05.12.2018] Added 7.505.751.040 for PreProd16.1.PgP1 (B12P)
[wzr2hi, 09.01.2019] Added 7.505.751.067 for MP.PgP1 (FMVSS) (P32R)
[wzr2hi, 09.01.2019] Added 7.505.751.068 for MP.PgP1 (FMVSS) (P32R)
[wzr2hi, 20.02.2019] Added 7.505.750.879 for SOP.PgP1 (FMVSS) (H61L)
[wzr2hi, 20.02.2019] Added 7.505.751.161 for SOP.PgP1 (FMVSS) (H61L)
[wzr2hi, 21.02.2019] Added 7.505.751.058 for SOP.PgP1 (UPDHW) (L42N)
[wzr2hi, 20.02.2019] Added 7.505.751.063 for SOP.PgP1 (UPDHW) (L42N)
[wzr2hi, 25.04.2019] Added 7.505.751.344 for SOP.PgP1 (QLU4) (P32R)
[wzr2hi, 25.04.2019] Added 7.505.751.345 for SOP.PgP1 (QLU4) (P32R)
[wzr2hi, 25.04.2019] Added 7.505.751.036 for MP-UPD.PgP1 (B12P)
[wzr2hi, 25.04.2019] Added 7.505.751.041 for MP-UPD.PgP1 (B12P)
[wzr2hi, 20.05.2019] Added 7.505.751.001 for SOP.PgP1 (QLU4) (L42P)
[wzr2hi, 20.05.2019] Added 7.505.751.006 for SOP.PgP1 (QLU4) (L42P)
[wzr2hi, 20.05.2019] Added 7.505.751.037 for SOP.PgP1 (QLU4) (B12P)
[wzr2hi, 20.05.2019] Added 7.505.751.042 for SOP.PgP1 (QLU4) (B12P)
[wzr2hi, 20.05.2019] Added 7.505.751.059 for SOP.PgP1 (QLU4) (L42N)
[wzr2hi, 20.05.2019] Added 7.505.751.064 for SOP.PgP1 (QLU4) (L42N)
[wzr2hi, 20.05.2019] Added 7.505.751.162 for SOP.PgP1 (QLU4) (H61L)
[wzr2hi, 20.05.2019] Added 7.505.750.880 for SOP.PgP1 (QLU4) (H61L)
[wzr2hi, 30.08.2019] Added 7.505.751.383 for QLU4.2.PgP1 (P32R)
[wzr2hi, 30.08.2019] Added 7.505.751.394 for QLU4.2.PgP1 (P32R)
[wzr2hi, 09.09.2019] Added 7.505.751.002 for QLU4.2.PgP1 (L42P)
[wzr2hi, 09.09.2019] Added 7.505.751.007 for QLU4.2.PgP1 (L42P)
[wzr2hi, 01.10.2019] Added 7.505.751.060 for QLU4.2.PgP1 (L42N)
[wzr2hi, 01.10.2019] Added 7.505.751.065 for QLU4.2.PgP1 (L42N)
[wzr2hi, 01.10.2019] Added 7.505.751.163 for QLU4.2.PgP1 (H61L)
[wzr2hi, 01.10.2019] Added 7.505.750.881 for QLU4.2.PgP1 (H61L)
[wzr2hi, 06.01.2020] Added 7.505.751.038 for SOP.PgP1 (QLU4) (B12P)
[wzr2hi, 06.01.2020] Added 7.505.751.043 for SOP.PgP1 (QLU4) (B12P)
[wzr2hi, 18.01.2020] Added 7.505.751.039 for MP.PgP1 (B12P)
[wzr2hi, 18.01.2020] Added 7.505.751.044 for MP.PgP1 (B12P)
[wzr2hi, 03.02.2020] Added 7.505.751.480 for MP-UPD.PgP1 (B12P)
[wzr2hi, 03.02.2020] Added 7.505.751.481 for MP-UPD.PgP1 (B12P)
[wzr2hi, 04.05.2020] Added 7.505.751.494 for PreProd28.PgP1 (L42P)
[wzr2hi, 05.08.2020] Added 7.505.751.526 for SOP.PgP1 (IQS5) (L42P)
[wzr2hi, 05.08.2020] Added 7.505.751.527 for SOP.PgP1 (IQS5) (L42P)
[wzr2hi, 14.06.2021] Added 7.505.751.736 for MY22.SOP.PgP1 (P32R)
[wzr2hi, 14.06.2021] Added 7.505.751.737 for MY22.SOP.PgP1 (P32R)
[wzr2hi, 14.06.2021] Added 7.505.751.709 for MY22.SOP.PgP1 (L42P)
[wzr2hi, 14.06.2021] Added 7.505.751.730 for MY22.SOP.PgP1 (L42P)
[wzr2hi, 27.09.2022] Added 7.505.751.942 for MY23.QLU.PgP1 (P32S)
[wzr2hi, 27.09.2022] Added 7.505.751.943 for MY23.QLU.PgP1 (P32S)</t>
    </r>
  </si>
  <si>
    <t xml:space="preserve">[wzr2hi, 31.01.2017] New FCID due to new Board-ID.
[wzr2hi, 26.04.2017] Added 7.500.750.832-01
[wzr2hi, xx.xx.2017] Added 7.505.750.803-01 for TSB4.PgP1
[wzr2hi, 08.05.2017] Added 7.505.750.818-01 for TSB4.PgP1
[wzr2hi, 23.05.2017] Added 7.505.750.818-02 for TSB4.PgP1
[wzr2hi, 23.05.2017] Added 7.505.750.803-02 for TSB4.PgP1
[wzr2hi, 14.08.2017] Added 7.500.750.828-01 for DSB9.Hi
[wzr2hi, 14.08.2017] Added 7.500.750.839-01 for DSB9.Hi
[wzr2hi, 21.08.2017] Added 7.505.750.803-03 for TSB6.PgP1
[wzr2hi, 21.08.2017] Added 7.505.750.818-03 for TSB6.PgP1
[wzr2hi, 13.11.2017] Added 7.505.750.803 for PreProd9.1.PgP1
[wzr2hi, 13.11.2017] Added 7.505.750.818 for PreProd9.1.PgP1
[wzr2hi, 13.11.2017] Added 7.505.750.869 for PreProd10.1.PgP1 =&gt; [wzr2hi, 13.03.2018] Moved to PreProd12.1.PgP1
[wzr2hi, 13.11.2017] Added 7.505.750.870 for PreProd10.1.PgP1 =&gt; [wzr2hi, 13.03.2018] Moved to PreProd12.1.PgP1
[wzr2hi, 17.11.2017] Added 7.505.750.803-05 for TSB7.PgP1
[wzr2hi, 17.11.2017] Added 7.505.750.818-05 for TSB7.PgP1
[wzr2hi, 08.01.2018] Added 7.505.750.869-01 for TSB12.PgP1
[wzr2hi, 08.01.2018] Added 7.505.750.870-01 for TSB12.PgP1
[wzr2hi, 09.04.2018] Added 7.505.750.850 for PreProd17.PgP1 / SOP.PgP1 (L02D)
[wzr2hi, 09.04.2018] Added 7.505.750.864 for PreProd17.PgP1 / SOP.PgP1 (L02D)
[wzr2hi, 13.06.2018] Added 7.505.750.803-06 for TSB15.1.PgP1
[wzr2hi, 13.06.2018] Added 7.505.750.818-06 for TSB15.1.PgP1
[mkr2hi, 09.07.2018] Added 7.505.750.883 for SOP.PgP1 (L12F)
[mkr2hi, 09.07.2018] Added 7.505.750.888 for SOP.PgP1 (L12F)
[wzr2hi, 03.08.2018] Added 7.505.750.884 for SOP.PgP1 (QLU3) (L12F)
[wzr2hi, 03.08.2018} Added 7.505.750.891 for SOP.PgP1 (QLU3) (L12F)
[wzr2hi, 20.09.2018] Added 7.505.750.860 for MP.Pgp1 (P02F LG UPT)
[wzr2hi, 20.09.2018] Added 7.505.750.865 for MP.Pgp1 (P02F LG UPT)
[wzr2hi, 01.10.2018] Added 7.505.750.803-07 for TSB16.1.PgP1 (L02D LG UPT)
[wzr2hi, 01.10.2018] Added 7.505.750.818-07 for TSB16.1.PgP1 (L02D LG UPT)
[wzr2hi, 20.11.2018] Added 7.505.751.262 for PreProd19.PgP1 (L02D) =&gt; [wzr2hi, 20.03.2019] Moved to SOP.PgP1
[wzr2hi, 20.11.2018] Added 7.505.751.265 for PreProd19.PgP1 (L02D) =&gt; [wzr2hi, 20.03.2019] Moved to SOP.PgP1
[wzr2hi, 07.02.2019] Added 7.505.750.885 for SOP.PgP1 (FMVSS) (L12F)
[wzr2hi, 07.02.2019} Added 7.505.750.892 for SOP.PgP1 (FMVSS) (L12F)
[wzr2hi, 20.02.2019] Added 7.505.750.861 for MP.Pgp1 (FMVSS) (P02F)
[wzr2hi, 20.02.2019] Added 7.505.750.866 for MP.Pgp1 (FMVSS) (P02F)
[wzr2hi, 20.05.2019] Added 7.505.751.353 for SOP.PgP1 (QLU4) (L02D)
[wzr2hi, 20.05.2019] Added 7.505.751.354 for SOP.PgP1 (QLU4) (L02D)
[wzr2hi, 20.05.2019] Added 7.505.751.355 for SOP.PgP1 (QLU4) (P02F)
[wzr2hi, 20.05.2019] Added 7.505.751.356 for SOP.PgP1 (QLU4) (P02F)
[wzr2hi, 25.06.2019] Added 7.505.750.886 for X11M.PT1.PgP1 (L12F)
[wzr2hi, 25.06.2019] Added 7.505.750.893 for X11M.PT1.PgP1 (L12F)
[wzr2hi, 05.12.2019] Added 7.505.750.887 for X11M.QLU4.1.PgP1 (L12F)
[wzr2hi, 05.12.2019] Added 7.505.750.894 for X11M.QLU4.1.PgP1 (L12F)
[wzr2hi, 30.03.2021] Added 7.505.751.667 for RC.PgP1 (L02D)
[wzr2hi, 30.03.2021] Added 7.505.751.668 for RC.PgP1 (L02D)
[wzr2hi, 14.06.2021] Added 7.505.751.734 for MY22.SOP.PgP1 (L02D/P02F)
[wzr2hi, 14.06.2021] Added 7.505.751.735 for MY22.SOP.PgP1 (L02D/P02F)
[wzr2hi, 06.08.2021] Added 7.505.751.799 for MY22.SOP.PgP1 (L02D)
[wzr2hi, 06.08.2021] Added 7.505.751.800 for MY22.SOP.PgP1 (L02D)
</t>
  </si>
  <si>
    <t>[wzr2hi, 23.05.2017] Added 7.505.750.829-01 for TSB4.PgP1
[wzr2hi, 13.11.2017] Added 7.505.750.829-02 for TSB10.PgP1
[wzr2hi, 22.11.2017] Added 7.500.750.848-01 for DSB11.1.Hi
[wzr2hi, 20.03.2018] Added 7.505.750.901-01 for TSB13.2.PgP1
[wzr2hi, 20.04.2018] Added 7.505.750.804-05 for TSB13.6.PgP1
[wzr2hi, 16.04.2018] Added 7.505.750.804-07 for TSB13.7.PgP1
[wzr2hi, 03.05.2018] Added 7.505.750.901-02 for TSB14.PgP1
[wzr2hi, 18.06.2018] Added 7.505.751.103 for PreProd15.PgP1
[mkr2hi, 11.07.2018] Added 7.505.750.804 for Nissan Sc2 PreProd15.1.PgP1 (L42P)
[wzr2hi, 22.08.2018] Added 7.505.751.166 for SOP.PgP1 (L42P)
[wzr2hi, 31.08.2018] Added 7.505.750.901 for PreProd16.PgP1 (L42N)
[wzr2hi, 17.10.2018] Added 7.505.751.176 for PreProd17.PgP1 (L42P)
[wzr2hi, 22.11.2018] Added 7.505.751.202 for SOP.PgP1 (L42N)
[wzr2hi, 21.02.2019] Added 7.505.751.291 for SOP.PgP1 (UPDHW) (L42N)
[wzr2hi, 19.03.2019] Added 7.505.751.278 for RoW SOP-UPD.PgP1 (L42P)</t>
  </si>
  <si>
    <t>[wzr2hi, 07.06.2017] Added 7.503.750.819-01 for TSB4.BrgP
[wzr2hi, 13.11.2017] Added 7.503.750.811-02 for TSB8.BrgP
[wzr2hi, 22.03.2018] Added 7.505.750.877-01 for TSB13.5.PgP1
[wzr2hi, 08.05.2018] Added 7.503.750.870 for PreProd5.BrgP
[wzr2hi, 17.05.2018] Added 7.503.750.811 for PreProd6.1.BrgP (P32S)
[wzr2hi, 16.08.2018] Added 7.503.750.865 for PreProd7.BrpP (P32S)
[wzr2hi, 05.10.2018] Added 7.505.751.034 for PreProd17.PgP1 (P32S)
[wzr2hi, 19.06.2019] Added 7.503.751.315 for QLU1.BrpP (P32S)
[wzr2hi, 03.07.2019] Added 7.505.751.357 for PreProd21.PgP1 (P32R)</t>
  </si>
  <si>
    <t>[wzr2hi, 13.06.2017] Added 7.510.750.879-03 for DSB3.Hi
[wzr2hi, 03.11.2017] Added 7.510.750.879-04 for DSB4.Hi
[wzr2hi, 13.11.2017] Added 7.513.750.870-01 for TSB1.BrgP
[wzr2hi, 12.03.2018] Added 7.513.750.870-02 for TSB2.BrgP (V2)
[wzr2hi, 19.07.2018] Added 7.513.750.870 for PreProd1.BrgP (V2)
[wzr2hi, 19.10.2018] Added 7.513.751.301 for PreProd2.BrgP (V2)
[wzr2hi, 03.12.2018] Added 7.513.751.413-01 for TSB1.BrgP (V1)
[wzr2hi, 04.12.2018] Added 7.513.751.439 for PreProd3.BrgP (V2)</t>
  </si>
  <si>
    <t>[wzr2hi, 28.08.2017] Added 7.505.750.835-01 for TSB9.PgP1 (with Camera-Button, all Fake-Source-Devices below have Camera-Button)
[wzr2hi, 28.08.2017] Added 7.505.750.836-01 for TSB9.PgP1 (without Camera-Button)
[wzr2hi, 28.08.2017] Added 7.505.750.831-99 for a Fake-Device to makes a physical 7.505.750.831-01 a virtual 7.505.750.835-01
[wzr2hi, 28.08.2017] Added 7.505.750.806-99 for a Fake-Device to makes a physical 7.505.750.806-01 a virtual 7.505.750.835-01
[wzr2hi, 28.08.2017] Added 7.515.750.822-99 for a Fake-Device to makes a physical 7.515.750.822-01 a virtual 7.505.750.835-01 (Ignored mismatch in Board-ID 0699 vs 06A1)
[mkr2hi, 10.10.2017] Added 7.515.750.825-98 for a Fake-Device to makes a physical 7.515.750.825-01 a virtual 7.505.750.835-01 (Ignored mismatch in Board-ID 0699 vs 06A1)
[mkr2hi, 10.10.2017] Added 7.515.750.824-99 for a Fake-Device to makes a physical 7.515.750.824-01 a virtual 7.505.750.835-01 (Ignored mismatch in Board-ID 0699 vs 06A1)
[mkr2hi, 10.10.2017] Added 7.515.750.830-99 for a Fake-Device to makes a physical 7.515.750.830-02 a virtual 7.505.750.835-01 (Ignored mismatch in Board-ID 0699 vs 06A1)
[wzr2hi, 13.11.2017] Added 7.505.750.896-01 for TSB10.PgP1
[wzr2hi, 23.11.2017] Added 7.500.750.849-01 for DSB11.1.Hi
[wzr2hi, 08.01.2018] Added 7.505.750.835-02 for TSB12.PgP1
[wzr2hi, 08.01.2018] Added 7.505.750.836-02 for TSB12.PgP1
[wzr2hi, 08.01.2018] Added 7.505.750.831-03 for TSB12.PgP1
[wzr2hi, 20.02.2018] Added 7.503.750.861 for PreProd4.BrgP =&gt; [wzr2hi, 08.05.2018] Now PreProd5.BrgP
[wzr2hi, 20.03.2018] Added 7.505.750.900-01 for TSB13.2.PgP1
[wzr2hi, 20.03.2018] Added 7.505.750.900-02 for TSB13.2.PgP1
[wzr2hi, 20.03.2018] Added 7.505.750.835-03 for TSB13.2.PgP1
[wzr2hi, 22.03.2018] Added 7.505.750.896-02 for TSB13.6.PgP1
[wzr2hi, 16.04.2018] Added 7.505.750.831-05 for TSB13.7.PgP1
[wzr2hi, 03.05.2018] Added 7.505.750.900-03 for TSB14.3.PgP1
[wzr2hi, 07.05.2018] Added 7.505.750.900-04 for TSB14.3.PgP1
[wzr2hi, 07.05.2018] Added 7.505.750.831-06 for TSB14.4.PgP1
[wzr2hi, 08.05.2018] Added 7.503.750.862 for PreProd5.BrgP
[wzr2hi, 08.05.2018] Added 7.503.750.872 for PreProd5.BrgP
[wzr2hi, 17.05.2018] Added 7.503.750.867 for PreProd6.1.BrgP (P32S)
[mkr2hi, 11.07.2018] Added 7.505.750.831 for Nissan Sc2 PreProd15.1.PgP1 (L42P)
[wzr2hi, 30.07.2018] Added 7.505.751.150-01 for TSB15.1a.PgP1 (H60A)
[wzr2hi, 16.08.2018] Added 7.503.750.873 for PreProd7.BrpP (P32S)
[wzr2hi, 21.08.2018] Added 7.503.750.834-02 for TSB12.BrgP (H60A)
[wzr2hi, 31.08.2018] Added 7.505.750.900 for PreProd16.PgP1 (L42N)
[wzr2hi, 31.08.2018] Added 7.505.751.126 for PreProd16.PgP1 (L42P)
[wzr2hi, 04.10.2018] Added 7.503.750.901-01 for TSB12.1.BrgP (H60A)
[wzr2hi, 04.10.2018] Added 7.503.750.902-01 for TSB12.1.BrgP (H60A)
[wzr2hi, 04.10.2018] Added 7.503.750.903-01 for TSB12.1.BrgP (H60A)
[wzr2hi, 06.11.2018] Added 7.503.750.834-03 for TSB13.BrgP (H60A)
[wzr2hi, 06.11.2018] Added 7.503.750.901-02 for TSB13.BrgP (H60A)
[wzr2hi, 06.11.2018] Added 7.503.750.902-02 for TSB13.BrgP (H60A)
[wzr2hi, 06.11.2018] Added 7.503.750.903-02 for TSB13.BrgP (H60A)
[wzr2hi, 22.11.2018] Added 7.505.751.201 for SOP.PgP1 (L42N)
[wzr2hi, 03.12.2018] Added 7.505.751.255 for RoW SOP-UPD.PgP1 (L42P)
[wzr2hi, 04.12.2018] Added 7.503.751.205 for PreProd10.BrgP (H60A)
[wzr2hi, 24.01.2019] Added 7.505.751.150 for PreProd20a.PgP1 (H60A)
[wzr2hi, 21.02.2019] Added 7.505.751.290 for SOP.PgP1 (UPDHW) (L42N)
[wzr2hi, 07.03.2019] Added 7.503.750.899 for MP-UPDBrgP (H60A)
[wzr2hi, 07.03.2019] Added 7.503.750.900 for MP-UPD.BrgP (H60A)
[wzr2hi, 21.03.2019] Added 7.505.751.283 for RoW SOP-UPD.PgP1 (L42P)
[wzr2hi, 19.06.2019] Added 7.503.751.316 for QLU1.BrpP (P32S)
[wzr2hi, 03.07.2019] Added 7.505.751.358 for PreProd21.PgP1 (P32R)
[mkr2hi, 12.08.2019] Added 7.505.751.363 for MP (FMVSS).PgP1 (L42N)
[wzr2hi, 05.09.2019] Added 7.505.751.348 for PreProd24a.PgP1 (H60A)
[wzr2hi, 29.11.2019] Added 7.505.751.409 for PreProd26a.BrgP (P32R)
[wzr2hi, 18.03.2020] Added 7.505.751.487 for MP-UPD.PgP1 (L42P)
[wzr2hi, 18.03.2020] Added 7.505.751.488 for MP-UPD.PgP1 (L42N)
[wzr2hi, 22.07.2020] Added 7.505.751.523 for MP-UPD.PgP1 (L42P)
[wzr2hi, 22.07.2020] Added 7.505.751.524 for MP-UPD.PgP1 (L42N)
[wzr2hi, 24.09.2020] Added 7.503.751.386 for SOP.BrgP (H60A LCP)
[wzr2hi, 26.03.2021] Added 7.503.751.499 for SOP.BrgP (H60A LCP)
[wzr2hi, 17.05.2021] Added 7.505.751.751 for SOP.PgP1 (H60A)
[wzr2hi, 19.10.2021] Added 7.503.751.524 for MY23.SOP.PgP1 (H60A)
[wzr2hi, 22.11.2021] Added 7.505.751.708 for MY23.SOP.PgP1 (L42N)
[wzr2hi, 11.03.2022] Added 7.505.751.852 for MY23.SOP.PgP1 (L42N)</t>
  </si>
  <si>
    <t>[wzr2hi, 13.11.2017] Added 7.513.750.802-03 for TSB8.BrgP
[wzr2hi, 13.11.2017] Added 7.513.750.904-01 for TSB8.BrgP
[wzr2hi, 22.03.2018] Added 7.515.750.882-01 for TSB13.5.PgP1
[wzr2hi, 22.03.2018] Added 7.515.750.971-01 for TSB13.5.PgP1
[wzr2hi, 15.05.2018] Added 7.513.751.035 for PreProd5.BrgP
[wzr2hi, 17.05.2018] Added 7.513.750.904 for PreProd6.1.BrgP (P32S)
[wzr2hi, 17.05.2018] Added 7.513.750.802 for PreProd6.1.BrgP (P32S)
[wzr2hi, 16.08.2018] Added 7.513.751.043 for PreProd7.BrpP (P32S)
[wzr2hi, 05.10.2018] Added 7.515.750.348 for PreProd17.PgP1 (P32S)
[wzr2hi, 18.12.2018] Added 7.513.751.446 for PreProd10.BrgP (P32S)
[wzr2hi, 19.06.2019] Added 7.513.751.644 for QLU1.BrpP (P32S)
[wzr2hi, 19.06.2019] Added 7.513.751.645 for QLU1.BrgP (P32S)
[wzr2hi, 03.07.2019] Added 7.515.751.633 for PreProd21.PgP1 (P32R)
[wzr2hi, 03.07.2019] Added 7.515.751.634 for PreProd21.PgP1 (P32R)</t>
  </si>
  <si>
    <t>[wzr2hi, 13.11.2017] Added 7.513.750.905-01 for TSB8.BrgP
[wzr2hi, 22.03.2018] Added 7.515.750.881-01 for TSB13.5.PgP1
[wzr2hi, 15.05.2018] Added 7.513.751.036 for PreProd5.BrgP</t>
  </si>
  <si>
    <t>[wzr2hi, 13.11.2017] Added 7.510.750.974-02 for DSB11.Hi
[wzr2hi, 13.11.2017] Added 7.510.750.974-03 for DSB11.Hi
[wzr2hi, 13.11.2017] Added 7.515.750.800-03 for TSB11.PgP1
[wzr2hi, 13.11.2017] Added 7.515.750.974 for PreProd10.PgP1 (H61L)
[wzr2hi, 13.11.2017] Added 7.515.750.976 for PreProd10.PgP1 (H61L)
[wzr2hi, 08.01.2018] Added 7.515.750.868-01 for TSB12.PgP1
[wzr2hi, 08.01.2018] Added 7.515.750.883-01 for TSB12.PgP1
[wzr2hi, 13.11.2017] Added 7.515.750.975 for PreProd10.PgP1 (H61L)
[wzr2hi, 13.11.2017] Added 7.515.750.977 for PreProd10.PgP1 (H61L)
[wzr2hi, 07.02.2018] Added 7.515.750.878-01 for TSB12.1.PgP1
[wzr2hi, 20.03.2018] Added 7.515.750.842-01 for TSB15.1.PgP1
[wzr2hi, 20.03.2018] Added 7.515.750.873-01 for TSB13.2.PgP1 (L42N)
[wzr2hi, 20.03.2018] Added 7.515.750.874-01 for TSB13.2.PgP1
[wzr2hi, 20.03.2018] Added 7.515.750.979-01 for TSB13.2.PgP1
[wzr2hi, 20.03.2018] Added 7.515.750.343-01 for TSB13.2.PgP1
[wzr2hi, 22.03.2018] Added 7.515.750.800-04 for TSB13.6.PgP1
[wzr2hi, 22.03.2018] Added 7.515.750.800-05 for TSB13.6.PgP1
[wzr2hi, 22.03.2018] Added 7.515.750.822-03 for TSB13.6.PgP1
[wzr2hi, 25.04.2018] Added 7.515.750.868-02 for TSB12.2.PgP1
[wzr2hi, 25.04.2018] Added 7.515.750.883-02 for TSB12.2.PgP1
[wzr2hi, 25.04.2018] Added 7.515.750.869-02 for TSB12.2.PgP1
[wzr2hi, 25.04.2018] Added 7.515.750.884-02 for TSB12.2.PgP1
[wzr2hi, 03.05.2018] Added 7.515.750.873-02 for TSB14.PgP1 (L42N)
[wzr2hi, 03.05.2018] Added 7.515.750.874-02 for TSB14.PgP1
[wzr2hi, 08.05.2018] Added 7.515.750.800 for PreProd13.PgP1 (L42P)
[wzr2hi, 08.05.2018] Added 7.515.750.822 for PreProd13.PgP1 (L42P)
[wzr2hi, 13.06.2018] Added 7.515.751.145-01 for TSB15.1.PgP1
[wzr2hi, 03.08.2018] Added 7.515.751.023-91 for TSB14.1.PgP1 (B12P QVC) ST2.0 fake based on ST2.1 7.515.751.023-01
[wzr2hi, 03.08.2018] Added 7.515.751.036-91 for TSB14.1.PgP1 (B12P QVC) ST2.0 fake based on ST2.1 7.515.751.036-01
[wzr2hi, 31.08.2018] Added 7.515.751.037-91 for TSB14.1.PgP1 (B12P QVC) ST2.0 fake based on ST2.1 7.515.751.037-01
[wzr2hi, 03.08.2018] Added 7.515.751.023 for PreProd16.PgP1 (B12P)
[wzr2hi, 03.08.2018] Added 7.515.751.036 for PreProd16.PgP1 (B12P)
[wzr2hi, 03.08.2018] Added 7.515.751.037 for PreProd16.PgP1 (B12P)
[wzr2hi, 22.08.2018] Added 7.515.750.901 for SOP.PgP1 (H61L)
[wzr2hi, 22.08.2018] Added 7.515.750.896 for SOP.PgP1 (H61L)
[wzr2hi, 22.08.2018] Added 7.515.750.891 for SOP.PgP1 (H61L)
[wzr2hi, 22.08.2018] Added 7.515.750.906 for SOP.PgP1 (H61L)
[wzr2hi, 22.08.2018] Added 7.515.751.026 for SOP.PgP1 (L42P)
[wzr2hi, 22.08.2018] Added 7.515.751.031 for SOP.PgP1 (L42P)
[wzr2hi, 31.08.2018] Added 7.515.750.873 for PreProd16.PgP1 (L42N)
[wzr2hi, 31.08.2018] Added 7.515.750.874 for PreProd16.PgP1 (L42N)
[wzr2hi, 17.09.2018] Added 7.515.751.027 for QLU1.PgP1 (L42P)
[wzr2hi, 17.09.2018] Added 7.515.751.032 for QLU1.PgP1 (L42P)
[wzr2hi, 22.11.2018] Added 7.515.751.100 for SOP.PgP1 (L42N)
[wzr2hi, 22.11.2018] Added 7.515.751.106 for SOP.PgP1 (L42N)
[wzr2hi, 05.12.2018] Added 7.515.750.351 for PreProd16.1.PgP1 (B12P)
[wzr2hi, 05.12.2018] Added 7.515.750.356 for PreProd16.1.PgP1 (B12P)
[wzr2hi, 20.02.2019] Added 7.515.750.892 for SOP.PgP1 (FMVSS) (H61L)
[wzr2hi, 20.02.2019] Added 7.515.750.897 for SOP.PgP1 (FMVSS) (H61L)
[wzr2hi, 20.02.2019] Added 7.515.750.902 for SOP.PgP1 (FMVSS) (H61L)
[wzr2hi, 20.01.2019] Added 7.515.750.907 for SOP.PgP1 (FMVSS) (H61L)
[wzr2hi, 21.02.2019] Added 7.515.751.101 for SOP.PgP1 (UPDHW) (L42N)
[wzr2hi, 21.02.2019] Added 7.515.751.107 for SOP.PgP1 (UPDHW) (L42N)
[wzr2hi, 25.04.2019] Added 7.515.750.352 for MP-UPD.PgP1 (B12P)
[wzr2hi, 25.04.2019] Added 7.515.750.357 for MP-UPD.PgP1 (B12P)
[wzr2hi, 20.05.2019] Added 7.515.751.028 for SOP.PgP1 (QLU4) (L42P)
[wzr2hi, 20.05.2019] Added 7.515.751.033 for SOP.PgP1 (QLU4) (L42P)
[wzr2hi, 20.05.2019] Added 7.515.750.353 for SOP.PgP1 (QLU4) (B12P)
[wzr2hi, 20.05.2019] Added 7.515.750.358 for SOP.PgP1 (QLU4) (B12P)
[wzr2hi, 20.05.2019] Added 7.515.751.102 for SOP.PgP1 (QLU4) (L42N)
[wzr2hi, 20.05.2019] Added 7.515.751.108 for SOP.PgP1 (QLU4) (L42N)
[wzr2hi, 20.05.2019] Added 7.515.750.893 for SOP.PgP1 (QLU4) (H61L)
[wzr2hi, 20.05.2019] Added 7.515.750.898 for SOP.PgP1 (QLU4) (H61L)
[wzr2hi, 20.05.2019] Added 7.515.750.903 for SOP.PgP1 (QLU4) (H61L) =&gt; [wzr2hi, 01.10.2019] Moved to QLU4.2.PgP1 (H61L)
[wzr2hi, 20.05.2019] Added 7.515.750.908 for SOP.PgP1 (QLU4) (H61L) =&gt; [wzr2hi, 01.10.2019] Moved to QLU4.2.PgP1 (H61L)
[wzr2hi, 09.09.2019] Added 7.515.751.029 for QLU4.2.PgP1 (L42P)
[wzr2hi, 09.09.2019] Added 7.515.751.034 for QLU4.2.PgP1 (L42P)
[wzr2hi, 01.10.2019] Added 7.515.751.103 for QLU4.2.PgP1 (L42N)
[wzr2hi, 01.10.2019] Added 7.515.751.109 for QLU4.2.PgP1 (L42N)
[wzr2hi, 01.10.2019] Added 7.515.750.894 for QLU4.2.PgP1 (H61L)
[wzr2hi, 01.10.2019] Added 7.515.750.899 for QLU4.2.PgP1 (H61L)
[wzr2hi, 06.01.2020] Added 7.515.750.354 for SOP.PgP1 (QLU4) (B12P)
[wzr2hi, 06.01.2020] Added 7.515.750.359 for SOP.PgP1 (QLU4) (B12P)
[wzr2hi, 03.02.2020] Added 7.515.750.355 for MP-UPD.PgP1 (B12P)
[wzr2hi, 03.02.2020] Added 7.515.750.360 for MP-UPD.PgP1 (B12P)
[wzr2hi, 04.05.2020] Added 7.515.751.915 for PreProd28.PgP1 (L42P)</t>
  </si>
  <si>
    <t>[wzr2hi, 13.11.2017] Added 7.515.750.815-02 for TSB10.PgP1
[wzr2hi, 23.11.2017] Added 7.510.751.017-01 for DSB11.1.Hi
[wzr2hi, 20.03.2018] Added 7.515.750.970-01 for TSB13.2.PgP1
[wzr2hi, 03.05.2018] Added 7.515.750.970-02 for TSB14.3.PgP1
[wzr2hi, 07.05.2018] Added 7.515.750.815-03 for TSB14.4.PgP1
[wzr2hi, 17.05.2018] Added 7.513.751.048 for PreProd6.1.BrgP (P32S)
[mkr2hi, 12.07.2018] Added 7.515.750.815 for Nissan Sc2 PreProd15.1.PgP1 (L42P)
[wzr2hi, 16.08.2018] Added 7.513.751.057 for PreProd7.BrpP (P32S)
[wzr2hi, 31.08.2018] Added 7.515.750.970 for PreProd16.PgP1 (L42N)
[wzr2hi, 04.10.2018] Added 7.513.751.278-01 for TSB12.1.BrgP (H60A)
[wzr2hi, 06.11.2018] Added 7.513.751.278-02 for TSB13.BrgP (H60A)
[wzr2hi, 22.11.2018] Added 7.515.751.420 for SOP.PgP1 (L42N)
[wzr2hi, 21.02.2019] Added 7.515.751.476 for SOP.PgP1 (UPDHW) (L42N)
[wzr2hi, 07.03.2019] Added 7.513.751.278 for PreProd13a.BrgP (H60A)
[wzr2hi, 19.06.2019] Added 7.513.751.646 for QLU1.BrpP (P32S)
[wzr2hi, 03.07.2019] Added 7.515.751.635 for PreProd21.PgP1 (P32R)
[mkr2hi, 12.08.2019] Added 7.515.751.674 for MP (FMVSS).PgP1 (L42N)
[wzr2hi, 06.05.2020] Added 7.515.751.466 for MP-UPD.PgP1 (L42P)
[wzr2hi, 06.05.2020] Added 7.515.751.945 for MP-UPD.PgP1 (L42N)
[wzr2hi, 05.11.2021] Added 7.515.752.278 for MY23.SOP.PgP1 (L42N)
[wzr2hi, 11.03.2022] Added 7.515.752.518 for MY23.SOP.PgP1 (L42N)</t>
  </si>
  <si>
    <t>[wzr2hi, 13.11.2017] Added 7.513.750.890-02 for TSB9.1.BrgP
[wzr2hi, 13.11.2017] Added 7.513.750.894-02 for TSB9.1.BrgP
[wzr2hi, 21.02.2018] Added 7.513.750.977 for PreProd4.BrgP
[wzr2hi, 21.02.2018] Added 7.513.750.978 for PreProd4.BrgP
[wzr2hi, 20.09.2018] Added 7.515.751.179-01 for TSB16.1.PgP1 (L02D)
[wzr2hi, 20.09.2018] Added 7.513.751.181 for MP.BrgP (B02E LG UPT)
[wzr2hi, 20.09.2018] Added 7.513.751.182 for MP.BrgP (B02E LG UPT)
[wzr2hi, 24.01.2019] Added 7.515.751.179 for PreProd20a.PgP1 (L02D)
[wzr2hi, 25.03.2019] Added 7.513.751.448 for MP.BrgP (FMVSS) (B02E QLU)
[wzr2hi, 25.03.2019] Added 7.513.751.449 for MP.BrgP (FMVSS) (B02E QLU)
[wzr2hi, 06.08.2021] Added 7.515.752.360 for MY22.SOP.PgP1 (L02D)
[wzr2hi, 26.04.2022] Added 7.515.752.598 for SOP.PgP1 (L02D)</t>
  </si>
  <si>
    <t>[wzr2hi, 22.11.2017] Added 7.500.750.843-02 for DSB11.1.Hi
[wzr2hi, 20.03.2018] Added 7.505.750.876-01 for TSB13.1.PgP1
[mkr2hi, 11.07.2018] Added 7.505.750.876-02 for TSB15.2.PgP1 (P42M)
[wzr2hi, 31.08.2018] Added 7.505.750.876 for PreProd16.PgP1 (P42M)
[wzr2hi, 20.12.2018] Added 7.505.751.254 for PreProd19.PgP1 (P42M)
[wzr2hi, 24.01.2019] Added 7.505.751.274 for PreProd20a.PgP1 (P42M)
[wzr2hi, 12.03.2019] Added 7.505.751.297 for ILLUCHG.PgP1 (P42M)</t>
  </si>
  <si>
    <t>[wzr2hi, 08.01.2018] Added 7.515.750.864 for PreProd9.2.PgP1
[wzr2hi, 08.01.2018] Added 7.515.750.831 for PreProd9.2.PgP1
[wzr2hi, 13.03.2018] Added 7.515.751.022 for PreProd12.2.PgP1 (P32R)
[wzr2hi, 05.10.2018] Added 7.515.751.140 for PrePro17.PgP1 (P32R)
[wzr2hi, 04.04.2019] Added 7.515.751.564 for ASEAN.QLU1.PgP1 (P32R)</t>
  </si>
  <si>
    <t>[wzr2hi, 13.11.2017] Added 7.515.750.823-02 for TSB11.PgP1
[wzr2hi, 13.11.2017] Added 7.515.750.978 for PreProd10.1.PgP1
[wzr2hi, 08.01.2018] Added 7.515.750.870-01 for TSB12.PgP1
[wzr2hi, 20.03.2018] Added 7.515.750.875-01 for TSB13.2.PgP1
[wzr2hi, 22.03.2018] Added 7.515.750.823-03 for TSB13.6.PgP1
[wzr2hi, 25.04.2018] Added 7.515.750.870-02 for TSB12.2.PgP1
[wzr2hi, 03.05.2018] Added 7.515.750.875-02 for TSB14.PgP1 (L42N)
[mkr2hi, 12.07.2018] Added 7.515.750.823 for Nissan Sc2 PreProd15.1.PgP1 -&gt; [wzr2hi, 31.08.2018] Now 7.515.750.823 is for PreProd16.PgP1 (L42P)
[wzr2hi, 31.08.2018] Added 7.515.750.875 for PreProd16.PgP1 (L42N)
[wzr2hi, 22.11.2018] Added 7.515.751.421 for SOP.PgP1 (L42N)
[wzr2hi, 03.12.2018] Added 7.515.751.452 for RoW SOP-UPD.PgP1 (L42P)
[wzr2hi, 21.02.2019] Added 7.515.751.477 for SOP.PgP1 (UPDHW) (L42N)
[wzr2hi, 06.03.2020] Added 7.515.751.903 for PreProd28.PgP1 (H60A)
[wzr2hi, 17.05.2021] Added 7.515.752.299 for SOP.PgP1 (H60A)</t>
  </si>
  <si>
    <t>[wzr2hi, 11.01.2018] Added 7.513.750.973-01 for TSB9.2.BrgP =&gt; [wzr2hi, 26.06.2018] Now TSB11.BrgP (P13A)
[wzr2hi, 05.12.2018] Added 7.513.751.444 for PreProd10.BrgP (P32S)
[wzr2hi, 24.01.2018] Added 7.513.751.434 for PreProd10.1.BrgP (P13A)</t>
  </si>
  <si>
    <t>[wzr2hi, 11.01.2018] Added 7.513.750.976-01 for TSB9.2.BrgP
[wzr2hi, 23.04.2018] Added 7.513.750.976-02 for TSB11.BrgP =&gt; [wzr2hi, 26.06.2018] Now TSB11.BrgP (P13A)
[wzr2hi, 04.12.2018] Added 7.513.750.976 for PreProd10.BrgP (P13A)
[wzr2hi, 24.01.2018] Added 7.513.751.433 for PreProd10.1.BrgP (P13A)</t>
  </si>
  <si>
    <t>[wzr2hi, 08.05.2018] Added 7.513.751.037 for PreProd5.BrgP
[wzr2hi, 21.08.2018] Added 7.513.751.173-01 for TSB12.BrgP (H60A)
[wzr2hi, 21.08.2018] Added 7.513.751.175-01 for TSB12.BrgP (U60)
[wzr2hi, 06.11.2018] Added 7.513.751.173-02 for TSB13.BrgP (H60A)
[wzr2hi, 06.11.2018] Added 7.513.751.175-02 for TSB13.BrgP (U60)
[wzr2hi, 07.03.2019] Added 7.513.751.173 for PreProd13a.BrgP (H60A)</t>
  </si>
  <si>
    <t>[wzr2hi, 01.06.2018] Added 7.500.750.861-01 for DSB1.MFI1-COSE
[wzr2hi, 01.06.2018] Added 7.500.750.863-01 for DSB1.MFI1-COSE</t>
  </si>
  <si>
    <t>[wzr2hi, 01.06.2018] Added 7.500.750.862-01 for DSB1.MFI1-COSE</t>
  </si>
  <si>
    <t>[wzr2hi, 19.06.2018] Added 7.515.751.130 for PreProd12.2.PgP1 (P32R) (was originally 7.515.750.350, which should never occur)
[wzr2hi, 05.10.2018] Added 7.515.751.139 for PrePro17.PgP1 (P32R)
[wzr2hi, 04.04.2019] Added 7.515.751.539 for ASEAN.QLU1.PgP1 (P32R)</t>
  </si>
  <si>
    <t>Nissan Scope 3.1 Gen4 DA-Mid EUR(NO) (SBR DAB)</t>
  </si>
  <si>
    <t>[wzr2hi, 12.09.2019] Added 7.503.751.387 for PreProd17.BrgP (B12P)
[wzr2hi, 29.11.2019] Added 7.505.751.411 for PreProd26b.BrgP (P32R)
[wzr2hi, 10.02.2021] Added 7.503.751.496 for MY22.BrgP (B12P)
[wzr2hi, 07.09.2021] Added 7.503.751.521 for SOP.BrgP (P13A)
[wzr2hi, 08.12.2021] Added 7.503.751.675 for QLU2.0.BrgP (B12P)
[wzr2hi, 14.07.2022] Added 7.505.751.917 for MP.PgP1 (L42P)
[wzr2hi, 02.11.2022] Added 7.503.751.822 for QLU.BrgP (B12P)
[wzr2hi, 14.11.2022] Added 7.505.751.979 for MY23.SOP.PgP1 (L42P)</t>
  </si>
  <si>
    <t>7.503.751.387,
7.505.751.411,
7.503.751.496,
7.503.751.521,
7.503.751.675,
7.505.751.917,
7.503.751.822,
7.505.751.979</t>
  </si>
  <si>
    <t>0.000.000.000-45</t>
  </si>
  <si>
    <t>[wzr2hi, 29.11.2022] Added 0.000.000.000-45 as PlaceholderBuild.PlaceholderPlant (TBC)</t>
  </si>
  <si>
    <t>7.515.752.716-01,
7.515.752.716-02,
7.515.752.789-01</t>
  </si>
  <si>
    <t>[wzr2hi, 29.09.2022] Added 7.515.752.716-01 for CSB1.PgP1
[wzr2hi, 01.12.2022] Added 7.515.752.716-02 for TSB1.PgP1
[wzr2hi, 01.12.2022] Added 7.515.752.789-01 for TSB1.PgP1</t>
  </si>
  <si>
    <t>7.513.752.408-02,
7.513.752.374-02,
7.513.752.408,
7.513.752.374</t>
  </si>
  <si>
    <t>[wzr2hi, 18.02.2022] Added 7.513.752.408-02 for TSB2.BrgP (V4/V5 SBX)
[wzr2hi, 18.02.2022] Added 7.513.752.374-02 for TSB2.BrgP (V4/V5 SBX)
[wzr2hi, 01.12.2022] Added 7.513.752.408 for PreProd.BrgP (V4/V5 SBX)
[wzr2hi, 01.12.2022] Added 7.513.752.374 for PreProd.BrgP (V4/V5 SBX)</t>
  </si>
  <si>
    <t>Nissan Scope 3.1 Gen4 DA-Mid GCC/ASR/ISR(NO) (SBR DAB)</t>
  </si>
  <si>
    <t>Nissan Scope 3.1 Gen4 DA-Mid MEX(NO) (SBR AM/FM)</t>
  </si>
  <si>
    <r>
      <t xml:space="preserve">Nissan Scope 3.1 Gen4 DA-Mid </t>
    </r>
    <r>
      <rPr>
        <b/>
        <sz val="10"/>
        <color rgb="FF7030A0"/>
        <rFont val="Arial"/>
        <family val="2"/>
      </rPr>
      <t>GOM1:</t>
    </r>
    <r>
      <rPr>
        <sz val="10"/>
        <color theme="1"/>
        <rFont val="Arial"/>
        <family val="2"/>
      </rPr>
      <t>ASEAN-A/ASEAN-B/LAC(NO) (SBR AM/FM)</t>
    </r>
  </si>
  <si>
    <r>
      <t xml:space="preserve">Nissan Scope 3.1 Gen4 DA-Mid </t>
    </r>
    <r>
      <rPr>
        <b/>
        <sz val="10"/>
        <color rgb="FF7030A0"/>
        <rFont val="Arial"/>
        <family val="2"/>
      </rPr>
      <t>GOM2:</t>
    </r>
    <r>
      <rPr>
        <sz val="10"/>
        <color theme="1"/>
        <rFont val="Arial"/>
        <family val="2"/>
      </rPr>
      <t>GCC/AFR/SAF/ISR(NO) (SBR AM/FM)</t>
    </r>
  </si>
  <si>
    <t>[wzr2hi, 04.02.2021] Added 7.513.751.945 for PreProd1a.BrgP (V1/V2)
[wzr2hi, 04.02.2021] Added 7.513.751.948 for PreProd4.BrgP (V1/V2)
[wzr2hi, 22.02.2022] Added 7.513.752.414-01 for TSB1.BrgP (V1/V2)
[wzr2hi, 08.07.2022] Added 7.513.752.498 for SOP.BrgP (V2)
[wzr2hi, 15.12.2022] Added 7.513.752.654 for PP8.BrgP (V2)</t>
  </si>
  <si>
    <t>7.513.751.945,
7.513.751.948,
7.513.752.414-01,
7.513.752.498,
7.513.752.654</t>
  </si>
  <si>
    <t>7.513.752.168-01,
7.513.752.362,
7.513.752.491,
7.513.752.655</t>
  </si>
  <si>
    <t>[wzr2hi, 09.04.2021] Added 7.513.752.168-01 for TSB1.BrgP ( V4/V5 SBX)
[wzr2hi, 28.03.2022] Added 7.513.752.362 for MP.BrgP (SBX V4/V5)
[wzr2hi, 08.07.2022] Added 7.513.752.491 for SOP.BrgP (V4/V5 SBX)
[wzr2hi, 06.01.2023] Added 7.513.752.655 for QLU10.PreProd8.BrgP (V4/V5 SBX)</t>
  </si>
  <si>
    <t>[wzr2hi, 09.04.2021] Added 7.513.752.167-01 for TSB1.BrgP ( V4/V5 SBX)
[wzr2hi, 13.08.2021] Added 7.513.752.194 for MZK.PP1.BrgP (V4/V5 SBX)
[wzr2hi, 28.03.2022] Added 7.513.752.363 for MP.BrgP (SBX V4/V5)
[wzr2hi, 08.07.2022] Added 7.513.752.493 for SOP.BrgP (V4/V5 SBX)
[wzr2hi, 06.01.2023] Added 7.513.752.656 for QLU10.PreProd8.BrgP (V4/V5 SBX)</t>
  </si>
  <si>
    <t>7.513.752.167-01,
7.513.752.194,
7.513.752.363,
7.513.752.493,
7.513.752.656</t>
  </si>
  <si>
    <t>[wzr2hi, 16.05.2019] Added 7.513.751.576 for PreProd10.2.BrgP (P13A)
[wzr2hi, 03.07.2019] Added 7.513.751.596 for PreProd11.BrgP (P13A)
[wzr2hi, 21.08.2019] Added 7.513.751.738 for PreProd11.BrgP (P13A)(TCU)
[wzr2hi, 29.11.2019] Added 7.513.751.800 for PreProd18.BrgP (B12P)
[wzr2hi, 08.07.2020] Added 7.513.751.887 for MY21-SOP.BrgP (P13A)
[wzr2hi, 08.12.2021] Added 7.513.752.313 for QLU2.BrgP (P13A)
[wzr2hi, 31.01.2023] Added 7.513.752.658 for QLU2.5.BrgP (P13A)</t>
  </si>
  <si>
    <t>7.513.751.576,
7.513.751.596,
7.513.751.738,
7.513.751.800,
7.513.751.887,
7.513.752.313,
7.513.752.658</t>
  </si>
  <si>
    <t>[wzr2hi, 03.05.2018] Added 7.515.750.342-01 for TSB14.2.PgP1
[wzr2hi, 25.07.2018] Added 7.513.751.156-01 for TSB11.BrgP (P13A)
[wzr2hi, 24.01.2018] Added 7.513.751.430 for PreProd10.1.BrgP (P13A)
[wzr2hi, 03.07.2019] Added 7.513.751.594 for PreProd11.BrgP (P13A)
[wzr2hi, 08.07.2020] Added 7.513.751.884 for MY21-SOP.BrgP (P13A)
[wzr2hi, 08.12.2021] Added 7.513.752.317 for QLU2.BrgP (P13A)
[wzr2hi, 31.01.2023] Added 7.513.752.636 for QLU2.5.BrgP (P13A)</t>
  </si>
  <si>
    <t>7.515.750.342-01,
7.513.751.156-01,
7.513.751.430,
7.513.751.594,
7.513.751.884,
7.513.752.317,
7.513.752.636</t>
  </si>
  <si>
    <t>[wzr2hi, 24.01.2018] Added 7.513.751.437 for PreProd10.1.BrgP (P13A)
[wzr2hi, 25.03.2019] Added 7.513.751.585 for PreProd13.1.BrgP (P32S)
[wzr2hi, 03.07.2019] Added 7.513.751.600 for PreProd11.BrgP (P13A)
[wzr2hi, 08.07.2020] Added 7.513.751.889 for MY21-SOP.BrgP (P13A)
[wzr2hi, 08.12.2021] Added 7.513.752.318 for QLU2.BrgP (P13A)
[wzr2hi, 31.01.2023] Added 7.513.752.637 for QLU2.5.BrgP (P13A)</t>
  </si>
  <si>
    <t>7.513.751.437,
7.513.751.585,
7.513.751.600,
7.513.751.889,
7.513.752.318,
7.513.752.637</t>
  </si>
  <si>
    <t>[wzr2hi, 11.01.2018] Added 7.513.750.974-01 for TSB9.2.BrgP
[wzr2hi, 24.08.2018] Added 7.513.751.275 for PreProd7.BrgP (B12P)
[wzr2hi, 24.01.2018] Added 7.513.751.435 for PreProd10.1.BrgP (P13A)
[wzr2hi, 25.03.2019] Added 7.513.751.586 for PreProd13.1.BrgP (P32S)
[wzr2hi, 28.05.2019] Added 7.513.751.590 for QLU0.5.BrgP (B12P)
[wzr2hi, 03.07.2019] Added 7.513.751.598 for PreProd11.BrgP (P13A)
[wzr2hi, 05.09.2019] Added 7.515.751.709 for PreProd24b.PgP1 (H60A)
[wzr2hi, 30.09.2019] Added 7.513.751.724 for QLU1.BrgP (B12P)
[wzr2hi, 29.11.2019] Added 7.515.751.789 for PreProd26b.BrgP (P32R)
[wzr2hi, 13.12.2019] Added 7.513.751.871 for MP-UPT.BrgP (P32S)
[wzr2hi, 08.07.2020] Added 7.513.751.888 for MY21-SOP.BrgP (P13A)
[wzr2hi, 25.11.2020] Added 7.515.752.099 for MP-UPD.PgP1 (H60A)
[wzr2hi, 26.01.2021] Added 7.515.751.992 for MP-UPD.PgP1 (H60A)
[wzr2hi, 05.10.2021] Added 7.515.752.385 for SOP.PgP1 (P32R)
[wzr2hi, 08.12.2021] Added 7.513.752.319 for QLU2.0.BrgP (B12P)
[wzr2hi, 08.12.2021] Added 7.513.752.315 for QLU2.BrgP (P13A)
[wzr2hi, 31.01.2023] Added 7.513.752.659 for QLU2.5.BrgP (P13A)</t>
  </si>
  <si>
    <t>7.513.750.974-01,
7.513.751.275,
7.513.751.435,
7.513.751.586,
7.513.751.590,
7.513.751.598,
7.515.751.709,
7.513.751.724,
7.515.751.789,
7.513.751.871,
7.513.751.888,
7.515.752.099,
7.515.751.992,
7.515.752.385,
7.513.752.319,
7.513.752.315,
7.513.752.659</t>
  </si>
  <si>
    <t>[wzr2hi, 11.01.2018] Added 7.513.750.975-01 for TSB9.2.BrgP =&gt; [wzr2hi, 26.06.2018] Now TSB11.BrgP (P13A)
[wzr2hi, 24.01.2018] Added 7.513.751.431 for PreProd10.1.BrgP (P13A)
[wzr2hi, 03.07.2019] Added 7.513.751.595 for PreProd11.BrgP (P13A)
[wzr2hi, 10.03.2021] Added 7.513.752.155 for MY21.SOP.BrgP (P13A)
[wzr2hi, 08.12.2021] Added 7.513.752.316 for QLU2.BrgP (P13A)
[wzr2hi, 31.01.2023] Added 7.513.752.660 for QLU2.5.BrgP (P13A)</t>
  </si>
  <si>
    <t>7.513.750.975-01,
7.513.751.431,
7.513.751.595,
7.513.752.155,
7.513.752.316,
7.513.752.660</t>
  </si>
  <si>
    <t>[wzr2hi, 13.11.2017] Added 7.500.750.845-01 for DSB11.Hi (B12P)
[wzr2hi, 13.11.2017] Added 7.500.750.846-01 for DSB11.Hi
[wzr2hi, 21.03.2018] Added 7.505.750.994-01 for TSB13.4.PgP1
[wzr2hi, 21.03.2018] Added 7.505.750.995-01 for TSB13.4.PgP1
[wzr2hi, 03.05.2018] Added 7.505.750.998-01 for TSB14.1.PgP1
[wzr2hi, 03.05.2018] Added 7.505.751.009-01 for TSB14.1.PgP1
[wzr2hi, 03.05.2018] Added 7.505.750.995-02 for TSB14.1.PgP1
[wzr2hi, 30.07.2018] Added 7.505.751.151-01 for TSB15.1a.PgP1 (L42N)
[wzr2hi, 30.07.2018] Added 7.505.751.152-01 for TSB15.1a.PgP1 (L42N)
[wzr2hi, 30.07.2018] Added 7.505.750.995-03 for TSB15.1a.PgP1 (L21B)
[wzr2hi, 30.07.2018] Added 7.505.750.994-02 for TSB15.1a.PgP1 (L21B)
[wzr2hi, 10.08.2018] Added 7.505.750.806-91 for Reflash (L42P PT1) ST2.1 fake based on ST2.0 7.505.750.806-03
[wzr2hi, 10.08.2018] Added 7.505.750.801-91 for Reflash (L42P PT1) ST2.1 fake based on ST2.0 7.505.750.801-03
[wzr2hi, 10.08.2018] Added 7.505.750.898-91 for Reflash (L42N PT1) ST2.1 fake based on ST2.0 7.505.750.898-01
[wzr2hi, 10.08.2018] Added 7.505.750.899-91 for Reflash (L42N PT1) ST2.1 fake based on ST2.0 7.505.750.899-01
[wzr2hi, 21.08.2018] Added 7.505.751.168-01 for TSB15.1a.PgP1 (L42P)
[wzr2hi, 21.08.2018] Added 7.505.751.169-01 for TSB15.1a.PgP1 (L42P)
[wzr2hi, 23.10.2018] Added 7.505.750.995-04 for TSB17.PgP1 (L21B)
[wzr2hi, 23.10.2018] Added 7.505.750.994-03 for TSB17.PgP1 (L21B)
[wzr2hi, 20.11.2018] Added 7.505.750.994 for PreProd19.2.PgP1 (L21B)
[wzr2hi, 20.11.2018] Added 7.505.750.995 for PreProd19.2.PgP1 (L21B)
[wzr2hi, 05.04.2019] Added 7.505.751.275 for PreProd20.1b.PgP1 (L21B)
[wzr2hi, 05.04.2019] Added 7.505.751.276 for PreProd20.1b.PgP1 (L21B)
[wzr2hi, 22.08.2019] Added 7.505.751.151 for PreProd21b.PgP1 (L42N)
[wzr2hi, 22.08.2019] Added 7.505.751.152 for PreProd21b.PgP1 (L42N)
[wzr2hi, 12.09.2019] Added 7.505.751.306 for PreProd21.PgP1 (L21B)
[wzr2hi, 12.09.2019] Added 7.505.751.307 for PreProd21.PgP1 (L21B)
[wzr2hi, 27.11.2019] Added 7.505.751.407 for US-CAN MP-UPD.PgP1 (L21B)
[wzr2hi, 27.11.2019] Added 7.505.751.408 for US-CAN MP-UPD.PgP1 (L21B)
[wzr2hi, 25.05.2020] Added 7.505.751.495 for US-CAN MP-UPD.PgP1 (L21B)
[wzr2hi, 25.05.2020] Added 7.505.751.496 for US-CAN MP-UPD.PgP1 (L21B)
[wzr2hi, 07.09.2020] Added 7.505.751.530 for MY21-SOP.PgP1 (L42N)
[wzr2hi, 07.09.2020] Added 7.505.751.531 for MY21-SOP.PgP1 (L42N)
[wzr2hi, 14.06.2021] Added 7.505.751.168 for MY23.PreProd32.PgP1 (L42P)
[wzr2hi, 14.06.2021] Added 7.505.751.169 for MY23.PreProd32.PgP1 (L42P)
[wzr2hi, 22.02.2022] Added 7.505.751.856 for MY23.PreProd32.PgP1 (L42P)
[wzr2hi, 22.02.2022] Added 7.505.751.857 for MY23.PreProd32.PgP1 (L42P)
[wzr2hi, 13.10.2022] Added 7.505.751.940 for MY23.MP.PgP1 (L42P)
[wzr2hi, 13.10.2022] Added 7.505.751.941 for MY23.MP.PgP1 (L42P)
[wzr2hi, 07.11.2022] Added 7.505.751.895 for MY23.SOP.PgP1 (L42P)
[wzr2hi, 07.02.2023] Added 7.505.751.896 for MY23.SOP.PgP1 (L42P)</t>
  </si>
  <si>
    <t>7.500.750.845-01,
7.500.750.846-01,
7.505.750.994-01,
7.505.750.995-01,
7.505.750.998-01,
7.505.751.009-01,
7.505.750.995-02,
7.505.751.151-01,
7.505.751.152-01,
7.505.750.995-03,
7.505.750.994-02,
7.505.750.806-91,
7.505.750.801-91,
7.505.750.898-91,
7.505.750.899-91,
7.505.751.168-01,
7.505.751.169-01,
7.505.750.995-04,
7.505.750.994-03,
7.505.750.994,
7.505.750.995,
7.505.751.275,
7.505.751.276,
7.505.751.151,
7.505.751.152,
7.505.751.306,
7.505.751.307,
7.505.751.407,
7.505.751.408,
7.505.751.495,
7.505.751.496,
7.505.751.530,
7.505.751.531,
7.505.751.168,
7.505.751.169,
7.505.751.856,
7.505.751.857,
7.505.751.940,
7.505.751.941,
7.505.751.895,
7.505.751.896</t>
  </si>
  <si>
    <t>[wzr2hi, 08.01.2018] Added 7.505.750.821 for PreProd9.2.PgP1
[wzr2hi, 08.01.2018] Added 7.505.750.834 for PreProd9.2.PgP1
[wzr2hi, 11.01.2018] Added 7.503.750.839-01 for TSB9.2.BrgP =&gt; [wzr2hi, 23.04.2018] Now TSB17.BrgP
[wzr2hi, 11.01.2018] Added 7.503.750.840-01 for TSB9.2.BrgP =&gt; [wzr2hi, 26.06.2018] Now TSB11.BrgP (P13A)
[wzr2hi, 13.03.2018] Added 7.505.750.997 for PreProd12.2.PgP1 (P32R)
[wzr2hi, 21.03.2018] Added 7.505.750.822-04 for TSB13.4.PgP1
[wzr2hi, 25.04.2018] Added 7.507.750.815 for PP2.RBAW
[wzr2hi, 25.04.2018] Added 7.507.750.816 for PP2.RBAW
[wzr2hi, 13.06.2018] Added 7.505.751.102-01 for TSB15.3.PgP1 (H60A)
[wzr2hi, 13.06.2018] Added 7.505.750.822-05 for TSB15.3.PgP1
[wzr2hi, 30.07.2018] Added 7.505.751.113-01 for TSB15.1a.PgP1 (H60A)
[wzr2hi, 24.08.2018] Added 7.503.750.898 for PreProd7.BrgP (B12P)
[wzr2hi, 17.09.2018] Added 7.505.751.102-79 for fake of 7.505.751.167-01 based on 7.505.751.102-01
[wzr2hi, 17.09.2018] Added 7.505.751.167-01 forTSB16.PgP1 (P60A)
[wzr2hi, 05.10.2018] Added 7.505.751.033 for PrePro17.PgP1 (P32R)
[wzr2hi, 08.11.2018] Added 7.505.751.170 for PreProd18.PgP1 (H60A)
[wzr2hi, 24.01.2018] Added 7.503.751.219 for PreProd10.1.BrgP (P13A)
[wzr2hi, 14.02.2019] Added 7.505.751.294 for MP.PgP1 (H60A)
[wzr2hi, 11.03.2019] Added 7.505.751.308 for MP.PgP1 (H60A)
[wzr2hi, 04.04.2019] Added 7.505.751.343 for ASEAN.QLU1.PgP1 (P32R)
[wzr2hi, 05.04.2019] Added 7.505.751.167 for PreProd20.1a.PgP1 (P60A)
[wzr2hi, 24.04.2019] Added 7.507.750.825 for SOP.RBAW (L21B)
[wzr2hi, 26.04.2019] Added 7.507.750.821 for PreProd2.RBAW (L42P)
[wzr2hi, 09.05.2019] Added 7.505.751.349 for PreProd20.1a.PgP1 (P60A)
[wzr2hi, 28.05.2019] Added 7.503.751.270 for QLU0.5.BrgP (B12P)
[wzr2hi, 03.07.2019] Added 7.503.751.277 for PreProd11.BrgP (P13A)
[wzr2hi, 30.09.2019] Added 7.503.751.383 for QLU1.BrgP (B12P)
[wzr2hi, 02.12.2019] Added 7.507.750.827 for QLU2.RBAW (L42P)
[wzr2hi, 04.02.2020] Added 7.505.751.309 for ASEAN.QLU1.PgP1 (H60A)
[wzr2hi, 21.02.2020] Added 7.505.751.347 for QLU1.PgP1 (H60A SWC)
[wzr2hi, 25.03.2020] Added 7.507.750.828 for QLU2.RBAW (L42P)
[wzr2hi, 25.03.2020] Added 7.507.750.829 for QLU2.RBAW (L21B)
[wzr2hi, 19.06.2020] Added 7.505.751.507 for PreProd30.PgP1 (B12P)
[wzr2hi, 08.07.2020] Added 7.503.751.401 for MY21-SOP.BrgP (P13A)
[wzr2hi, 04.09.2020] Added 7.505.751.534 for SOP-UPD.PgP1 (P60A)
[wzr2hi, 23.09.2020] Added 7.505.751.549 for SOP.PgP1 (H60A LCP)
[wzr2hi, 14.06.2021] Added 7.505.751.786 for MY23.PreProd32.PgP1 (L42P)
[mkr2hi, 31.08.2021] Added 7.505.751.783 for MP-UPD.PgP1 (H60A LCP)
[wzr2hi, 08.12.2021] Added 7.503.751.672 for QLU2.0.BrgP (B12P)
[wzr2hi, 08.12.2021] Added 7.503.751.660 for QLU2.BrgP (P13A)
[wzr2hi, 22.02.2022] Added 7.505.751.859 for MY23.PreProd32.PgP1 (L42P)
[wzr2hi, 25.04.2022] Added 7.505.751.899 for SOP.PgP1 (L42P)
[wzr2hi, 25.04.2022] Added 7.505.751.900 for SOP.PgP1 (L21B)
[wzr2hi, 23.11.2022] Added 7.505.751.982 for MY23.SOP.PgP1 (L42P)
[wzr2hi, 31.01.2023] Added 7.503.751.868 for QLU2.5.BrgP (P13A)
[wzr2hi, 07.02.2023] Added 7.505.751.898 for MY23.SOP.PgP1 (L42P)</t>
  </si>
  <si>
    <t>7.505.750.821,
7.505.750.834,
7.503.750.839-01,
7.503.750.840-01,
7.505.750.997,
7.505.750.822-04,
7.507.750.815,
7.507.750.816,
7.505.751.102-01,
7.505.750.822-05,
7.505.751.113-01,
7.503.750.898,
7.505.751.102-79,
7.505.751.167-01,
7.505.751.033,
7.505.751.170,
7.503.751.219,
7.505.751.294,
7.505.751.308,
7.505.751.343,
7.505.751.167,
7.507.750.825,
7.507.750.821,
7.505.751.349,
7.503.751.270,
7.503.751.277,
7.503.751.383,
7.507.750.827,
7.505.751.309,
7.505.751.347,
7.507.750.828,
7.507.750.829,
7.505.751.507,
7.503.751.401,
7.505.751.534,
7.505.751.549,
7.505.751.786,
7.505.751.783,
7.503.751.672,
7.503.751.660,
7.505.751.859,
7.505.751.899,
7.505.751.900,
7.505.751.982,
7.503.751.868,
7.505.751.898</t>
  </si>
  <si>
    <t>7.515.751.962,
7.515.751.963,
7.515.752.281,
7.515.752.282,
7.515.752.338,
7.515.752.339,
7.515.752.729,
7.515.752.730,
7.515.752.581,
7.515.752.582,
7.515.752.804,
7.515.752.805</t>
  </si>
  <si>
    <t>[wzr2hi, 12.06.2020] Added 7.515.751.962 for MY21-NoHD.PgP1 (P42M)
[wzr2hi, 12.06.2020] Added 7.515.751.963 for MY21-NoHD.PgP1 (P42M)
[wzr2hi, 14.06.2021] Added 7.515.752.281 for MY22.SOP.PgP1 (P42M)
[wzr2hi, 14.06.2021] Added 7.515.752.282 for MY22.SOP.PgP1 (P42M)
[mkr2hi, 03.09.2021] Added 7.515.752.338 for MY23.SOP.PgP1 (P42M)
[mkr2hi, 03.09.2021] Added 7.515.752.339 for MY23.SOP.PgP1 (P42M)
[wzr2hi, 04.10.2022] Added 7.515.752.729 for MY23.SOP.PgP1 (P42M)
[wzr2hi, 04.10.2022] Added 7.515.752.730 for MY23.SOP.PgP1 (P42M)
[wzr2hi, 20.02.2023] Added 7.515.752.581 for MY23.SOP.PgP1 (P42M)
[wzr2hi, 18.11.2022] Added 7.515.752.582 for MY23.SOP.PgP1 (P42M)
[wzr2hi, 12.01.2022] Added 7.515.752.804 for MP.PgP1 (P42M)
[wzr2hi, 12.01.2022] Added 7.515.752.805 for MP.PgP1 (P42M)</t>
  </si>
  <si>
    <t>7.500.750.829-01,
7.500.750.830-01,
7.505.750.874-01,
7.505.750.875-01,
7.505.750.874-02,
7.505.750.875-02,
7.505.750.874-03,
7.505.750.874,
7.505.750.875,
7.505.751.251,
7.505.751.252,
7.505.751.133,
7.505.751.143,
7.505.751.351,
7.505.751.352,
7.505.751.134,
7.505.751.144,
7.505.751.528,
7.505.751.529,
7.505.751.731,
7.505.751.732,
7.505.751.790,
7.505.751.791,
7.505.751.944,
7.505.751.945,
7.505.751.877,
7.505.751.878,
7.505.751.996,
7.505.751.997</t>
  </si>
  <si>
    <t>[wzr2hi, 14.08.2017] Added 7.500.750.829-01 for DSB10.Hi
[wzr2hi, 14.08.2017] Added 7.500.750.830-01 for DSB10.Hi
[wzr2hi, 20.03.2018] Added 7.505.750.874-01 for TSB13.1.PgP1
[wzr2hi, 20.03.2018] Added 7.505.750.875-01 for TSB13.1.PgP1
[wzr2hi, 13.06.2018] Added 7.505.750.874-02 for TSB15.2.PgP1 (P42M)
[wzr2hi, 13.06.2018] Added 7.505.750.875-02 for TSB15.2.PgP1
[wzr2hi, 31.08.2018] Added 7.505.750.874-03 for TSB15.2.1.PgP1 (P42M)
[wzr2hi, 31.08.2018] Added 7.505.750.874 for PreProd16.PgP1 (P42M)
[wzr2hi, 31.08.2018] Added 7.505.750.875 for PreProd16.PgP1 (P42M)
[wzr2hi, 20.12.2018] Added 7.505.751.251 for PreProd19.PgP1 (P42M)
[wzr2hi, 20.12.2018] Added 7.505.751.252 for PreProd19.PgP1 (P42M)
[wzr2hi, 12.03.2019] Added 7.505.751.133 for ILLUCHG.PgP1 (P42M)
[wzr2hi, 12.03.2019] Added 7.505.751.143 for ILLUCHG.PgP1 (P42M)
[wzr2hi, 20.05.2019] Added 7.505.751.351 for SOP.PgP1 (QLU4) (P42M)
[wzr2hi, 20.05.2019] Added 7.505.751.352 for SOP.PgP1 (QLU4) (P42M)
[wzr2hi, 01.10.2019] Added 7.505.751.134 for QLU4.2.PgP1 (P42M)
[wzr2hi, 01.10.2019] Added 7.505.751.144 for QLU4.2.PgP1 (P42M)
[wzr2hi, 05.08.2020] Added 7.505.751.528 for SOP.PgP1 (IQS5) (P42M)
[wzr2hi, 05.08.2020] Added 7.505.751.529 for SOP.PgP1 (IQS5) (P42M)
[wzr2hi, 14.06.2021] Added 7.505.751.731 for MY22.SOP.PgP1 (P42M)
[wzr2hi, 14.06.2021] Added 7.505.751.732 for MY22.SOP.PgP1 (P42M)
[mkr2hi, 03.09.2021] Added 7.505.751.790 for MY23.SOP.PgP1 (P42M)
[mkr2hi, 03.09.2021] Added 7.505.751.791 for MY23.SOP.PgP1 (P42M)
[wzr2hi, 04.10.2022] Added 7.505.751.944 for MY23.SOP.PgP1 (P42M)
[wzr2hi, 04.10.2022] Added 7.505.751.945 for MY23.SOP.PgP1 (P42M)
[wzr2hi, 18.11.2022] Added 7.505.751.877 for MY23.SOP.PgP1 (P42M)
[wzr2hi, 20.02.2023] Added 7.505.751.878 for MY23.SOP.PgP1 (P42M)
[wzr2hi, 12.01.2022] Added 7.505.751.996 for MP.PgP1 (P42M)
[wzr2hi, 12.01.2022] Added 7.505.751.997 for MP.PgP1 (P42M)</t>
  </si>
  <si>
    <t>7.513.751.872,
7.513.751.910,
7.513.752.182,
7.515.752.826</t>
  </si>
  <si>
    <t>7.510.751.028-01,
7.510.751.028-02,
7.513.751.469-01,
7.510.751.507-01,
7.510.751.507-02,
7.513.751.469,
7.513.751.932,
7.513.752.184,
7.515.752.715,
7.515.752.828</t>
  </si>
  <si>
    <t>7.513.751.873,
7.513.751.936,
7.513.752.187,
7.515.752.830</t>
  </si>
  <si>
    <t>[wzr2hi, 11.02.2020] Added 7.513.751.874 for PP1.BrgP (P33B)
[wzr2hi, 03.11.2020] Added 7.513.751.934 for PP2.BrgP (P33B)
[wzr2hi, 22.06.2021] Added 7.513.752.189 for SOP2.BrgP (P33B)
[wzr2hi, 21.02.2022] Added 7.515.752.832 for SOP.PgP1 (P33B)</t>
  </si>
  <si>
    <t>7.513.751.874,
7.513.751.934,
7.513.752.189,
7.515.752.832</t>
  </si>
  <si>
    <t>7.510.751.515-01,
7.513.751.525-01,
7.513.751.525,
7.513.751.935,
7.513.752.191,
7.515.752.833</t>
  </si>
  <si>
    <t>7.510.751.021-01,
7.510.751.023-01,
7.510.751.021-02,
7.510.751.325-01,
7.515.751.471-01,
7.515.751.471-02,
7.513.751.459-01,
7.515.751.471,
7.513.751.706,
7.513.751.459,
7.513.751.908,
7.513.751.938,
7.515.752.534-01,
7.515.752.834</t>
  </si>
  <si>
    <t>7.510.751.514-01,
7.513.751.524-01,
7.513.751.524,
7.513.751.909,
7.513.751.939,
7.515.752.835</t>
  </si>
  <si>
    <t>[wzr2hi, 01.06.2018] Added 7.510.751.021-01 for DSB1.MFI1-COSE
[wzr2hi, 01.06.2018] Added 7.510.751.023-01 for DSB1.MFI1-COSE
[wzr2hi, 17.10.2018] Added 7.510.751.021-02 for DSB2.1.Hi (P33A)
[wzr2hi, 04.04.2019] Added 7.510.751.325-01 for DSB2.2.MFI1-COSE (P33B)
[wzr2hi, 24.04.2019] Added 7.515.751.471-01 for TSB1.2.PgP1 (P33A)
[wzr2hi, 06.05.2019] Added 7.515.751.471-02 for TSB2.PgP1 (P33A)
[wzr2hi, 07.05.2019] Added 7.513.751.459-01 for TSB1.BrgP (P33B)
[wzr2hi, 27.08.2019] Added 7.515.751.471 for PreProd1.PgP1 (P33A)
[wzr2hi, 11.02.2020] Added 7.513.751.706 for PP1.BrgP (P33B)
[wzr2hi, 11.02.2020] Added 7.513.751.459 for PP1.BrgP (P33B)
[wzr2hi, 03.11.2020] Added 7.513.751.908 for PP2.BrgP (P33B)
[wzr2hi, 04.02.2021] Added 7.513.751.938 for SOP.BrgP (P33B)
[wzr2hi, 23.02.2022] Added 7.515.752.534-01 for LSR.DSB1.PgP1 (P33AB)
[wzr2hi, 21.02.2023] Added 7.515.752.834 for SOP.PgP1 (P33B)</t>
  </si>
  <si>
    <t>[wzr2hi, 17.10.2018] Added 7.510.751.028-01 for DSB2.1.Hi (P33A)
[wzr2hi, 04.04.2019] Added 7.510.751.028-02 for DSB2.2.MFI1-COSE (P33B)
[wzr2hi, 07.05.2019] Added 7.513.751.469-01 for TSB1.BrgP (P33B)
[wzr2hi, 17.06.2019] Added 7.510.751.507-01 for DSB3.0.HI (P42R)
[wzr2hi, 14.06.2019] Added 7.510.751.507-02 for DSB3.2.HI (P42R)
[wzr2hi, 11.02.2020] Added 7.513.751.469 for PP1.BrgP (P33B)
[wzr2hi, 03.11.2020] Added 7.513.751.932 for PP2.BrgP (P33B)
[wzr2hi, 06.07.2021] Added 7.513.752.184 for SOP2.BrgP (P33B)
[wzr2hi, 01.11.2022] Added 7.515.752.715 for SOP7.PgP1 (P60A)
[wzr2hi, 21.02.2023] Added 7.515.752.828 for SOP.PgP1 (P33B)</t>
  </si>
  <si>
    <t>[wzr2hi, 04.04.2019] Added 7.510.751.514-01 for DSB2.2.MFI1-COSE (P33B)
[wzr2hi, 07.05.2019] Added 7.513.751.524-01 for TSB1.BrgP (P33B)
[wzr2hi, 11.02.2020] Added 7.513.751.524 for PP1.BrgP (P33B)
[wzr2hi, 03.11.2020] Added 7.513.751.909 for PP2.BrgP (P33B)
[wzr2hi, 04.02.2021] Added 7.513.751.939 for SOP.BrgP (P33B)
[wzr2hi, 21.02.2023] Added 7.515.752.835 for SOP.PgP1 (P33B)</t>
  </si>
  <si>
    <t>[wzr2hi, 04.04.2019] Added 7.510.751.515-01 for DSB2.2.MFI1-COSE (P33B)
[wzr2hi, 07.05.2019] Added 7.513.751.525-01 for TSB1.BrgP (P33B)
[wzr2hi, 11.02.2020] Added 7.513.751.525 for PP1.BrgP (P33B)
[wzr2hi, 03.11.2020] Added 7.513.751.935 for PP2.BrgP (P33B)
[wzr2hi, 22.06.2021] Added 7.513.752.191 for SOP2.BrgP (P33B)
[wzr2hi, 21.02.2023] Added 7.515.752.833 for SOP.PgP1 (P33B)</t>
  </si>
  <si>
    <t>[wzr2hi, 11.02.2020] Added 7.513.751.872 for PP1.BrgP (P33B)
[wzr2hi, 03.11.2020] Added 7.513.751.910 for PP2.BrgP (P33B)
[wzr2hi, 22.06.2021] Added 7.513.752.182 for SOP2.BrgP (P33B)
[wzr2hi, 21.02.2023] Added 7.515.752.826 for SOP.PgP1 (P33B)</t>
  </si>
  <si>
    <t>[wzr2hi, 11.02.2020] Added 7.513.751.873 for PP1.BrgP (P33B)
[wzr2hi, 03.11.2020] Added 7.513.751.936 for PP2.BrgP (P33B)
[wzr2hi, 06.07.2021] Added 7.513.752.187 for SOP2.BrgP (P33B)
[wzr2hi, 21.02.2023] Added 7.515.752.830 for SOP.PgP1 (P33B)</t>
  </si>
  <si>
    <t>7.505.750.965-05,
7.505.750.962-06,
7.505.750.962-07,
7.505.750.962-08,
7.505.750.962,
7.505.750.963-06,
7.505.750.963-07,
7.505.750.963,
7.505.750.965-06,
7.505.750.965-07,
7.505.750.965,
7.505.751.337,
7.505.751.338,
7.505.751.339,
7.505.751.089,
7.505.751.463,
7.505.751.464,
7.505.751.650,
7.505.751.595,
7.505.751.596,
7.505.751.713,
7.505.751.655,
7.505.751.656,
7.505.751.882,
7.505.751.886,
7.505.751.891,
7.505.751.963</t>
  </si>
  <si>
    <t>[wzr2hi, 01.12.2017] Added 7.505.750.965-05 for TSB1.PgP1 (C-Sample)
[wzr2hi, 05.04.2018] Added 7.505.750.962-06 for TSB2.PgP1 (C2-Sample)
[wzr2hi, 05.04.2018] Added 7.505.750.962-07 for TSB3.PgP1 (C3-Sample)
[wzr2hi, 16.08.2018] Added 7.505.750.962-08 for TSB4.PgP1 (C4-Sample)
[wzr2hi, 22.10.2018] Added 7.505.750.962 for PreProd1.PgP1
[wzr2hi, 05.04.2018] Added 7.505.750.963-06 for TSB2.PgP1 (C2-Sample)
[wzr2hi, 05.04.2018] Added 7.505.750.963-07 for TSB3.PgP1 (C3-Sample)
[wzr2hi, 22.10.2018] Added 7.505.750.963 for PreProd1.PgP1
[wzr2hi, 05.04.2018] Added 7.505.750.965-06 for TSB2.PgP1 (C2-Sample)
[wzr2hi, 05.04.2018] Added 7.505.750.965-07 for TSB3.PgP1 (C3-Sample)
[wzr2hi, 22.10.2018] Added 7.505.750.965 for PreProd1.PgP1
[wzr2hi, 23.08.2019] Added 7.505.751.337 for QLU1.PgP1
[wzr2hi, 23.08.2019] Added 7.505.751.338 for QLU1.PgP1
[wzr2hi, 23.08.2019] Added 7.505.751.339 for QLU1.PgP1
[wzr2hi, 10.01.2020] Added 7.505.751.089 for QLU1st.PgP1 (P71A)
[wzr2hi, 05.08.2020] Added 7.505.751.463 for MY21-ASEAN/GCC.PgP1
[wzr2hi, 16.10.2020] Added 7.505.751.464 for MY22.SOP.PgP1
[wzr2hi, 15.01.2021] Added 7.505.751.650 for MY22.SOP.PgP1
[wzr2hi, 12.03.2021] Added 7.505.751.595 for FIX-CAPS-PCB.PgP1
[wzr2hi, 12.03.2021] Added 7.505.751.596 for FIX-CAPS-PCB.PgP1
[wzr2hi, 12.03.2021] Added 7.505.751.713 for FIX-CAPS-PCB.PgP1
[wzr2hi, 15.04.2021] Added 7.505.751.655 for MY22.PT1.PgP1 (N71A)
[wzr2hi, 21.05.2021] Added 7.505.751.656 for UPT-SOP.PgP1 (TBD)
[wzr2hi, 14.03.2022] Added 7.505.751.882 for MY22.SOP.PgP1 (L53H)
[wzr2hi, 14.07.2022] Added 7.505.751.886 for QLU.PgP1 (TBD)
[wzr2hi, 21.09.2022] Added 7.505.751.891 for QLU.PgP1 (TBD)
[wzr2hi, 10.03.2023] Added 7.505.751.963 for QLU4.PgP1 (L53H)</t>
  </si>
  <si>
    <t>Mitsubishi Scope 3.1 Gen4 DA-Mid MEX(NO) (SBR AM/FM)</t>
  </si>
  <si>
    <t>0.000.000.000-46</t>
  </si>
  <si>
    <t>[wzr2hi, 29.03.2023] Added 0.000.000.000-46 as PlaceholderBuild.PlaceholderPlant (TBC)</t>
  </si>
  <si>
    <t>031711 (M3_V1.3_CS_EF)</t>
  </si>
  <si>
    <r>
      <t xml:space="preserve">Mitsubishi Scope 3.1 Gen4 DA-Mid </t>
    </r>
    <r>
      <rPr>
        <sz val="10"/>
        <color theme="1"/>
        <rFont val="Arial"/>
        <family val="2"/>
      </rPr>
      <t>EUR/UKR(NO) (SBR DAB)</t>
    </r>
  </si>
  <si>
    <r>
      <t xml:space="preserve">Mitsubishi Scope 3.1 Gen4 DA-Mid </t>
    </r>
    <r>
      <rPr>
        <b/>
        <sz val="10"/>
        <color rgb="FF7030A0"/>
        <rFont val="Arial"/>
        <family val="2"/>
      </rPr>
      <t>GOM1:</t>
    </r>
    <r>
      <rPr>
        <sz val="10"/>
        <color theme="1"/>
        <rFont val="Arial"/>
        <family val="2"/>
      </rPr>
      <t>ASEAN-A/ASEAN-B/LAC(NO) (SBR AM/FM)</t>
    </r>
  </si>
  <si>
    <t>0.000.000.000-47</t>
  </si>
  <si>
    <t>[wzr2hi, 29.03.2023] Added 0.000.000.000-47 as PlaceholderBuild.PlaceholderPlant (TBC)</t>
  </si>
  <si>
    <t>0.000.000.000-49</t>
  </si>
  <si>
    <t>[wzr2hi, 29.03.2023] Added 0.000.000.000-49 as PlaceholderBuild.PlaceholderPlant (TBC)</t>
  </si>
  <si>
    <t>0.000.000.000-50</t>
  </si>
  <si>
    <t>[wzr2hi, 29.03.2023] Added 0.000.000.000-50 as PlaceholderBuild.PlaceholderPlant (TBC)</t>
  </si>
  <si>
    <t>0.000.000.000-51</t>
  </si>
  <si>
    <t>[wzr2hi, 29.03.2023] Added 0.000.000.000-51 as PlaceholderBuild.PlaceholderPlant (TBC)</t>
  </si>
  <si>
    <t>0.000.000.000-52</t>
  </si>
  <si>
    <t>[wzr2hi, 29.03.2023] Added 0.000.000.000-52 as PlaceholderBuild.PlaceholderPlant (TBC)</t>
  </si>
  <si>
    <t>0.000.000.000-53</t>
  </si>
  <si>
    <t>[wzr2hi, 29.03.2023] Added 0.000.000.000-53 as PlaceholderBuild.PlaceholderPlant (TBC)</t>
  </si>
  <si>
    <t>7.505.751.985-01</t>
  </si>
  <si>
    <t>[wzr2hi, 28.03.2023] Added 7.505.751.985-01 for TSB1.PgP1</t>
  </si>
  <si>
    <t>7.505.751.983-01</t>
  </si>
  <si>
    <t>[wzr2hi, 28.03.2023] Added 7.505.751.983-01 for TSB1.PgP1</t>
  </si>
  <si>
    <t>7.505.751.984-01</t>
  </si>
  <si>
    <t>[wzr2hi, 28.03.2023] Added 7.505.751.984-01 for TSB1.PgP1</t>
  </si>
  <si>
    <t>7.515.752.778-01</t>
  </si>
  <si>
    <t>[wzr2hi, 28.03.2023] Added 7.515.752.778-01 for TSB1.PgP1</t>
  </si>
  <si>
    <t>7.515.752.777-01</t>
  </si>
  <si>
    <t>[wzr2hi, 28.03.2023] Added 7.515.752.777-01 for TSB1.PgP1</t>
  </si>
  <si>
    <t>7.515.752.779-01</t>
  </si>
  <si>
    <t>[wzr2hi, 28.03.2023] Added 7.515.752.779-01 for TSB1.PgP1</t>
  </si>
  <si>
    <t>7.515.752.780-01</t>
  </si>
  <si>
    <t>[wzr2hi, 28.03.2023] Added 7.515.752.780-01 for TSB1.PgP1</t>
  </si>
  <si>
    <t>7.515.752.781-01</t>
  </si>
  <si>
    <t>[wzr2hi, 28.03.2023] Added 7.515.752.781-01 for TSB1.PgP1</t>
  </si>
  <si>
    <t>7.515.752.782-01</t>
  </si>
  <si>
    <t>[wzr2hi, 28.03.2023] Added 7.515.752.782-01 for TSB1.PgP1</t>
  </si>
  <si>
    <t>7.515.752.783-01</t>
  </si>
  <si>
    <t>[wzr2hi, 28.03.2023] Added 7.515.752.783-01 for TSB1.PgP1</t>
  </si>
  <si>
    <t>7.515.752.784-01</t>
  </si>
  <si>
    <t>[wzr2hi, 28.03.2023] Added 7.515.752.784-01 for TSB1.PgP1</t>
  </si>
  <si>
    <r>
      <t>Mitsubishi Scope 3.1 Gen4 DA-Mid EUR/</t>
    </r>
    <r>
      <rPr>
        <sz val="10"/>
        <color rgb="FFFF0000"/>
        <rFont val="Arial"/>
        <family val="2"/>
      </rPr>
      <t>UKR</t>
    </r>
    <r>
      <rPr>
        <sz val="10"/>
        <color theme="1"/>
        <rFont val="Arial"/>
        <family val="2"/>
      </rPr>
      <t>(NO) (SBR DAB)</t>
    </r>
  </si>
  <si>
    <t>[wzr2hi, 29.09.2022] Added 7.505.751.947-01 for TSB2.PgP1 (this FCID should not be used anymore due to SDB setting)</t>
  </si>
  <si>
    <t>7.515.752.731-01,
7.515.752.731-02</t>
  </si>
  <si>
    <t>[wzr2hi, 29.09.2022] Added 7.515.752.731-01 for TSB2.PgP1
[wzr2hi, 28.03.2023] Added 7.515.752.731-02 for TSB1.PgP1</t>
  </si>
  <si>
    <t>7.505.751.946-01,
7.505.751.946-02,
7.505.751.986-01,
7.505.751.946-03,
7.505.751.986-02</t>
  </si>
  <si>
    <t>[wzr2hi, 29.09.2022] Added 7.505.751.946-01 for CSB2.PgP1
[wzr2hi, 01.12.2022] Added 7.505.751.946-02 for TSB1.PgP1
[wzr2hi, 01.12.2022] Added 7.505.751.986-01 for TSB1.PgP1
[wzr2hi, 03.04.2023] Added 7.505.751.946-03 for TSB1.PgP1
[wzr2hi, 03.04.2023] Added 7.505.751.986-02 for TSB1.PgP1</t>
  </si>
  <si>
    <t>[wzr2hi, 18.03.2019] Added 7.505.751.206-01 for TSB1.PgP1 (this FCID should not be used anymore due to SDB setting)</t>
  </si>
  <si>
    <t>Dummy Entries which might be needed in the future. Should only be introduced if really likely</t>
  </si>
  <si>
    <t>AIVIA-8818, AIVIA-8819</t>
  </si>
  <si>
    <t>AIVIA-8820</t>
  </si>
  <si>
    <t>AIVIA-8821</t>
  </si>
  <si>
    <t>AIVIA-8802, AIVIA-8803, AIVIA-8804, AIVIA-8805, AIVIA-8807, AIVIA-8822</t>
  </si>
  <si>
    <t>AIVIA-8823, AIVIA-8824</t>
  </si>
  <si>
    <t>AIVIA-8825</t>
  </si>
  <si>
    <t>AIVIA-8826</t>
  </si>
  <si>
    <t>AIVIA-8774, AIVIA-8827</t>
  </si>
  <si>
    <t>AIVIA-8828</t>
  </si>
  <si>
    <t>AIVIA-8829</t>
  </si>
  <si>
    <t>AIVIA-8830, AIVIA-8831</t>
  </si>
  <si>
    <t>AIVIA-8832</t>
  </si>
  <si>
    <t>AIVIA-8834</t>
  </si>
  <si>
    <t>AIVIA-8833, AIVIA-8835</t>
  </si>
  <si>
    <t>AIVIA-8801, AIVIA-8811, AIVIA-8836</t>
  </si>
  <si>
    <t>AIVIA-8790, AIVIA-8791, AIVIA-8837</t>
  </si>
  <si>
    <t>AIVIA-8793, AIVIA-8794, AIVIA-8795, AIVIA-8797, AIVIA-8838</t>
  </si>
  <si>
    <t>AIVIA-8839</t>
  </si>
  <si>
    <t>AIVIA-8840</t>
  </si>
  <si>
    <t>AIVIA-8841</t>
  </si>
  <si>
    <t>AIVIA-8842</t>
  </si>
  <si>
    <t>AIVIA-8843</t>
  </si>
  <si>
    <t>AIVIA-8844</t>
  </si>
  <si>
    <t>AIVIA-8845</t>
  </si>
  <si>
    <t>AIVIA-8846</t>
  </si>
  <si>
    <t>7.515.751.767-02,
7.515.751.767,
7.515.752.116,
7.515.752.157,
7.515.752.371,
7.515.752.297,
7.515.752.618,
7.515.752.865</t>
  </si>
  <si>
    <t>[wzr2hi, 19.03.2019] Added 7.515.751.767-02 for TSB3.PgP1 (TBD)
[wzr2hi, 22.07.2020] Added 7.515.751.767 for PreProd2.PgP1 (TBD)
[wzr2hi, 09.12.2020] Added 7.515.752.116 for MP.PgP1 (TBD)
[wzr2hi, 18.01.2021] Added 7.515.752.157 for MP.PgP1 (TBD)
[wzr2hi, 07.02.2022] Added 7.515.752.371 for MY23.PgP1 (TBD)
[wzr2hi, 26.01.2023] Added 7.515.752.297 for MY23.QLU4.PgP1 (TBD)
[wzr2hi, 30.01.2023] Added 7.515.752.618 for MY23.QLU4.PgP1 (TBD)
[wzr2hi, 17.04.2023] Added 7.515.752.865 for QLU4.1.PgP1 (TBD)</t>
  </si>
  <si>
    <t>AIVIA-8747, AIVIA-8749, AIVIA-8770, AIVIA-8785, AIVIA-8786, AIVIA-8810, AIVIA-8848</t>
  </si>
  <si>
    <t>AIVIA-8849</t>
  </si>
  <si>
    <t>AIVIA-8850</t>
  </si>
  <si>
    <t>[wzr2hi, 19.03.2019] Added 7.515.751.700-02 for TSB3.PgP1 (TBD)
[wzr2hi, 22.07.2020] Added 7.515.751.700 for PreProd2.PgP1 (TBD)
[wzr2hi, 09.12.2020] Added 7.515.752.103 for MP.PgP1 (TBD)
[wzr2hi, 09.12.2020] Added 7.515.752.114 for MP.PgP1 (TBD)
[wzr2hi, 18.03.2021] Added 7.515.752.164 for PreProd3.PgP1 (P42Q)
[wzr2hi, 22.04.2021] Added 7.515.752.295 for PreProd3.PgP1 (P42Q) (N61G)
[wzr2hi, 07.12.2021] Added 7.515.752.403 for SOP.PgP1 (TBD)
[wzr2hi, 03.05.2023] Added 7.515.752.478 for QLU4.1.PgP1 (TBD)</t>
  </si>
  <si>
    <t>7.515.751.700-02,
7.515.751.700,
7.515.752.103,
7.515.752.114,
7.515.752.164,
7.515.752.295,
7.515.752.403,
7.515.752.478</t>
  </si>
  <si>
    <t>[wzr2hi, 19.03.2019] Added 7.515.751.702-02 for TSB3.PgP1 (TBD)
[wzr2hi, 22.07.2020] Added 7.515.751.702 for PreProd2.PgP1 (TBD)
[wzr2hi, 09.12.2020] Added 7.515.752.117 for MP.PgP1 (TBD)
[wzr2hi, 15.01.2021] Added 7.515.752.158 for PreProd2-UPD.PgP1 (P42Q)
[wzr2hi, 18.03.2021] Added 7.515.752.222 for PreProd3.PgP1 (P42Q)
[wzr2hi, 22.04.2021] Added 7.515.752.298 for PreProd3.PgP1 (P42Q) (N61G)
[wzr2hi, 07.12.2021] Added 7.515.752.406 for SOP.PgP1 (TBD)
[wzr2hi, 03.05.2023] Added 7.515.752.479 for QLU4.1.PgP1 (TBD)</t>
  </si>
  <si>
    <t>7.515.751.702-02,
7.515.751.702,
7.515.752.117,
7.515.752.158,
7.515.752.222,
7.515.752.298,
7.515.752.406,
7.515.752.479</t>
  </si>
  <si>
    <t>7.513.750.807-03,
7.513.751.157-01,
7.513.751.157,
7.513.751.543,
7.515.751.687,
7.513.751.687,
7.513.751.813,
7.513.751.814,
7.515.751.569,
7.513.752.151,
7.513.752.169,
7.515.752.271,
7.513.752.424,
7.513.752.477,
7.515.752.653,
7.513.752.635,
7.515.752.679,
7.515.752.791,
7.513.752.652,
7.513.752.653,
7.515.752.866</t>
  </si>
  <si>
    <t>[wzr2hi, 25.04.2018] Added 7.513.750.807-03 for TSB2.BrgP (V4/V5 SBX)
[wzr2hi, 06.09.2018] Added 7.513.751.157-01 for TSB2.BrgP (V4/V5 SBX)
[wzr2hi, 13.02.2019] Added 7.513.751.157 for PreProdBis.BrgP (V4/V5 SBX)
[wzr2hi, 05.04.2019] Added 7.513.751.543 for PreProd2.BrgP (V4/V5 SBX)
[wzr2hi, 28.10.2019] Added 7.515.751.687 for PreProd1.PgP1 (V4/V5 SBX) (LJL)
[wzr2hi, 16.01.2020] Added 7.513.751.687 for PPC-SOP.BrgP (V4/V5 SBX) (HJB PHEV)
[wzr2hi, 17.01.2020] Added 7.513.751.813 for QLU0.1.BrgP (V4/V5 SBX) (JFC B10 XFD XFB)
[wzr2hi, 04.05.2020] Added 7.513.751.814 for SOP.BrgP (V4/V5 SBX) (X07EV)
[wzr2hi, 27.05.2020] Added 7.515.751.569 for QLU0.1.PgP1 (V4/V5 SBX)
[wzr2hi, 01.03.2021] Added 7.513.752.151 for QLU0.4.BrgP (V4/V5 SBX)
[wzr2hi, 09.04.2021] Added 7.513.752.169 for PP4.BrgP ( V4/V5 SBX)
[wzr2hi, 14.07.2021] Added 7.515.752.271 for MZK-HW-PSW.PgP1 (V4/V5 SBX)
[wzr2hi, 17.06.2022] Added 7.513.752.424 for SOP.BrgP (V4/V5 SBX) (LSR)
[wzr2hi, 08.07.2022] Added 7.513.752.477 for SOP.BrgP (V4/V5 SBX)
[wzr2hi, 11.07.2022] Added 7.515.752.653 for SOP.PgP1 (V4/V5 SBX)
[mkr2hi, 25.08.2022] Added 7.513.752.635 for SOP.BrgP (ST3.5 SBX)
[mkr2hi, 25.08.2022] Added 7.515.752.679 for SOP.PgP1 (ST3.5 SBX)
[wzr2hi, 15.12.2022] Added 7.515.752.791 for PP5.PgP1 (V4/V5 SBX)
[wzr2hi, 15.12.2022] Added 7.513.752.652 for PP6.BrgP (V4/V5 SBX)
[wzr2hi, 15.12.2022] Added 7.513.752.653 for PP7.BrgP (V4/V5 SBX) (LSR)
[wzr2hi, 15.05.2023] Added 7.515.752.866 for QLU10b.BrgP (V4/V5 SBX)</t>
  </si>
  <si>
    <t>[wzr2hi, 30.07.2018] Added 7.515.751.163-01 for TSB15.1a.PgP1 (L42N)
[wzr2hi, 30.07.2018] Added 7.515.751.167-01 for TSB15.1a.PgP1 (L21B)
[wzr2hi, 10.08.2018] Added 7.515.750.823-91 for Reflash (L42P PT1) ST2.1 fake based on ST2.0 7.515.750.823-03
[wzr2hi, 10.08.2018] Added 7.515.750.875-91 for Reflash (L42N PT1) ST2.1 fake based on ST2.0 7.515.750.875-01
[wzr2hi, 21.08.2018] Added 7.515.751.222-01 for TSB15.1a.PgP1 (L42P)
[wzr2hi, 23.10.2018] Added 7.515.750.986-02 for TSB17.PgP1 (L21B)
[wzr2hi, 20.11.2018] Added 7.515.750.986 for PreProd19.2.PgP1 (L21B)
[wzr2hi, 05.04.2019] Added 7.515.751.445 for PreProd20.1b.PgP1 (L21B)
[wzr2hi, 22.08.2019] Added 7.515.751.163 for PreProd21b.PgP1 (L42N)
[wzr2hi, 05.09.2019] Added 7.515.751.708 for PreProd24b.PgP1 (H60A)
[wzr2hi, 12.09.2019] Added 7.515.751.535 for PreProd21.PgP1 (L21B)
[wzr2hi, 28.11.2019] Added 7.515.751.624 for SOP.PgP1 (L21B)
[wzr2hi, 29.11.2019] Added 7.515.751.788 for PreProd26b.BrgP (P32R)
[wzr2hi, 10.03.2021] Added 7.515.752.225 for MY22-SOP.PgP1 (L21B)
[wzr2hi, 29.07.2021] Added 7.515.752.365 for MY21.SOP.PgP1 (L21B)
[wzr2hi, 05.06.2023] Added 7.515.752.880 for MP.PgP1 (L21B]</t>
  </si>
  <si>
    <t>7.515.751.163-01,
7.515.751.167-01,
7.515.750.823-91,
7.515.750.875-91,
7.515.751.222-01,
7.515.750.986-02,
7.515.750.986,
7.515.751.445,
7.515.751.163,
7.515.751.708,
7.515.751.535,
7.515.751.624,
7.515.751.788,
7.515.752.225,
7.515.752.365,
7.515.752.880</t>
  </si>
  <si>
    <t>[wzr2hi, 01.12.2017] Added 7.515.750.921-05 for TSB1.PgP1 (C-Sample)
[wzr2hi, 05.04.2018] Added 7.515.750.921-06 for TSB2.PgP1 (C2-Sample)
[wzr2hi, 05.04.2018] Added 7.515.750.921-07 for TSB3.PgP1 (C3-Sample)
[wzr2hi, 22.10.2018] Added 7.515.750.921 for PreProd1.PgP1
[wzr2hi, 23.08.2019] Added 7.515.751.551 for QLU1.PgP1
[wzr2hi, 16.12.2019] Added 7.515.751.855 for SOP.PgP1 (N61G)
[wzr2hi, 05.03.2020] Added 7.515.751.858 for SOP3rd.PgP1
[wzr2hi, 15.01.2021] Added 7.515.752.137 for MY22.SOP.PgP1
[wzr2hi, 25.01.2021] Added 7.515.752.142 for MP-UPD.PgP1
[wzr2hi, 12.03.2021] Added 7.515.752.048 for FIX-CAPS-PCB.PgP1
[wzr2hi, 12.03.2021] Added 7.515.752.049 for FIX-CAPS-PCB.PgP1
[wzr2hi, 05.11.2021] Added 7.515.752.252 for US-CAN-MY23.PT1.PgP1 (P71A)
[wzr2hi, 01.03.2022] Added 7.515.752.458 for QLU4.PgP1 (TBD)
[wzr2hi, 02.09.2022] Added 7.515.752.468 for QLU4.1.PgP1 (TBD)
[wzr2hi, 02.09.2022] Added 7.515.752.465 for QLU4.1.PgP1 (TBD)
[wzr2hi, 21.09.2022] Added 7.515.752.733 for QLU5.PgP1 (TBD)
[wzr2hi, 21.09.2022] Added 7.515.752.470 for QLU5.PgP1 (TBD)
[wzr2hi, 28.06.2023] Added 7.515.752.740 for QLU6.PgP1 (TBD)
[wzr2hi, 28.06.2023] Added 7.515.752.741 for QLU6.PgP1 (TBD)</t>
  </si>
  <si>
    <t>7.515.750.921-05,
7.515.750.921-06,
7.515.750.921-07,
7.515.750.921,
7.515.751.551,
7.515.751.855,
7.515.751.858,
7.515.752.137,
7.515.752.142,
7.515.752.048,
7.515.752.049,
7.515.752.252,
7.515.752.458,
7.515.752.468,
7.515.752.465,
7.515.752.733,
7.515.752.470,
7.515.752.740,
7.515.752.741</t>
  </si>
  <si>
    <t>[wzr2hi, 30.06.2017] Added 7.500.750.955-04 for DSB2.Hi
[wzr2hi, 02.03.2018] Added 7.505.750.955-05 for TSB1.PgP1 (C-Sample)
[wzr2hi, 05.04.2018] Added 7.515.750.955-06 for TSB2.PgP1 (C2-Sample)
[wzr2hi, 05.04.2018] Added 7.515.750.955-07 for TSB3.PgP1 (C3-Sample)
[wzr2hi, 16.08.2018] Added 7.505.750.955-08 for TSB4.PgP1 (C4-Sample)
[wzr2hi, 22.10.2018] Added 7.505.750.955 for PreProd1.PgP1
[wzr2hi, 16.08.2018] Added 7.505.750.957-08 for TSB4.PgP1 (C4-Sample)
[wzr2hi, 22.10.2018] Added 7.505.750.957 for PreProd1.PgP1
[wzr2hi, 10.07.2019] Added 7.505.751.331 for SOP.PgP1
[wzr2hi, 10.07.2019] Added 7.505.751.333 for SOP.PgP1
[wzr2hi, 23.08.2019] Added 7.505.751.083 for QLU1.PgP1
[wzr2hi, 23.08.2019] Added 7.505.751.084 for QLU1.PgP1
[wzr2hi, 13.09.2019] Added 7.505.751.085 for QLU1st.PgP1
[wzr2hi, 13.09.2019] Added 7.505.751.086 for QLU1st.PgP1
[wzr2hi, 18.03.2020] Added 7.505.751.458 for 21.5MY.PgP1
[wzr2hi, 18.03.2020] Added 7.505.751.459 for 21.5MY.PgP1
[wzr2hi, 14.07.2020] Added 7.505.751.461 for US-CAN-QLU2.6.PgP1
[wzr2hi, 14.07.2020] Added 7.505.751.462 for US-CAN-QLU2.6.PgP1
[wzr2hi, 08.10.2020] Added 7.505.751.557 for US-CAN-QLU3.PgP1
[wzr2hi, 08.10.2020] Added 7.505.751.558 for US-CAN-QLU3.PgP1
[wzr2hi, 11.12.2020] Added 7.505.751.560 for US-CAN-MY22.SOP.PgP1
[wzr2hi, 11.12.2020] Added 7.505.751.561 for US-CAN-MY22.SOP.PgP1
[wzr2hi, 21.01.2021] Added 7.505.751.652 for US-CAN-MY22.SOP.PgP1 (P71A)
[wzr2hi, 21.01.2021] Added 7.505.751.653 for US-CAN-MY22.SOP.PgP1 (P71A)
[wzr2hi, 12.03.2021] Added 7.505.751.585 for FIX-CAPS-PCB.PgP1
[wzr2hi, 12.03.2021] Added 7.505.751.586 for FIX-CAPS-PCB.PgP1
[wzr2hi, 12.03.2021] Added 7.505.751.658 for FIX-CAPS-PCB.PgP1
[wzr2hi, 12.03.2021] Added 7.505.751.589 for FIX-CAPS-PCB.PgP1
[wzr2hi, 12.03.2021] Added 7.505.751.590 for FIX-CAPS-PCB.PgP1
[wzr2hi, 12.03.2021] Added 7.505.751.659 for FIX-CAPS-PCB.PgP1
[wzr2hi, 25.05.2021] Added 7.505.751.716 for US-CAN-MY22.SOP.PgP1
[wzr2hi, 25.05.2021] Added 7.505.751.717 for US-CAN-MY22.SOP.PgP1
[wzr2hi, 06.08.2021] Added 7.505.751.719 for MY22.QLU3.1.PgP1 (TBD)
[wzr2hi, 06.08.2021] Added 7.505.751.720 for MY22.QLU3.1.PgP1 (TBD)
[mkr2hi, 27.08.2021] Added 7.505.751.721 for MY22 QLU3.1.PgP1(N71A/L53H)
[mkr2hi, 27.08.2021] Added 7.505.751.722 for MY22 QLU3.1.PgP1(N71A/L53H)
[wzr2hi, 05.11.2021] Added 7.505.751.723 for US-CAN-MY23.PT1.PgP1 (P71A)
[wzr2hi, 05.11.2021] Added 7.505.751.725 for US-CAN-MY23.PT1.PgP1 (P71A)
[wzr2hi, 01.03.2022] Added 7.505.751.727 for QLU4.PgP1 (TBD)
[wzr2hi, 01.03.2022] Added 7.505.751.728 for QLU4.PgP1 (TBD)
[wzr2hi, 04.03.2022] Added 7.505.751.880 for MY23.SOP.PgP1 (L53H)
[wzr2hi, 04.03.2022] Added 7.505.751.881 for MY23.SOP.PgP1 (L53H)
[wzr2hi, 02.09.2022] Added 7.505.751.887 for QLU4.1.PgP1 (TBD)
[wzr2hi, 02.09.2022] Added 7.505.751.883 for QLU4.1.PgP1 (TBD)
[wzr2hi, 02.09.2022] Added 7.505.751.888 for QLU4.1.PgP1 (TBD)
[wzr2hi, 02.09.2022] Added 7.505.751.884 for QLU4.1.PgP1 (TBD)
[wzr2hi, 21.09.2022] Added 7.505.751.955 for QLU5.PgP1 (TBD)
[wzr2hi, 21.09.2022] Added 7.505.751.892 for QLU5.PgP1 (TBD)
[wzr2hi, 21.09.2022] Added 7.505.751.957 for QLU5.PgP1 (TBD)
[wzr2hi, 21.09.2022] Added 7.505.751.894 for QLU5.PgP1 (TBD)
[wzr2hi, 28.06.2023] Added 7.505.751.959 for QLU6.PgP1 (TBD)
[wzr2hi, 28.06.2023] Added 7.505.751.960 for QLU6.PgP1 (TBD)
[wzr2hi, 28.06.2023] Added 7.505.751.961 for QLU6.PgP1 (TBD)
[wzr2hi, 28.06.2023] Added 7.505.751.962 for QLU6.PgP1 (TBD)</t>
  </si>
  <si>
    <t>7.500.750.955-04,
7.505.750.955-05,
7.505.750.955-06,
7.505.750.955-07,
7.505.750.955-08,
7.505.750.955,
7.505.750.957-08,
7.505.750.957,
7.505.751.331,
7.505.751.333,
7.505.751.083,
7.505.751.084,
7.505.751.085,
7.505.751.086,
7.505.751.458,
7.505.751.459,
7.505.751.461,
7.505.751.462,
7.505.751.557,
7.505.751.558,
7.505.751.560,
7.505.751.561,
7.505.751.652,
7.505.751.653,
7.505.751.585,
7.505.751.586,
7.505.751.658,
7.505.751.589,
7.505.751.590,
7.505.751.659,
7.505.751.716,
7.505.751.717,
7.505.751.719,
7.505.751.720,
7.505.751.721,
7.505.751.722,
7.505.751.723,
7.505.751.725,
7.505.751.727,
7.505.751.728,
7.505.751.880,
7.505.751.881,
7.505.751.887,
7.505.751.883,
7.505.751.888,
7.505.751.884,
7.505.751.955,
7.505.751.892,
7.505.751.957,
7.505.751.894,
7.505.751.959,
7.505.751.960,
7.505.751.961,
7.505.751.962</t>
  </si>
  <si>
    <t>7.515.750.879-01,
7.515.750.880-01,
7.510.751.324-01,
7.515.751.532-01,
7.515.751.532-02,
7.515.751.532,
7.515.751.777,
7.515.751.900,
7.515.751.979,
7.515.751.956,
7.515.752.264,
7.515.752.265,
7.515.752.535-01,
7.515.752.523,
7.515.752.765,
7.515.752.815,
7.515.752.863,
7.515.752.891,
7.515.752.892</t>
  </si>
  <si>
    <t>[wzr2hi, 07.02.2018] Added 7.515.750.879-01 for TSB12.1.PgP1 =&gt; [wzr2hi, 13.06.2018] Now TSB15.3.PgP1
[wzr2hi, 07.02.2018] Added 7.515.750.880-01 for TSB12.1.PgP1
[wzr2hi, 05.03.2019] Added 7.510.751.324-01 for DSB12.MFI1-COSE (B12P)
[wzr2hi, 06.05.2019] Added 7.515.751.532-01 for TSB20.PgP1 (B12P SBX JPN)
[wzr2hi, 01.07.2019] Added 7.515.751.532-02 for TSB21.PgP1 (B12P SBX JPN)
[wzr2hi, 12.09.2019] Added 7.515.751.532 for PreProd23.PgP1 (B12P SBX JPN)
[wzr2hi, 17.12.2019] Added 7.515.751.777 for SOP.PgP1 (B12P SBX JPN)
[wzr2hi, 12.03.2020] Added 7.515.751.900 for QLU1.PgP1 (B12P SBX JPN)
[wzr2hi, 22.07.2020] Added 7.515.751.979 for MY21.PgP1 (B12P SBX JPN)
[wzr2hi, 22.07.2020] Added 7.515.751.956 for QLU2.PgP1 (B12P SBX JPN)
[wzr2hi, 25.03.2021] Added 7.515.752.264 for QLU3.MY21.PgP1 (B12P SBX JPN)
[wzr2hi, 16.11.2021] Added 7.515.752.265 for QLU4.MY21.PgP1 (B12P SBX JPN)
[wzr2hi, 23.02.2022] Added 7.515.752.535-01 for LSR.DSB1.PgP1 (B12P SBX JPN)
[wzr2hi, 16.09.2022] Added 7.515.752.523 for MY24.QLU5.PgP1 (B12P JPN)
[wzr2hi, 01.11.2022] Added 7.515.752.765 for MY24.QLU5.PgP1 (B12P JPN)
[wzr2hi, 02.03.2023] Added 7.515.752.815 for MY21.QLU5.PgP1 (B12P JPN new DTV)
[wzr2hi, 20.04.2023] Added 7.515.752.863 for MY21.QLU5.PgP1 (B12P JPN old DTV)
[wzr2hi, 18.07.2023] Added 7.515.752.891 for MP.PgP1 (B12P JPN)
[wzr2hi, 27.07.2023] Added 7.515.752.892 for MP.PgP1 (B12P JPN)</t>
  </si>
  <si>
    <t>7.513.752.767-01,
7.513.752.767</t>
  </si>
  <si>
    <t>[wzr2hi, 17.05.2023] Added 7.513.752.767-01 for TSB1.BrgP (V2)
[wzr2hi, 17.05.2023] Added 7.513.752.767 for PreProd1.BrgP (V2)</t>
  </si>
  <si>
    <t>Renault Scope 3.0 Access Nav, EN_{NAC|NAF}_DAB_EUR-TUR (USB_PHY)</t>
  </si>
  <si>
    <t>Renault Scope 3.0 Access Nav, EN_NAF_DAB_ISR (USB_PHY)</t>
  </si>
  <si>
    <t>0.000.000.000-54</t>
  </si>
  <si>
    <t>[wzr2hi, 14.08.2023] Added 0.000.000.000-54 as PlaceholderBuild.PlaceholderPlant (TBC)</t>
  </si>
  <si>
    <t>7.513.750.972-01,
7.513.750.910-01,
7.513.750.971-01,
7.513.750.983-01,
7.513.750.972-02,
7.513.750.910,
7.513.750.971,
7.513.751.045,
7.513.751.172-01,
7.513.751.174-01,
7.513.751.151,
7.513.751.152,
7.513.751.172-02,
7.513.751.174-02,
7.513.750.972,
7.513.751.442,
7.513.751.443,
7.513.751.432,
7.513.751.172,
7.513.751.174,
7.513.751.589,
7.513.751.608,
7.513.751.659,
7.513.751.726,
7.513.751.723,
7.513.751.870,
7.513.751.878,
7.513.751.886,
7.513.751.897,
7.513.751.941,
7.513.751.940,
7.513.751.942,
7.513.752.312,
7.513.752.320,
7.513.752.641,
7.513.752.657,
7.513.752.861,
7.513.752.851</t>
  </si>
  <si>
    <t>[wzr2hi, 11.01.2018] Added 7.513.750.972-01 for TSB9.2.BrgP
[wzr2hi, 21.02.2018] Added 7.513.750.910-01 for TSB10.BrgP
[wzr2hi, 21.02.2018] Added 7.513.750.971-01 for TSB10.BrgP
[wzr2hi, 21.02.2018] Added 7.513.750.983-01 for TSB10.BrgP =&gt; [wzr2hi, 23.04.2018] Now TSB11.BrgP (P13A)
[wzr2hi, 23.04.2018] Added 7.513.750.972-02 for TSB11.BrgP (P13A)
[wzr2hi, 17.05.2018] Added 7.513.750.910 for PreProd6.2.BrgP
[wzr2hi, 17.05.2018] Added 7.513.750.971 for PreProd6.2.BrgP
[wzr2hi, 16.08.2018] Added 7.513.751.045 for PreProd7.BrgP (P32S)
[wzr2hi, 21.08.2018] Added 7.513.751.172-01 for TSB12.BrgP (H60A)
[wzr2hi, 21.08.2018] Added 7.513.751.174-01 for TSB12.BrgP (U60)
[wzr2hi, 05.10.2018] Added 7.513.751.151 for PreProd8.BrgP (B12P)
[wzr2hi, 05.10.2018] Added 7.513.751.152 for PreProd8.BrgP (B12P)
[wzr2hi, 06.11.2018] Added 7.513.751.172-02 for TSB13.BrgP (H60A)
[wzr2hi, 06.11.2018] Added 7.513.751.174-02 for TSB13.BrgP (U60)  =&gt; [wzr2hi, 24.01.2019] Now TSB14.BrgP (U60)
[wzr2hi, 04.12.2018] Added 7.513.750.972 for PreProd10.BrgP (P13A)
[wzr2hi, 05.12.2018] Added 7.513.751.442 for PreProd10.BrgP (P32S) =&gt; [wzr2hi,07.03.2019] Now PreProd13.1.BrgP (P32S)
[wzr2hi, 05.12.2018] Added 7.513.751.443 for PreProd10.BrgP (P32S) =&gt; [wzr2hi,07.03.2019] Now PreProd13.1.BrgP (P32S)
[wzr2hi, 24.01.2018] Added 7.513.751.432 for PreProd10.1.BrgP (P13A)
[wzr2hi, 01.03.2019] Added 7.513.751.172 for SOP.BrgP (H60A)
[wzr2hi, 29.04.2019] Added 7.513.751.174 for PreProd14.BrgP (U60)
[wzr2hi, 28.05.2019] Added 7.513.751.589 for QLU0.5.BrgP (B12P)
[wzr2hi, 03.07.2019] Added 7.513.751.608 for PreProd11.BrgP (P13A)
[wzr2hi, 03.07.2019] Added 7.513.751.659 for PreProd11.BrgP (P13A)
[wzr2hi, 22.07.2019] Added 7.513.751.726 for QLU0.5.BrgP (H60A)
[wzr2hi, 30.09.2019] Added 7.513.751.723 for QLU1.BrgP (B12P)
[wzr2hi, 06.12.2019] Added 7.513.751.870 for QLU0.75.BrgP (B12P)
[wzr2hi, 20.02.2020] Added 7.513.751.878 for QLU1.BrgP (H60A SWC)
[wzr2hi, 08.07.2020] Added 7.513.751.886 for MY21-SOP.BrgP (P13A)
[wzr2hi, 24.09.2020] Added 7.513.751.897 for PreProd19.BrgP (P13A RPP)
[wzr2hi, 11.11.2020] Added 7.513.751.941 for QLU1.BrgP (B12P)
[wzr2hi, 13.11.2020] Added 7.513.751.940 for PreProd19.BrgP (P13A)
[wzr2hi, 10.02.2021] Added 7.513.751.942 for MY22.BrgP (B12P)
[wzr2hi, 05.10.2021] Added 7.513.752.312 fro MY21.QLU2.BrgP (P13A)
[wzr2hi, 08.12.2021] Added 7.513.752.320 for QLU2.0.BrgP (B12P)
[wzr2hi, 02.11.2022] Added 7.513.752.641 for QLU.BrgP (B12P)
[wzr2hi, 31.01.2023] Added 7.513.752.657 for QLU2.5.BrgP (P13A)
[wzr2hi, 08.08.2023] Added 7.513.752.861 for MY22.QLU.BrgP (B12P)
[mkr2hi, 28.08.2023] Added 7.513.752.851 for QLU2.6.BrgP (P13A 23MY</t>
  </si>
  <si>
    <t>7.500.750.842-01,
7.503.750.819-02,
7.503.750.838-01,
7.503.750.819-03,
7.503.750.838,
7.503.750.884-01,
7.503.750.886-01,
7.503.750.874,
7.503.750.884-02,
7.503.750.886-02,
7.503.750.819,
7.503.751.220,
7.503.750.884,
7.503.750.886,
7.503.751.268,
7.503.751.278,
7.503.751.318,
7.503.751.384,
7.503.751.381,
7.503.751.394,
7.503.751.398,
7.503.751.402,
7.503.751.420,
7.503.751.473,
7.503.751.475,
7.503.751.661,
7.503.751.674,
7.503.751.821,
7.503.751.819,
7.503.751.871,
7.503.751.870</t>
  </si>
  <si>
    <t>[wzr2hi, 22.08.2017] Added 7.500.750.842-01 for DSB9.Hi
[wzr2hi, 11.01.2018] Added 7.503.750.819-02 for TSB9.2.BrgP
[wzr2hi, 21.02.2018] Added 7.503.750.838-01 for TSB10.BrgP
[wzr2hi, 23.04.2018] Added 7.503.750.819-03 for TSB11.BrgP (P13A)
[wzr2hi, 17.05.2018] Added 7.503.750.838 for PreProd6.2.BrgP
[wzr2hi, 21.08.2018] Added 7.503.750.884-01 for TSB12.BrgP (H60A)
[wzr2hi, 21.08.2018] Added 7.503.750.886-01 for TSB12.BrgP (U60)
[wzr2hi, 05.10.2018] Added 7.503.750.874 for PreProd8.BrgP (B12P)
[wzr2hi, 06.11.2018] Added 7.503.750.884-02 for TSB13.BrgP (H60A)
[wzr2hi, 06.11.2018] Added 7.503.750.886-02 for TSB13.BrgP (U60)   =&gt; [wzr2hi, 24.01.2019] Now TSB14.BrgP (U60)
[wzr2hi, 04.12.2018] Added 7.503.750.819 for PreProd10.BrgP (P13A)
[wzr2hi, 24.01.2018] Added 7.503.751.220 for PreProd10.1.BrgP (P13A)
[wzr2hi, 01.03.2019] Added 7.503.750.884 for SOP.BrgP (H60A)
[wzr2hi, 29.04.2019] Added 7.503.750.886 for PreProd14.BrgP (U60)
[wzr2hi, 28.05.2019] Added 7.503.751.268 for QLU0.5.BrgP (B12P)
[wzr2hi, 03.07.2019] Added 7.503.751.278 for PreProd11.BrgP (P13A)
[wzr2hi, 03.07.2019] Added 7.503.751.318 for PreProd11.BrgP (P13A)
[wzr2hi, 22.07.2019] Added 7.503.751.384 for QLU0.5.BrgP (H60A)
[wzr2hi, 30.09.2019] Added 7.503.751.381 for QLU1.BrgP (B12P)
[wzr2hi, 06.12.2019] Added 7.503.751.394 for QLU0.75.BrgP (B12P)
[wzr2hi, 20.02.2020] Added 7.503.751.398 for QLU1.BrgP (H60A SWC)
[wzr2hi, 08.07.2020] Added 7.503.751.402 for MY21-SOP.BrgP (P13A)
[wzr2hi, 24.09.2020] Added 7.503.751.420 for PreProd19.BrgP (P13A RPP)
[wzr2hi, 13.11.2020] Added 7.503.751.473 for PreProd19.BrgP (P13A)
[wzr2hi, 10.02.2021] Added 7.503.751.475 for MY22.BrgP (B12P)
[wzr2hi, 05.10.2021] Added 7.503.751.661 for MY21.QLU2.BrgP (P13A)
[wzr2hi, 08.12.2021] Added 7.503.751.674 for QLU2.0.BrgP (B12P)
[wzr2hi, 02.11.2022] Added 7.503.751.821 for QLU.BrgP (B12P)
[wzr2hi, 31.01.2023] Added 7.503.751.819 for QLU2.5.BrgP (P13A)
[wzr2hi, 27.07.2023] Added 7.503.751.871 for QLU.BrgP (B12P)
[mkr2hi, 28.08.2023] Added 7.503.751.870 for QLU2.6.BrgP (P13A 23MY)</t>
  </si>
  <si>
    <t>7.513.751.526,
7.513.751.582,
7.513.751.593,
7.513.751.661,
7.513.751.602,
7.513.751.735,
7.513.751.754,
7.513.751.725,
7.513.751.890,
7.513.751.943,
7.513.752.321,
7.513.752.314,
7.513.752.642,
7.513.752.638</t>
  </si>
  <si>
    <t>[wzr2hi, 11.02.2019] Added 7.513.751.526 for PreProd10.BrgP (B12P)
[wzr2hi, 25.03.2019] Added 7.513.751.582 for PreProd13.1.BrgP (P32S)
[wzr2hi, 16.05.2019] Added 7.513.751.593 for PreProd10.2.BrgP (P13A)
[wzr2hi, 29.05.2019] Added 7.513.751.661 for QLU0.5.BrgP (B12P)
[wzr2hi, 03.07.2019] Added 7.513.751.602 for PreProd11.BrgP (P13A)
[wzr2hi, 21.08.2019] Added 7.513.751.735 for PreProd11.BrgP (P13A)(TCU)
[wzr2hi, 25.09.2019] Added 7.513.751.754 for PreProd16.BrgP (P32S)(TCU)
[wzr2hi, 30.09.2019] Added 7.513.751.725 for QLU1.BrgP (B12P)
[wzr2hi, 08.07.2020] Added 7.513.751.890 for MY21-SOP.BrgP (P13A)
[wzr2hi, 10.02.2021] Added 7.513.751.943 for MY22.BrgP (B12P)
[wzr2hi, 08.12.2021] Added 7.513.752.321 for QLU2.0.BrgP (B12P)
[wzr2hi, 08.12.2021] Added 7.513.752.314 for QLU2.BrgP (P13A)
[wzr2hi, 02.11.2022] Added 7.513.752.642 for QLU.BrgP (B12P)
[wzr2hi, 31.01.2023] Added 7.513.752.638 for QLU2.5.BrgP (P13A)
[wzr2hi, 31.01.2023] Added 7.513.752.636 for QLU2.5.BrgP (P13A)</t>
  </si>
  <si>
    <t>7.503.751.279,
7.503.751.310,
7.503.751.403,
7.503.751.474,
7.503.751.662,
7.503.751.820</t>
  </si>
  <si>
    <t>[wzr2hi, 03.05.2019] Added 7.503.751.279 for PreProd10.1.BrgP (P13A)
[wzr2hi, 03.07.2019] Added 7.503.751.310 for PreProd11.BrgP (P13A)
[wzr2hi, 08.07.2020] Added 7.503.751.403 for MY21-SOP.BrgP (P13A)
[wzr2hi, 13.11.2020] Added 7.503.751.474 for PreProd19.BrgP (P13A)
[wzr2hi, 08.12.2021] Added 7.503.751.662 for QLU2.BrgP (P13A)
[wzr2hi, 31.01.2023] Added 7.503.751.820 for QLU2.5.BrgP (P13A)</t>
  </si>
  <si>
    <t>7.500.750.891-01,
7.503.751.252-01,
7.503.751.252,
7.505.751.551,
7.503.751.467,
7.503.751.471,
7.505.751.768,
7.503.751.522,
7.505.751.839,
7.503.751.687,
7.503.751.498,
7.503.751.823,
7.503.751.824,
7.503.751.825,
7.505.751.972,
7.503.751.869,
7.505.751.863,
7.505.752.041,
7.505.752.051</t>
  </si>
  <si>
    <t>[wzr2hi, 04.04.2019] Added 7.500.750.891-01 for DSB2.2.MFI1-COSE (P33B)
[wzr2hi, 07.05.2019] Added 7.503.751.252-01 for TSB1.BrgP (P33B)
[wzr2hi, 11.02.2020] Added 7.503.751.252 for PP1.BrgP (P33B)
[wzr2hi, 01.10.2020] Added 7.505.751.551 for PreProd5.PgP1 (P33A EUR)
[wzr2hi, 03.11.2020] Added 7.503.751.467 for PP2.BrgP (P33B)
[wzr2hi, 04.02.2021] Added 7.503.751.471 for SOP.BrgP (P33B)
[wzr2hi, 17.05.2021] Added 7.505.751.768 for PreProd6.PgP1 (P33A)
[wzr2hi, 13.12.2021] Added 7.503.751.522 for PreProd3.BrgP (P33B)
[wzr2hi, 16.02.2022] Added 7.505.751.839 for PreProd6.PgP1 (P33A)
[wzr2hi, 15.03.2022] Added 7.503.751.687 for PreProd3.BrgP (P33B)
[wzr2hi, 02.06.2022] Added 7.503.751.498 for PreProd3.BrgP (P33B)
[wzr2hi, 22.11.2022] Added 7.503.751.823 for SOP5.BrgP (P33B)
[wzr2hi, 22.11.2022] Added 7.503.751.824 for SOP5.BrgP (P33B)
[wzr2hi, 22.11.2022] Added 7.503.751.825 for SOP5.BrgP (P33B)
[wzr2hi, 07.12.2022] Added 7.505.751.972 for PreProd11.PgP1 (P33A)
[wzr2hi, 20.02.2023] Added 7.503.751.869 for SOP5.BrgP (P33B)
[wzr2hi, 13.03.2023] Added 7.505.751.863 for QLU1.PgP1 (P33A)
[wzr2hi, 26.06.2023] Added 7.505.752.041 for MY24.PreProd14.PgP1 (P33A)
[wzr2hi, 21.09.2023] Added 7.505.752.051 for PreProd15.PgP1 (P33A)</t>
  </si>
  <si>
    <t>AIVIA-8851</t>
  </si>
  <si>
    <t>AIVIA-8852</t>
  </si>
  <si>
    <t>AIVIA-8853</t>
  </si>
  <si>
    <t>AIVIA-8854</t>
  </si>
  <si>
    <t>AIVIA-8855</t>
  </si>
  <si>
    <t>AIVIA-8856</t>
  </si>
  <si>
    <t>AIVIA-8857</t>
  </si>
  <si>
    <t>[wzr2hi, 10.04.2019] Added 7.510.751.519-01 for DSB3.Hi (P60A) =&gt; [wzr2hi, 24.07.2019] Moved to according DSB3.2.Hi (P60A) to VM
[wzr2hi, 08.09.2020] Added 7.515.751.697-01 for TSB3.3.PgP1 (P60A)
[wzr2hi, 08.09.2020] Added 7.515.751.697-02 for TSB3.4.PgP1 (P60A)
[wzr2hi, 13.10.2019] Added 7.515.751.697 for PreProd3.3.PgP1 (P60A)
[wzr2hi, 05.01.2021] Added 7.515.752.083 for PreProd3.5.PgP1 (P60A)
[wzr2hi, 08.03.2021] Added 7.515.752.149 for SOP.PgP1 (P60A)
[wzr2hi, 31.03.2021] Added 7.515.752.262 for SOP.PgP1 (P60A)
[wzr2hi, 13.08.2021] Added 7.515.752.310 for MY22.SOP3.PgP1 (P60A)
[wzr2hi, 11.10.2023] Added 7.515.752.690 for SOP7.PgP1 (P60A)</t>
  </si>
  <si>
    <t>7.510.751.519-01,
7.515.751.697-01,
7.515.751.697-02,
7.515.751.697,
7.515.752.083,
7.515.752.149,
7.515.752.262,
7.515.752.310,
7.515.752.690</t>
  </si>
  <si>
    <t>[wzr2hi, 17.10.2018] Added 7.510.751.029-01 for DSB2.1.Hi (P33A)
[wzr2hi, 04.04.2019] Added 7.510.751.029-02 for DSB2.2.MFI1-COSE (P33B)
[wzr2hi, 07.05.2019] Added 7.513.751.467-01 for TSB1.BrgP (P33B)
[wzr2hi, 10.04.2019] Added 7.510.751.517-01  for DSB3.Hi (P60A) =&gt; [wzr2hi, 24.07.2019] Moved to  DSB3.2.Hi (P60A)according to VM
[wzr2hi, 17.06.2019] Added 7.510.751.502-01 for DSB3.0.HI (P42R)
[wzr2hi, 14.06.2019] Added 7.510.751.502-02 for DSB3.2.HI (P42R)
[wzr2hi, 11.02.2020] Added 7.513.751.467 for PP1.BrgP (P33B)
[wzr2hi, 08.09.2020] Added 7.515.751.695-01 for TSB3.3.PgP1 (P60A)
[wzr2hi, 08.09.2020] Added 7.515.751.695-02 for TSB3.4.PgP1 (P60A)
[wzr2hi, 13.10.2019] Added 7.515.751.695 for PreProd3.3.PgP1 (P60A)
[wzr2hi, 05.01.2021] Added 7.515.752.082 for PreProd3.5.PgP1 (P60A)
[wzr2hi, 08.03.2021] Added 7.515.752.148 for SOP.PgP1 (P60A)
[wzr2hi, 31.03.2021] Added 7.515.752.261 for SOP.PgP1 (P60A)
[wzr2hi, 13.08.2021] Added 7.515.752.309 for MY22.SOP5.PgP1 (P60A)
[wzr2hi, 11.10.2023] Added 7.515.752.691 for SOP7.PgP1 (P60A)</t>
  </si>
  <si>
    <t>7.510.751.029-01,
7.510.751.029-02,
7.513.751.467-01,
7.510.751.517-01,
7.510.751.502-01,
7.510.751.502-02,
7.513.751.467,
7.515.751.695-01,
7.515.751.695-02,
7.515.751.695,
7.515.752.082,
7.515.752.148,
7.515.752.261,
7.515.752.309,
7.515.752.691</t>
  </si>
  <si>
    <t>7.515.751.081,
7.515.751.082,
7.515.751.930,
7.515.751.556,
7.515.752.139,
7.515.752.059,
7.515.752.242,
7.515.752.237,
7.515.752.461,
7.515.752.736</t>
  </si>
  <si>
    <t>[wzr2hi, 26.04.2019] Added 7.515.751.081 for SOP.PgP1
[wzr2hi, 23.08.2019] Added 7.515.751.082 for QLU1.PgP1
[wzr2hi, 23.09.2020] Added 7.515.751.930 for MY21 SOP.PgP1
[wzr2hi, 27.11.2020] Added 7.515.751.556 for MY21.QLU.PgP1 (D53H)
[wzr2hi, 15.01.2021] Added 7.515.752.139 for MY22.SOP.PgP1
[wzr2hi, 12.03.2021] Added 7.515.752.059 for FIX-CAPS-PCB.PgP1
[wzr2hi, 12.03.2021] Added 7.515.752.242 for FIX-CAPS-PCB.PgP1
[wzr2hi, 15.03.2021] Added 7.515.752.237 for QLU2.PgP1
[wzr2hi, 14.07.2022] Added 7.515.752.461 for QLU.PgP1 (TBD)
[wzr2hi, 15.01.2024] Added 7.515.752.736 for QLU.PgP1 (TBD)</t>
  </si>
  <si>
    <t>[wzr2hi, 16.09.2021] Added 7.505.751.809 for PreProd6.PgP1 (P33A)
[wzr2hi, 16.09.2021] Added 7.503.751.665 for PreProd3.BrgP (P33B)
[wzr2hi, 27.01.2022] Added 7.505.751.844 for PreProd6.PgP1(P33A)
[wzr2hi, 22.11.2022] Added 7.503.751.829 for SOP5.BrgP (P33B)
[wzr2hi, 04.04.2023] Added 7.505.752.104 for PreProd18.PgP1 (P33A)
[wzr2hi, 02.04.2023] Added 7.505.751.868 for SOP6.PgP1 (P33A)</t>
  </si>
  <si>
    <t>7.505.751.809,
7.503.751.665,
7.505.751.844,
7.503.751.829,
7.505.752.104,
7.505.751.868</t>
  </si>
  <si>
    <t>7.515.752.231,
7.515.752.447,
7.515.752.450,
7.515.752.621-01,
7.515.752.632,
7.515.752.615,
7.515.752.670,
7.515.752.757,
7.515.752.823,
7.515.752.853,
7.515.753.023,
7.515.753.026,
7.515.753.010</t>
  </si>
  <si>
    <t>[wzr2hi, 14.06.2021] Added 7.515.752.231 for PreProd3.PgP1 (TBD)
[wzr2hi, 25.01.2022] Added 7.515.752.447 for PreProd3.PgP1 (TBD)
[wzr2hi, 24.02.2022] Added 7.515.752.450 for PreProd4.PgP1 (P33A)
[wzr2hi, 30.05.2022] Added 7.515.752.621-01 for TSB8.PgP1 (L42P)
[wzr2hi, 08.06.2022] Added 7.515.752.632 for SOP.PgP1 (P33A)
[wzr2hi, 29.07.2022] Added 7.515.752.615 for SOP1.PgP1 (L42P)
[wzr2hi, 29.07.2022] Added 7.515.752.670 for SOP2.PgP1 (L42P)
[wzr2hi, 12.10.2022] Added 7.515.752.757 for SOP.PgP1 (P33A)
[wzr2hi, 06.02.2023] Added 7.515.752.823 for MY24.SOP.PgP1 (L42P)
[wzr2hi, 04.04.2023] Added 7.515.752.853 for QLU3.1.PgP1 (P33A)
[wzr2hi, 26.04.2024] Added 7.515.753.023 for PreProd6.PgP1 (PZ1A)(CRQ319)
[wzr2hi, 26.04.2024] Added 7.515.753.026 for PreProd6.PgP1 (L42P)(CRQ319)
[wzr2hi, 06.05.2024] Added 7.515.753.010 for PreProd6.PgP1 (P33A)(CRQ319)</t>
  </si>
  <si>
    <t>[wzr2hi, 19.03.2019] Added 7.515.751.761-02 for TSB3.PgP1 (TBD)
[wzr2hi, 26.01.2021] Added 7.515.751.761 for PreProd3.PgP1 (TBD)
[wzr2hi, 14.06.2021] Added 7.515.752.232 for PreProd3.PgP1 (TBD)
[wzr2hi, 25.01.2022] Added 7.515.752.446 for PreProd3.PgP1 (TBD)
[wzr2hi, 24.02.2022] Added 7.515.752.433 for PreProd4.PgP1 (P33A/L42P)
[wzr2hi, 30.05.2022] Added 7.515.752.624-01 for TSB8.PgP1 (L42P)
[wzr2hi, 08.06.2022] Added 7.515.752.630 for SOP.PgP1 (P33A)
[wzr2hi, 12.07.2022] Added 7.513.752.634-01 for TSB2.BrgP (P13A)
[wzr2hi, 29.07.2022] Added 7.515.752.672 for SOP2.PgP1 (L42P)
[wzr2hi, 12.10.2022] Added 7.515.752.756 for SOP.PgP1 (P33A)
[wzr2hi, 22.11.2022] Added 7.515.752.773 for MY24.SOP.PgP1 (L42P)
[wzr2hi, 06.02.2023] Added 7.515.752.825 for MY24.SOP.PgP1 (L42P)
[wzr2hi, 23.02.2023] Added 7.513.752.634 for PreProd2.BrgP (P13A)
[wzr2hi, 23.03.2023] Added 7.513.752.634-02 for TSB3.BrgP (P13A)
[wzr2hi, 24.04.2023] Added 7.515.752.871 for SOP.PgP1 (PZ1A)
[wzr2hi, 25.04.2023] Added 7.515.752.665 for QLU.PgP1 (P33A)
[wzr2hi, 22.08.2023] Added 7.513.752.871 for PreProd2.BrgP (P13A)
[wzr2hi, 26.04.2024] Added 7.515.753.016 for PreProd6.PgP1 (PZ1A)(CRQ319)
[wzr2hi, 26.04.2024] Added 7.515.753.028 for PreProd6.PgP1 (L42P)(CRQ319)
[wzr2hi, 26.04.2024] Added 7.515.753.029 for PreProd6.PgP1 (P33A)(CRQ319)</t>
  </si>
  <si>
    <t>7.515.751.761-02,
7.515.751.761,
7.515.752.232,
7.515.752.446,
7.515.752.433,
7.515.752.624-01,
7.515.752.630,
7.513.752.634-01,
7.515.752.672,
7.515.752.756,
7.515.752.773,
7.515.752.825,
7.513.752.634,
7.513.752.634-02,
7.515.752.871,
7.515.752.665,
7.513.752.871,
7.515.753.016,
7.515.753.028,
7.515.753.029</t>
  </si>
  <si>
    <t>7.500.750.886-02,
7.503.751.254-01,
7.500.750.892-01,
7.500.750.895-01,
7.500.750.895-02,
7.503.751.254,
7.505.751.542-01,
7.505.751.374-01,
7.505.751.374-02,
7.505.751.382-01,
7.505.751.374,
7.503.751.469,
7.505.751.615,
7.505.751.648,
7.505.751.542-02,
7.505.751.637,
7.505.751.695,
7.505.751.382,
7.505.751.617,
7.505.751.772,
7.503.751.519,
7.505.751.756,
7.505.751.542,
7.505.751.740,
7.505.751.636,
7.503.751.676,
7.505.751.843,
7.505.751.834,
7.505.751.953,
7.505.751.975,
7.503.751.827,
7.505.752.007,
7.505.752.021,
7.505.752.109</t>
  </si>
  <si>
    <t>[wzr2hi, 04.04.2019] Added 7.500.750.886-02 for DSB2.2.MFI1-COSE (P33B)
[wzr2hi, 07.05.2019] Added 7.503.751.254-01 for TSB1.BrgP (P33B)
[wzr2hi, 10.04.2019] Added 7.500.750.892-01 for DSB3.Hi (P60A) =&gt; [wzr2hi, 24.07.2019] Moved to DSB3.2.Hi (P60A)according to VM
[wzr2hi, 17.06.2019] Added 7.500.750.895-01 for DSB3.0.HI (P42R)
[wzr2hi, 14.06.2019] Added 7.500.750.895-02 for DSB3.2.HI (P42R)
[wzr2hi, 11.02.2020] Added 7.503.751.254 for PP1.BrgP (P33B)
[wzr2hi, 29.07.2020] Added 7.505.751.542-01 for TSB8.PgP1 (C53L)
[wzr2hi, 08.09.2020] Added 7.505.751.374-01 for TSB3.3.PgP1 (P60A)
[wzr2hi, 08.09.2020] Added 7.505.751.374-02 for TSB3.4.PgP1 (P60A)
[wzr2hi. 13.10.2020] Added 7.505.751.382-01 for TSB3.2.PgP1 (P42R)
[wzr2hi, 13.10.2019] Added 7.505.751.374 for PreProd3.3.PgP1 (P60A)
[wzr2hi, 03.11.2020] Added 7.503.751.469 for PP2.BrgP (P33B)
[wzr2hi, 05.01.2021] Added 7.505.751.615 for PreProd3.5.PgP1 (P60A)
[wzr2hi, 11.01.2020] Added 7.505.751.648 for PreProd5.PgP1 (P33A)
[wzr2hi, 05.03.2021] Added 7.505.751.542-02 for TSB10.PgP1 (C53L)
[wzr2hi, 08.03.2021] Added 7.505.751.637 for SOP.PgP1 (P60A)
[wzr2hi, 31.03.2021] Added 7.505.751.695 for SOP.PgP1 (P60A)
[wzr2hi, 14.04.2021] Added 7.505.751.382 for PreProd3.4.PgP1 (P42R)
[wzr2hi, 14.04.2021] Added 7.505.751.617 for PreProd3.7.PgP1 (P42R)
[wzr2hi, 17.05.2021] Added 7.505.751.772 for PreProd6.PgP1 (P33A)
[wzr2hi, 22.06.2021] Added 7.503.751.519 for SOP2.BrgP (P33B)
[wzr2hi, 13.08.2021] Added 7.505.751.756 for MY22.SOP3.PgP1 (P60A)
[wzr2hi, 13.09.2021] Added 7.505.751.542 for PreProd1.PgP1 (C53L)
[wzr2hi, 13.09.2021] Added 7.505.751.740 for PreProd2.PgP1 (C53L)
[wzr2hi, 01.11.2021] Added 7.505.751.636 for SOP3.3.PgP1 (P42R)
[wzr2hi, 24.01.2022] Added 7.503.751.676 for SOP.BrgP (P33B)
[wzr2hi, 16.02.2022] Added 7.505.751.843 for PreProd6.PgP1 (P33A)
[wzr2hi, 11.07.2022] Added 7.505.751.834 for PreProd3.PgP1 (C53L)
[wzr2hi, 07.10.2022] Added 7.505.751.953 for PreProd4.PgP1 (C53L)
[wzr2hi, 21.10.2022] Added 7.505.751.975 for PreProd5.PgP1 (C53L)
[wzr2hi, 22.11.2022] Added 7.503.751.827 for SOP5.BrgP (P33B)
[wzr2hi, 27.02.2023] Added 7.505.752.007 for PreProd6.PgP1 (C53L)
[wzr2hi, 21.04.2023] Added 7.505.752.021 for PreProd7.PgP1 (C53L)
[wzr2hi, 15.05.2024] Added 7.505.752.109 for PreProd18.PgP1 (P33A)</t>
  </si>
  <si>
    <t>7.500.750.866-01,
7.500.750.867-01,
7.500.750.866-02,
7.503.751.255-01,
7.500.750.867-02,
7.500.750.867-03,
7.503.751.255,
7.505.751.543-01,
7.503.751.470,
7.505.751.649,
7.505.751.543-02,
7.505.751.771,
7.503.751.520,
7.505.751.543,
7.505.751.742,
7.503.751.677,
7.505.751.842,
7.505.751.836,
7.505.751.970,
7.505.751.977,
7.505.751.939,
7.503.751.828,
7.505.752.009,
7.505.752.023,
7.505.752.110</t>
  </si>
  <si>
    <t>[wzr2hi, 17.10.2018] Added 7.500.750.866-01 for DSB2.1.Hi (P33AB)
[wzr2hi, 17.10.2018] Added 7.500.750.867-01 for DSB2.1.Hi (P33A)
[wzr2hi, 04.04.2019] Added 7.500.750.866-02 for DSB2.2.MFI1-COSE (P33B)
[wzr2hi, 07.05.2019] Added 7.503.751.255-01 for TSB1.BrgP (P33B)
[wzr2hi, 17.06.2019] Added 7.500.750.867-02 for DSB3.2.HI (P42R)
[wzr2hi, 14.06.2019] Added 7.500.750.867-03 for DSB3.2.HI (P42R)
[wzr2hi, 11.02.2020] Added 7.503.751.255 for PP1.BrgP (P33B)
[wzr2hi, 29.07.2020] Added 7.505.751.543-01 for TSB8.PgP1 (C53L)
[wzr2hi, 03.11.2020] Added 7.503.751.470 for PreProd2.BrgP (P33B)
[wzr2hi, 11.01.2020] Added 7.505.751.649 for PreProd5.PgP1 (P33A)
[wzr2hi, 05.03.2021] Added 7.505.751.543-02 for TSB10.PgP1 (C53L)
[wzr2hi, 17.05.2021] Added 7.505.751.771 for PreProd6.PgP1 (P33A)
[wzr2hi, 22.06.2021] Added 7.503.751.520 for SOP2.BrgP (P33B)
[wzr2hi, 13.09.2021] Added 7.505.751.543 for PreProd1.PgP1 (C53L)
[wzr2hi, 13.09.2021] Added 7.505.751.742 for PreProd2.PgP1 (C53L)
[wzr2hi, 24.01.2022] Added 7.503.751.677 for SOP.BrgP (P33B)
[wzr2hi, 16.02.2022] Added 7.505.751.842 for PreProd6.PgP1 (P33A)
[wzr2hi, 11.07.2022] Added 7.505.751.836 for PreProd3.PgP1 (C53L)
[wzr2hi, 07.10.2022] Added 7.505.751.970 for PreProd4.PgP1 (C53L)
[wzr2hi, 21.10.2022] Added 7.505.751.977 for PreProd5.PgP1 (C53L)
[wzr2hi, 01.11.2022] Added 7.505.751.939 for SOP7.PgP1 (P60A)
[wzr2hi, 22.11.2022] Added 7.503.751.828 for SOP5.BrgP (P33B)
[wzr2hi, 27.02.2023] Added 7.505.752.009 for PreProd6.PgP1 (C53L)
[wzr2hi, 21.04.2023] Added 7.505.752.023 for PreProd7.PgP1 (C53L)
[wzr2hi, 15.05.2024] Added 7.505.752.110 for PreProd18.PgP1 (P33A)</t>
  </si>
  <si>
    <t>7.515.750.920-05,
7.515.750.920-06,
7.515.750.920-07,
7.515.750.920-08,
7.515.750.920,
7.515.750.922-08,
7.515.750.922,
7.515.751.550,
7.515.751.552,
7.515.751.085,
7.515.751.086,
7.515.751.852,
7.515.751.853,
7.515.751.922,
7.515.751.923,
7.515.751.928,
7.515.751.929,
7.515.752.036,
7.515.752.037,
7.515.752.039,
7.515.752.040,
7.515.752.143,
7.515.752.144,
7.515.752.046,
7.515.752.047,
7.515.752.238,
7.515.752.050,
7.515.752.051,
7.515.752.239,
7.515.752.247,
7.515.752.248,
7.515.752.251,
7.515.752.253,
7.515.752.256,
7.515.752.457,
7.515.752.459,
7.515.752.460,
7.515.752.466,
7.515.752.463,
7.515.752.467,
7.515.752.464,
7.515.752.732,
7.515.752.469,
7.515.752.734,
7.515.752.471,
7.515.752.738,
7.515.752.739,
7.515.752.742,
7.515.752.743,
7.515.752.962-01</t>
  </si>
  <si>
    <t xml:space="preserve">[wzr2hi, 02.03.2018] Added 7.515.750.920-05 for TSB1.PgP1 (C-Sample)
[wzr2hi, 05.04.2018] Added 7.515.750.920-06 for TSB2.PgP1 (C2-Sample)
[wzr2hi, 05.04.2018] Added 7.515.750.920-07 for TSB3.PgP1 (C3-Sample)
[wzr2hi, 16.08.2018] Added 7.515.750.920-08 for TSB4.PgP1 (C4-Sample)
[wzr2hi, 22.10.2018] Added 7.515.750.920 for PreProd1.PgP1
[wzr2hi, 16.08.2018] Added 7.515.750.922-08 for TSB4.PgP1 (C4-Sample)
[wzr2hi, 22.10.2018] Added 7.515.750.922 for PreProd1.PgP1
[wzr2hi, 10.07.2019] Added 7.515.751.550 for SOP.PgP1
[wzr2hi, 10.07.2019] Added 7.515.751.552 for SOP.PgP1
[wzr2hi, 23.08.2019] Added 7.515.751.085 for QLU1.PgP1
[wzr2hi, 23.08.2019] Added 7.515.751.086 for QLU1.PgP1
[wzr2hi, 13.09.2019] Added 7.515.751.852 for QLU1st.PgP1
[wzr2hi, 13.09.2019] Added 7.515.751.853 for QLU1st.PgP1
[wzr2hi, 18.03.2020] Added 7.515.751.922 for 21.5MY.PgP1
[wzr2hi, 18.03.2020] Added 7.515.751.923 for 21.5MY.PgP1
[wzr2hi, 14.07.2020] Added 7.515.751.928 for US-CAN-QLU2.6.PgP1
[wzr2hi, 14.07.2020] Added 7.515.751.929 for US-CAN-QLU2.6.PgP1
[wzr2hi, 08.10.2020] Added 7.515.752.036 for US-CAN-QLU3.PgP1
[wzr2hi, 08.10.2020] Added 7.515.752.037 for US-CAN-QLU3.PgP1
[wzr2hi, 11.12.2020] Added 7.515.752.039 for US-CAN-MY22.SOP.PgP1
[wzr2hi, 11.12.2020] Added 7.515.752.040 for US-CAN-MY22.SOP.PgP1
[wzr2hi, 21.01.2021] Added 7.515.752.143 for US-CAN-MY22.SOP.PgP1 (P71A)
[wzr2hi, 21.01.2021] Added 7.515.752.144 for US-CAN-MY22.SOP.PgP1 (P71A)
[wzr2hi, 12.03.2021] Added 7.515.752.046 for FIX-CAPS-PCB.PgP1
[wzr2hi, 12.03.2021] Added 7.515.752.047 for FIX-CAPS-PCB.PgP1
[wzr2hi, 12.03.2021] Added 7.515.752.238 for FIX-CAPS-PCB.PgP1
[wzr2hi, 12.03.2021] Added 7.515.752.050 for FIX-CAPS-PCB.PgP1
[wzr2hi, 12.03.2021] Added 7.515.752.051 for FIX-CAPS-PCB.PgP1
[wzr2hi, 12.03.2021] Added 7.515.752.239 for FIX-CAPS-PCB.PgP1
[wzr2hi, 25.05.2021] Added 7.515.752.247 for US-CAN-MY22.SOP.PgP1
[wzr2hi, 25.05.2021] Added 7.515.752.248 for US-CAN-MY22.SOP.PgP1
[wzr2hi, 05.11.2021] Added 7.515.752.251 for US-CAN-MY23.PT1.PgP1 (P71A)
[wzr2hi, 05.11.2021] Added 7.515.752.253 for US-CAN-MY23.PT1.PgP1 (P71A)
[wzr2hi, 01.03.2022] Added 7.515.752.256 for QLU4.PgP1 (TBD)
[wzr2hi, 01.03.2022] Added 7.515.752.457 for QLU4.PgP1 (TBD)
[wzr2hi, 04.03.2022] Added 7.515.752.459 for MY23.SOP.PgP1 (L53H)
[wzr2hi, 04.03.2022] Added 7.515.752.460 for MY23.SOP.PgP1 (L53H)
[wzr2hi, 02.09.2022] Added 7.515.752.466 for QLU4.1.PgP1 (TBD)
[wzr2hi, 02.09.2022] Added 7.515.752.463 for QLU4.1.PgP1 (TBD)
[wzr2hi, 02.09.2022] Added 7.515.752.467 for QLU4.1.PgP1 (TBD)
[wzr2hi, 02.09.2022] Added 7.515.752.464 for QLU4.1.PgP1 (TBD)
[wzr2hi, 21.09.2022] Added 7.515.752.732 for QLU5.PgP1 (TBD)
[wzr2hi, 21.09.2022] Added 7.515.752.469 for QLU5.PgP1 (TBD)
[wzr2hi, 21.09.2022] Added 7.515.752.734 for QLU5.PgP1 (TBD)
[wzr2hi, 21.09.2022] Added 7.515.752.471 for QLU5.PgP1 (TBD)
[wzr2hi, 28.06.2023] Added 7.515.752.738 for QLU6.PgP1 (TBD)
[wzr2hi, 28.06.2023] Added 7.515.752.739 for QLU6.PgP1 (TBD)
[wzr2hi, 28.06.2023] Added 7.515.752.742 for QLU6.PgP1 (TBD)
[wzr2hi, 28.06.2023] Added 7.515.752.743 for QLU6.PgP1 (TBD)
[wzr2hi, 01.07.2024] Added 7.515.752.962-01 for TSB5.PgP1 (HW TEST) </t>
  </si>
  <si>
    <t>031411 (M3_V1.3_CS_EF)</t>
  </si>
  <si>
    <t>[wzr2hi, 29.03.2023] Added 0.000.000.000-48 as PlaceholderBuild.PlaceholderPlant (TBC)</t>
  </si>
  <si>
    <t>0.000.000.000-48</t>
  </si>
  <si>
    <t>[wzr2hi, 09.06.2021] Added 7.505.751.781-01 for TSB5.PgP1
[wzr2hi, 29.03.2022] Added 7.505.751.781-02 for TSB7.PgP1
[wzr2hi, 12.05.2022] Added 7.503.751.810-01 for TSB2.BrgP (P13A)
[wzr2hi, 10.11.2022] Added 7.505.751.781-03 for TSB9.PgP1
[wzr2hi, 08.12.2022] Added 7.503.751.862-01 for TSB2.BrgP (P13A/P33B - UKR)
[wzr2hi, 16.01.2023] Added 7.505.751.781 for PreProd1.PgP1
[wzr2hi, 23.02.2023] Added 7.503.751.810-02 for TSB3.BrgP (P13A)
[wzr2hi, 23.02.2023] Added 7.503.751.862-02 for TSB3.BrgP (P13A)
[wzr2hi, 23.02.2023] Added 7.503.751.810 for PreProd1.BrgP (P13A)
[wzr2hi, 23.02.2023] Added 7.503.751.862 for PreProd1.BrgP (P13A)
[wzr2hi, 25.08.2023] Added 7.503.751.872 for PreProd2.BrgP (P13A P33B)
[wzr2hi, 25.08.2023] Added 7.503.751.876 for PreProd2.BrgP (P13A P33B)
[wzr2hi, 26.09.2023] Added 7.503.751.878 for PreProd2.BrgP (P13A)
[wzr2hi, 26.09.2023] Added 7.503.751.927 for PreProd2.BrgP (P13A)
[wzr2hi, 28.11.2023] Added 7.503.751.929 for PreProd4.BrgP (P33B)
[wzr2hi, 28.11.2023] Added 7.503.751.933 for PreProd4.BrgP (P33B)
[wzr2hi, 18.01.2024] Added 7.503.751.935 for PreProd5.BrgP (P33B)
[wzr2hi, 18.01.2024] Added 7.503.751.939 for PreProd5.BrgP (P33B
[wzr2hi, 04.07.2024] Added 7.503.751.943-01 for TSB5.BrgP (P33B)(CRQ323)
[wzr2hi, 04.07.2024] Added 7.503.751.943 for PreProd5.BrgP (P33B)(CRQ323)
[wzr2hi, 04.07.2024] Added 7.503.752.022-01 for TSB5.BrgP (P33B)(CRQ323)
[wzr2hi, 04.07.2024] Added 7.503.752.022 for PreProd5.BrgP (P33B)(CRQ323)</t>
  </si>
  <si>
    <t>7.505.751.781-01,
7.505.751.781-02,
7.503.751.810-01,
7.505.751.781-03,
7.503.751.862-01,
7.505.751.781,
7.503.751.810-02,
7.503.751.862-02,
7.503.751.810,
7.503.751.862,
7.503.751.872,
7.503.751.876,
7.503.751.878,
7.503.751.927,
7.503.751.929,
7.503.751.933,
7.503.751.935,
7.503.751.939,
7.503.751.943-01,
7.503.751.943,
7.503.752.022-01,
7.503.752.022</t>
  </si>
  <si>
    <t>0.000.000.000-55</t>
  </si>
  <si>
    <t>0.000.000.000-56</t>
  </si>
  <si>
    <t>0.000.000.000-57</t>
  </si>
  <si>
    <t>0.000.000.000-58</t>
  </si>
  <si>
    <t>[wzr2hi, 05.07.2023] Added 0.000.000.000-55 as PlaceholderBuild.PlaceholderPlant (TBC)</t>
  </si>
  <si>
    <t>[wzr2hi, 05.07.2023] Added 0.000.000.000-56 as PlaceholderBuild.PlaceholderPlant (TBC)</t>
  </si>
  <si>
    <t>[wzr2hi, 05.07.2023] Added 0.000.000.000-57 as PlaceholderBuild.PlaceholderPlant (TBC)</t>
  </si>
  <si>
    <t>[wzr2hi, 05.07.2023] Added 0.000.000.000-58 as PlaceholderBuild.PlaceholderPlant (TBC)</t>
  </si>
  <si>
    <t>0.000.000.000-59</t>
  </si>
  <si>
    <t>[wzr2hi, 05.07.2023] Added 0.000.000.000-59 as PlaceholderBuild.PlaceholderPlant (TBC)</t>
  </si>
  <si>
    <t>[wzr2hi, 19.03.2019] Added 7.505.751.378-02 for TSB3.PgP1 (TBD)
[wzr2hi, 22.07.2020] Added 7.505.751.378 for PreProd2.PgP1 (TBD)
[wzr2hi, 09.12.2020] Added 7.505.751.629 for MP.PgP1 (TBD)
[wzr2hi, 15.01.2021] Added 7.505.751.645 for PreProd2-UPD.PgP1 (P42Q)
[wzr2hi, 18.03.2021] Added 7.505.751.691 for PreProd3.PgP1 (P42Q)
[wzr2hi, 14.07.2021] Added 7.505.751.748 for PreProd3.PgP1 (TBD)
[wzr2hi, 03.05.2023] Added 7.505.751.823 for QLU4.1.PgP1 (TBD)
[wzr2hi, 08.07.2024] Added 7.505.751.831 for MY25.QLU.PgP1 (P61G)</t>
  </si>
  <si>
    <t>7.505.751.378-02,
7.505.751.378,
7.505.751.629,
7.505.751.645,
7.505.751.691,
7.505.751.748,
7.505.751.823,
7.505.751.831</t>
  </si>
  <si>
    <t>[wzr2hi, 08.03.2019] Added 7.500.750.875-01 for DSB5.X.Hi (P33C)
[wzr2hi, 08.03.2019] Added 7.500.750.882-01 for DSB5.X.Hi (P33C)
[wzr2hi, 10.09.2019] Added 7.505.751.365-01 for TSB5.2.PgP1 (P33C)
[wzr2hi, 10.09.2019] Added 7.505.751.368-01 for TSB5.2.PgP1 (P33C)
[wzr2hi, 19.11.2019] Added 7.505.751.365-02 for TSB5.4.PgP1 (P33C)
[wzr2hi, 19.11.2019] Added 7.505.751.368-02 for TSB5.4.PgP1 (P33C)
[wzr2hi, 29.01.2020] Added 7.505.751.418-01 for TSB5.6.PgP1 (P33C)
[wzr2hi, 29.01.2020] Added 7.505.751.421-01 for TSB5.6.PgP1 (P33C)
[wzr2hi, 20.07.2020] Added 7.505.751.365 for PreProd5.1.PgP1 (P33C)
[wzr2hi, 20.07.2020] Added 7.505.751.368 for PreProd5.1.PgP1 (P33C)
[wzr2hi, 17.09.2020] Added 7.505.751.418 for PreProd5.2.PgP1 (P33C)
[wzr2hi, 17.09.2020] Added 7.505.751.421 for PreProd5.2.PgP1 (P33C)
[wzr2hi, 28.10.2020] Added 7.505.751.619 for PreProd5.2.PgP1 (P33C)
[wzr2hi, 28.10.2020] Added 7.505.751.620 for PreProd5.2.PgP1 (P33C)
[wzr2hi, 17.12.2020] Added 7.505.751.535 for PreProd5.4.PgP1 (P33C)
[wzr2hi, 17.12.2020] Added 7.505.751.538 for PreProd5.4.PgP1 (P33C)
[wzr2hi, 14.01.2021] Added 7.505.751.605 for SOP.PgP1 (P33C)
[wzr2hi, 14.01.2021] Added 7.505.751.608 for SOP.PgP1 (P33C)
[wzr2hi, 09.02.2021] Added 7.505.751.552 for SOP.PgP1 (P33C)
[wzr2hi, 09.02.2021] Added 7.505.751.601 for SOP.PgP1 (P33C)
[wzr2hi, 25.02.2021] Added 7.505.751.669 for SOP.PgP1 (P33C) (TeVa)
[wzr2hi, 25.02.2021] Added 7.505.751.670 for SOP.PgP1 (P33C) (TeVa)
[wzr2hi, 17.05.2021] Added 7.505.751.671 for SOP3.2.PgP1 (P33C)
[wzr2hi, 17.05.2021] Added 7.505.751.674 for SOP3.2.PgP1 (P33C)
[wzr2hi, 07.12.2021] Added 7.505.751.678 for SOP5.1.PgP1 (P33C)
[wzr2hi, 07.12.2021] Added 7.505.751.681 for SOP5.1.PgP1 (P33C)
[wzr2hi, 08.09.2022] Added 7.505.751.930 for SOP7.PgP1 (P33C)
[wzr2hi, 08.09.2022] Added 7.505.751.935 for SOP7.1.PgP1 (P33C)
[wzr2hi, 08.09.2022] Added 7.505.751.931 for SOP7.PgP1 (P33C)
[wzr2hi, 08.09.2022] Added 7.505.751.936 for SOP7.1.PgP1 (P33C)
[wzr2hi, 19.10.2022] Added 7.505.751.773 for SOP5.2.PgP1 (P33C)
[wzr2hi, 19.10.2022] Added 7.505.751.774 for SOP5.2.PgP1 (P33C)
[wzr2hi, 24.07.2024] Added 7.505.751.776 for SOP6.PgP1 (P33C)
[wzr2hi, 24.07.2024] Added 7.505.751.777 for SOP6.PgP1 (P33C)</t>
  </si>
  <si>
    <t>7.500.750.875-01,
7.500.750.882-01,
7.505.751.365-01,
7.505.751.368-01,
7.505.751.365-02,
7.505.751.368-02,
7.505.751.418-01,
7.505.751.421-01,
7.505.751.365,
7.505.751.368,
7.505.751.418,
7.505.751.421,
7.505.751.619,
7.505.751.620,
7.505.751.535,
7.505.751.538,
7.505.751.605,
7.505.751.608,
7.505.751.552,
7.505.751.601,
7.505.751.669,
7.505.751.670,
7.505.751.671,
7.505.751.674,
7.505.751.678,
7.505.751.681,
7.505.751.930,
7.505.751.935,
7.505.751.931,
7.505.751.936,
7.505.751.773,
7.505.751.774,
7.505.751.776,
7.505.751.777</t>
  </si>
  <si>
    <t>[wzr2hi, 07.05.2021] Added 7.515.752.246 for PreProd1.PgP1 (TBD)
[wzr2hi, 10.01.2022] Added 7.515.752.249 for QLU.PgP1 (TBD)</t>
  </si>
  <si>
    <t>[wzr2hi, 08.03.2019] Added 7.510.751.330-01 for DSB5.X.Hi (P33C)
[wzr2hi, 12.11.2019] Added 7.515.751.618-02 for TSB5.3.PgP1 (P33C)
[wzr2hi, 29.01.2020] Added 7.515.751.816-01 for TSB5.5.PgP1 (P33C)
[wzr2hi, 20.07.2020] Added 7.515.751.618 for PreProd5.1.PgP1 (P33C)
[wzr2hi, 17.09.2020] Added 7.515.751.816 for PreProd5.2.PgP1 (P33C)
[wzr2hi, 28.10.2020] Added 7.515.752.095 for PreProd5.2.PgP1 (P33C)
[wzr2hi, 17.12.2020] Added 7.515.752.006 for PreProd5.4.PgP1 (P33C)
[wzr2hi, 14.01.2021] Added 7.515.752.077 for SOP.PgP1 (P33C)
[wzr2hi, 10.05.2022] Added 7.515.752.215 for SOP5.3.PgP1 (P33C)
[wzr2hi, 08.09.2022] Added 7.515.752.706 for SOP7.PgP1 (P33C)
[wzr2hi, 01.02.2023] Added 7.515.752.760 for SOP.PgP1 (P33C)
[wzr2hi, 09.08.2024] Added 7.515.753.063 for SOP8.1.PgP1 (P33C)
[wzr2hi, 09.08.2024] Added 7.515.753.064 for SOP8.2.PgP1 (P33C)</t>
  </si>
  <si>
    <t>7.510.751.330-01,
7.515.751.618-02,
7.515.751.816-01,
7.515.751.618,
7.515.751.816,
7.515.752.095,
7.515.752.006,
7.515.752.077,
7.515.752.215,
7.515.752.706,
7.515.752.760,
7.515.753.063,
7.515.753.064</t>
  </si>
  <si>
    <t>[wzr2hi, 08.03.2019] Added 7.500.750.884-01 for DSB5.X.Hi (P33C)
[wzr2hi, 10.09.2019] Added 7.505.751.370-01 for TSB5.2.PgP1 (P33C)
[wzr2hi, 19.11.2019] Added 7.505.751.370-02 for TSB5.4.PgP1 (P33C)
[wzr2hi, 29.01.2020] Added 7.505.751.423-01 for TSB5.6.PgP1 (P33C)
[wzr2hi, 20.07.2020] Added 7.505.751.370 for PreProd5.1.PgP1 (P33C)
[wzr2hi, 17.09.2020] Added 7.505.751.423 for PreProd5.2.PgP1 (P33C)
[wzr2hi, 17.12.2020] Added 7.505.751.540 for PreProd5.4.PgP1 (P33C)
[wzr2hi, 14.01.2021] Added 7.505.751.610 for SOP.PgP1 (P33C)
[wzr2hi, 27.04.2021] Added 7.505.751.676 for SOP3.PgP1 (P33C)
[wzr2hi, 17.05.2021] Added 7.505.751.683 for SOP3.2.PgP1 (P33C)
[wzr2hi, 08.07.2021] Added 7.505.751.753-01 for DSB1.PgP1 (Triton)
[wzr2hi, 15.11.2021] Added 7.505.751.753-02 for TSB2.PgP1 (Triton)
[wzr2hi, 25.01.2022] Added 7.505.751.753-03 for TSB3.PgP1 (Triton)
[wzr2hi, 30.05.2022] Added 7.505.751.753 for PreProd1.PgP1 (Triton)
[wzr2hi, 01.08.2022] Added 7.505.751.922 for SOP5.2.PgP1 (P33C)
[wzr2hi, 01.08.2022] Added 7.505.751.923 for SOP6.PgP1 (P33C)
[wzr2hi, 09.08.2024] Added 7.505.752.139 for SOP8.1.PgP1 (P33C)</t>
  </si>
  <si>
    <t>7.500.750.884-01,
7.505.751.370-01,
7.505.751.370-02,
7.505.751.423-01,
7.505.751.370,
7.505.751.423,
7.505.751.540,
7.505.751.610,
7.505.751.676,
7.505.751.683,
7.505.751.753-01,
7.505.751.753-02,
7.505.751.753-03,
7.505.751.753,
7.505.751.922,
7.505.751.923,
7.505.752.139</t>
  </si>
  <si>
    <t>[wzr2hi, 21.04.2022] Added 7.515.752.594-01 for TSB1.PgP1 (TBD)
[wzr2hi, 12.05.2022] Added 7.515.752.594 for PreProd1.PgP1 (PZ1A)
[wzr2hi, 21.10.2022] Added 7.515.752.728 for PreProd1.PgP1 (L42P)
[wzr2hi, 06.02.2023] Added 7.515.752.820 for MY24.SOP.PgP1 (L42P)
[wzr2hi, 03.11.2023] Added 7.515.752.919 for MP.PgP1 (PZ1A)
[wzr2hi, 09.11.2023] Added 7.515.752.920 for QLU4.PgP1 (L42P)
[wzr2hi, 26.04.2024] Added 7.515.752.976-01 for TSB10.PgP1 (PZ1A)(CRQ319)
[wzr2hi, 26.04.2024] Added 7.515.753.000-01 for TSB10.PgP1 (L42P)(CRQ319)
[wzr2hi, 26.04.2024] Added 7.515.752.976 for PreProd6.PgP1 (PZ1A)(CRQ319)
[wzr2hi, 26.04.2024] Added 7.515.753.000 for PreProd6.PgP1 (L42P)(CRQ319)
[wzr2hi, 26.04.2024] Added 7.515.753.014 for PreProd6.PgP1 (PZ1A)(CRQ319)
[wzr2hi, 26.04.2024] Added 7.515.753.025 for PreProd6.PgP1 (L42P)(CRQ319)
[wzr2hi, 03.07.2024] Added 7.515.753.038 for SOP.PgP1 (PZ1A)
[wzr2hi, 03.07.2024] Added 7.515.753.039 for SOP.PgP1 (PZ1A)
[wzr2hi, 02.08.2024] Added 7.515.753.036 for MY25.SOP.PgP1 (L42P)
[wzr2hi, 02.08.2024] Added 7.515.753.037 for MY25.SOP.PgP1 (L42P)
[wzr2hi, 23.08.2024] Added 7.515.753.078 for SOP.PgP1 (PZ1A)
[wzr2hi, 23.08.2024] Added 7.515.753.079 for SOP.PgP1 (PZ1A)</t>
  </si>
  <si>
    <t>7.515.752.594-01,
7.515.752.594,
7.515.752.728,
7.515.752.820,
7.515.752.919,
7.515.752.920,
7.515.752.976-01,
7.515.753.000-01,
7.515.752.976,
7.515.753.000,
7.515.753.014,
7.515.753.025,
7.515.753.038,
7.515.753.039,
7.515.753.036,
7.515.753.037,
7.515.753.078,
7.515.753.079</t>
  </si>
  <si>
    <t>7.515.752.521-01,
7.515.752.521,
7.515.752.727,
7.515.752.846,
7.515.752.897,
7.515.753.070</t>
  </si>
  <si>
    <t>[wzr2hi, 09.02.2022] Added 7.515.752.521-01 for TSB1.PgP1 (TBD)
[wzr2hi, 12.05.2022] Added 7.515.752.521 for PreProd1.PgP1 (PZ1A)
[wzr2hi, 21.10.2022] Added 7.515.752.727 for PreProd1.PgP1 (P33A)
[wzr2hi, 21.02.2023] Added 7.515.752.846 for SOP.PgP1 (PZ1A)
[wzr2hi, 19.09.2023] Added 7.515.752.897 for SOP.PgP1 (PZ1A)
[wzr2hi, 28.08.2024] Added 7.515.753.070 for PreProd6.PgP1 (PZ1A)(CRQ319)</t>
  </si>
  <si>
    <t>7.515.751.080-07,
7.515.751.080-08,
7.515.751.080,
7.515.751.562,
7.515.751.857,
7.515.751.860,
7.515.752.063,
7.515.752.737</t>
  </si>
  <si>
    <t>[wzr2hi, 05.04.2018] Added 7.515.751.080-07 for TSB2.PgP1 (C3-Sample)
[wzr2hi, 16.08.2018] Added 7.515.751.080-08 for TSB4.PgP1 (C4-Sample)
[wzr2hi, 22.10.2018] Added 7.515.751.080 for PreProd1.PgP1
[wzr2hi, 23.08.2019] Added 7.515.751.562 for QLU1.PgP1
[wzr2hi, 16.12.2019] Added 7.515.751.857 for NEXT.PgP1 (TBD)
[wzr2hi, 27.11.2020] Added 7.515.751.860 for MY-QLU.PgP1 (D53H)
[wzr2hi, 12.03.2021] Added 7.515.752.063 for FIX-CAPS-PCB.PgP1
[wzr2hi, 09.09.2024] Added 7.515.752.737 for QLU.PgP1 (Remark: This PN was first a SAM-CHL in VMs, but changed to SAM-ARG before FCID was generated)</t>
  </si>
  <si>
    <t>7.505.750.961-06,
7.505.750.961-07,
7.505.750.961-08,
7.505.750.961,
7.505.750.964-06,
7.505.750.964-07,
7.505.750.964-08,
7.505.750.964,
7.505.751.080-07,
7.505.751.080-08,
7.505.751.080,
7.505.751.336,
7.505.751.340,
7.505.751.342,
7.505.751.088,
7.505.751.460,
7.505.751.457,
7.505.751.593,
7.505.751.597,
7.505.751.714,
7.505.751.599,
7.505.751.465,
7.505.751.958</t>
  </si>
  <si>
    <t>[wzr2hi, 05.04.2018] Added 7.515.750.961-06 for TSB2.PgP1 (C2-Sample)
[wzr2hi, 05.04.2018] Added 7.515.750.961-07 for TSB3.PgP1 (C3-Sample)
[wzr2hi, 16.08.2018] Added 7.505.750.961-08 for TSB4.PgP1 (C4-Sample)
[wzr2hi, 22.10.2018] Added 7.505.750.961 for PreProd1.PgP1
[wzr2hi, 05.04.2018] Added 7.515.750.964-06 for TSB2.PgP1 (C2-Sample)
[wzr2hi, 05.04.2018] Added 7.515.750.964-07 for TSB3.PgP1 (C3-Sample)
[wzr2hi, 16.08.2018] Added 7.505.750.964-08 for TSB4.PgP1 (C4-Sample)
[wzr2hi, 22.10.2018] Added 7.505.750.964 for PreProd1.PgP1
[wzr2hi, 05.04.2018] Added 7.505.751.080-07 for TSB2.PgP1 (C3-Sample)
[wzr2hi, 16.08.2018] Added 7.505.751.080-08 for TSB4.PgP1 (C4-Sample)
[wzr2hi, 22.10.2018] Added 7.505.751.080 for PreProd1.PgP1
[wzr2hi, 23.08.2019] Added 7.505.751.336 for QLU1.PgP1
[wzr2hi, 23.08.2019] Added 7.505.751.340 for QLU1.PgP1
[wzr2hi, 23.08.2019] Added 7.505.751.342 for QLU1.PgP1
[wzr2hi, 16.12.2019] Added 7.505.751.088 for SOP.PgP1 (N61G)
[wzr2hi, 05.08.2020] Added 7.505.751.460 for MY21-ASEAN/GCC.PgP1
[wzr2hi, 15.01.2021] Added 7.505.751.457 for MY22.SOP.PgP1
[wzr2hi, 12.03.2021] Added 7.505.751.593 for FIX-CAPS-PCB.PgP1
[wzr2hi, 12.03.2021] Added 7.505.751.597 for FIX-CAPS-PCB.PgP1
[wzr2hi, 12.03.2021] Added 7.505.751.714 for FIX-CAPS-PCB.PgP1
[wzr2hi, 12.03.2021] Added 7.505.751.599 for FIX-CAPS-PCB.PgP1
[wzr2hi, 15.03.2021] Added 7.505.751.465 for QLU2.PgP1
[wzr2hi, 09.09.2024] Added 7.505.751.958 for QLU.PgP1</t>
  </si>
  <si>
    <t>7.505.751.779-01,
7.505.751.780-01,
7.505.751.779-02,
7.505.751.780-02,
7.505.751.779-03,
7.505.751.780-03,
7.505.751.779,
7.505.751.780,
7.505.752.031,
7.505.752.032,
7.505.752.038,
7.505.752.043,
7.505.752.044,
7.505.752.050,
7.505.752.058,
7.505.752.059,
7.505.752.065,
7.505.752.072,
7.505.752.073,
7.505.752.079,
7.505.752.089,
7.505.752.090,
7.505.752.096,
7.505.752.133,
7.505.752.105</t>
  </si>
  <si>
    <t>[wzr2hi, 09.06.2021] Added 7.505.751.779-01 for TSB5.PgP1
[wzr2hi, 09.06.2021] Added 7.505.751.780-01 for TSB5.PgP1
[wzr2hi, 29.03.2022] Added 7.505.751.779-02 for TSB7.PgP1
[wzr2hi, 29.03.2022] Added 7.505.751.780-02 for TSB7.PgP1
[wzr2hi, 10.11.2022] Added 7.505.751.779-03 for TSB9.PgP1
[wzr2hi, 10.11.2022] Added 7.505.751.780-03 for TSB9.PgP1
[wzr2hi, 16.01.2023] Added 7.505.751.779 for PreProd1.PgP1
[wzr2hi, 16.01.2023] Added 7.505.751.780 for PreProd1.PgP1
[wzr2hi, 01.06.2023} Added 7.505.752.031 for PreProd2.PgP1 (P13C/P61R/P42S)
[wzr2hi, 01.06.2023} Added 7.505.752.032 for PreProd2.PgP1 (P13C/P61R/P42S)
[wzr2hi, 01.06.2023} Added 7.505.752.038 for PreProd2.PgP1 (L42P)
[wzr2hi, 11.10.2023] Added 7.505.752.043 for PreProd2.PgP1 (P13A)
[wzr2hi, 11.10.2023] Added 7.505.752.044 for PreProd2.PgP1 (P13A)
[wzr2hi, 10.11.2023] Added 7.505.752.050 for PreProd3.PgP1 (L42P)
[wzr2hi, 28.11.2023] Added 7.505.752.058 for PreProd4.PgP1 (P13C/P61R/P42S)
[wzr2hi, 28.11.2023] Added 7.505.752.059 for PreProd4.PgP1 (P13C/P42S)
[wzr2hi, 28.11.2023] Added 7.505.752.065 for PreProd4.PgP1 (L42P)
[wzr2hi, 18.01.2024] Added 7.505.752.072 for PreProd3.PgP1 (P13C)
[wzr2hi, 18.01.2024] Added 7.505.752.073 for PreProd3.PgP1 (P13C)
[wzr2hi, 22.03.2024] Added 7.505.752.079 for PreProd5.PgP1
[wzr2hi, 22.03.2024] Added 7.505.752.089 for PreProd6.PgP1 (P61R)
[wzr2hi, 22.03.2024] Added 7.505.752.090 for PreProd6.PgP1
[wzr2hi, 22.03.2024] Added 7.505.752.096 for PreProd6.PgP1
[wzr2hi, 10.07.2024] Added 7.505.752.133 for PreProd8.PgP1 (P13C P61R P42S)
[wzr2hi, 10.09.2024] Added 7.505.752.105 for QLU.PgP1 (P13C)</t>
  </si>
  <si>
    <t>7.513.752.375-02,
7.513.752.375-04,
7.513.752.375,
7.513.753.002</t>
  </si>
  <si>
    <t>7.513.752.376-02,
7.513.752.376-04,
7.513.752.376,
7.513.753.003</t>
  </si>
  <si>
    <t>[wzr2hi, 18.02.2022] Added 7.513.752.409-02 for TSB2.BrgP (V4/V5 SBX)
[wzr2hi, 17.11.2022] Added 7.513.752.409-04 for TSB4.BrgP (V4/V5 SBX)
[wzr2hi, 17.11.2022] Added 7.513.752.409 for PreProd1.BrgP (V4/V5 SBX)
[wzr2hi, 28.10.2024] Added 7.513.753.010 for QLU13.BgP1 (V4/V5 SBX)</t>
  </si>
  <si>
    <t>7.513.752.409-02,
7.513.752.409-04,
7.513.752.409,
7.513.753.010</t>
  </si>
  <si>
    <t>7.513.752.411-02,
7.513.752.411-04,
7.513.752.411,
7.513.752.847,
7.513.753.012</t>
  </si>
  <si>
    <t>7.510.751.778-01,
7.513.752.412-01,
7.513.752.192-02,
7.513.752.407-02,
7.513.752.192-03,
7.513.752.192-04,
7.513.752.192,
7.513.752.407-04,
7.513.752.407,
7.513.752.775,
7.513.752.776,
7.513.752.848,
7.513.752.849,
7.513.753.008,
7.513.753.009,
7.513.753.004,
7.513.753.005</t>
  </si>
  <si>
    <t>7.513.752.372-02,
7.513.752.372-04,
7.513.752.372,
7.513.752.850,
7.513.753.006</t>
  </si>
  <si>
    <t>7.513.752.410-02,
7.513.752.373-02,
7.513.752.410-04,
7.513.752.410,
7.513.752.373-04,
7.513.752.373,
7.513.753.011,
7.513.753.007</t>
  </si>
  <si>
    <t>[wzr2hi, 06.09.2018] Added 7.513.751.160-01 for TSB2.BrgP (V4/V5 SBX)
[wzr2hi, 14.02.2019] Added 7.513.751.160 for PreProdBis.BrgP (V4/V5 SBX)
[wzr2hi, 14.02.2019] Added 7.515.751.414 for PreProd1.PgP1 (V4/V5 SBX)
[wzr2hi, 05.04.2019] Added 7.513.751.533 for PreProd2.BrgP (V4/V5 SBX)
[wzr2hi, 09.03.2020] Added 7.513.751.875 for PPC-SOP.BrgP (V4/V5 SBX) (HJB PHEV)
[wzr2hi, 01.12.2021] Added 7.513.752.330 for QLU.BrgP (V4/V5 SBX)
[wzr2hi, 08.07.2022] Added 7.513.752.472 for SOP.BrgP (V4/V5 SBX)
[wzr2hi, 28.10.2024] Added 7.513.752.994 for QLU13.BrgP (V4/V5 SBX)</t>
  </si>
  <si>
    <t>7.513.751.160-01,
7.513.751.160,
7.515.751.414,
7.513.751.533,
7.513.751.875,
7.513.752.330,
7.513.752.472,
7.513.752.994</t>
  </si>
  <si>
    <t>[wzr2hi, 14.02.2019] Added 7.513.751.162 for PreProdBis.BrgP (V4/V5 SBX)
[wzr2hi, 06.09.2018] Added 7.513.751.162-01 for TSB2.BrgP (V4/V5 SBX)
[wzr2hi, 05.04.2019] Added 7.513.751.538 for PreProd2.BrgP (V4/V5 SBX)
[wzr2hi, 17.01.2020] Added 7.513.751.668 for QLU0.1.BrgP (V4/V5 SBX) (JFC B10 XFD XFB)
[wzr2hi, 09.03.2020] Added 7.513.751.669 for PPC-SOP.BrgP (V4/V5 SBX) (HJB PHEV)
[wzr2hi, 01.12.2021] Added 7.513.752.325 for QLU.BrgP (V4/V5 SBX)
[wzr2hi, 08.07.2022] Added 7.513.752.474 for SOP.BrgP (V4/V5 SBX)
[wzr2hi, 28.10.2024] Added 7.513.752.995 for QLU13.BrgP (V4/V5 SBX)</t>
  </si>
  <si>
    <t>7.513.751.162-01,
7.513.751.162,
7.513.751.538,
7.513.751.668,
7.513.751.669,
7.513.752.325,
7.513.752.474,
7.513.752.995</t>
  </si>
  <si>
    <t>[wzr2hi, 06.09.2018] Added 7.513.751.158-01 for TSB2.BrgP (V4/V5 SBX)
[wzr2hi, 14.02.2019] Added 7.513.751.158 for PreProdBis.BrgP (V4/V5 SBX)
[wzr2hi, 14.02.2019] Added 7.515.751.426 for PreProd1.PgP1 (V4/V5 SBX)
[wzr2hi, 05.04.2019] Added 7.513.751.544 for PreProd2.BrgP (V4/V5 SBX)
[wzr2hi, 09.03.2020] Added 7.513.751.815 for PPC-SOP.BrgP (V4/V5 SBX) (HJB PHEV)
[wzr2hi, 01.12.2021] Added 7.513.752.323 for QLU.BrgP (V4/V5 SBX)
[wzr2hi, 08.07.2022] Added 7.513.752.478 for SOP.BrgP (V4/V5 SBX)
[wzr2hi, 28.10.2024] Added 7.513.752.993 for QLU13.BrgP (V4/V5 SBX)</t>
  </si>
  <si>
    <t>7.513.751.158-01,
7.513.751.158,
7.515.751.426,
7.513.751.544,
7.513.751.815,
7.513.752.323,
7.513.752.478,
7.513.752.993</t>
  </si>
  <si>
    <r>
      <t xml:space="preserve">[wzr2hi, 10.04.2018] Added 7.505.751.100-01 for TSB1.PgP1
[wzr2hi, 10.04.2018] Added 7.507.750.817-02 for TSB1.RBAW
[wzr2hi, 25.04.2018] Added 7.503.750.815-03 for TSB2.BrgP (V4/V5 SBX)
[mkr2hi, 05.07.2018] Added 7.507.750.817-03 for TSB1.RBAW 18/18 Fake-Device based on 7.503.750.815-02
[wzr2hi, 06.09.2018] Added 7.503.750.880-01 for TSB2.BrgP (V4/V5 SBX)
[wzr2hi, 14.09.2018] Added 7.505.751.100-02 forTSB1.PgP1 (V4/V5 SBX)
[wzr2hi, 13.02.2019] Added 7.503.750.880 for PreProdBis.BrgP (V4/V5 SBX)
[wzr2hi, 20.02.2019] Added 7.505.751.100 for PreProd1.PgP1 (V4/V5 SBX)
[wzr2hi, 05.04.2019] Added 7.503.751.259 for PreProd2.BrgP (V4/V5 SBX)
[wzr2hi, 01.10.2019] Added 7.505.751.299 for PPC.PgP1 (V4/V5 SBX)(LJL)
[wzr2hi, 17.01.2020] Added 7.505.751.360 for MP-UPD.PgP1 (V4/V5 SBX)(HJB LFD LJL)
[wzr2hi, 17.01.2020] Added 7.503.751.320 for QLU0.1.BrgP (V4/V5 SBX) (JFC B10 XFD XFB) </t>
    </r>
    <r>
      <rPr>
        <sz val="10"/>
        <color rgb="FFFF0000"/>
        <rFont val="Arial"/>
        <family val="2"/>
      </rPr>
      <t>[wzr2hi 18.09.2020] SDL: DA-Core VM: DA-Affordable BOM: Identical for index 17 and 18 according to J. Boes</t>
    </r>
    <r>
      <rPr>
        <sz val="10"/>
        <rFont val="Arial"/>
        <family val="2"/>
      </rPr>
      <t xml:space="preserve">
[wzr2hi, 27.01.2020] Added 7.503.751.319 for PPC-SOP.BrgP (V4/V5 SBX) (HJB PHEV)
[wzr2hi, 24.03.2020] Added 7.503.751.397 for QLU0.1.BrgP (V4/V5 SBX) (JFC B10 XFD XFB)
[mkr2hi, 13.08.2020] Added 7.503.751.418 for QLU0.2.BrgP (V4/V5 SBX)
[wzr2hi, 09.04.2021] Added 7.505.751.707 for PP4.PgP1 ( V4/V5 SBX)
[wzr2hi, 17.05.2021] Added 7.505.751.706 for MZK-HW-PSW.PgP1 (V4/V5 SBX)
[wzr2hi, 17.05.2021] Added 7.503.751.502 for MZK-HW-PSW.BrgP (V4/V5 SBX)
[wzr2hi, 17.05.2021] Added 7.503.751.503 for MZK-HW-PSW.BrgP (V4/V5 SBX)
[wzr2hi, 08.07.2022] Added 7.503.751.811 for SOP.BrgP (V4/V5 SBX)
[wzr2hi, 08.07.2022] Added 7.503.751.812 for SOP.BrgP (V4/V5 SBX)
[wzr2hi, 11.07.2022] Added 7.505.751.914 for SOP.PgP1 (V4/V5 SBX)
[wzr2hi, 28.10.2024] Added 7.505.752.152 for QLU13.BrgP (V4/V5 SBX)
[wzr2hi, 28.10.2024] Added 7.503.752.029 for QLU13.BrgP (V4/V5 SBX)
[wzr2hi, 28.10.2024] Added 7.503.752.028 for QLU13.BrgP (V4/V5 SBX)</t>
    </r>
  </si>
  <si>
    <t>7.505.751.100-01,
7.507.750.817-02,
7.503.750.815-03,
7.507.750.817-03,
7.503.750.880-01,
7.505.751.100-02,
7.503.750.880,
7.505.751.100,
7.503.751.259,
7.505.751.299,
7.505.751.360,
7.503.751.320,
7.503.751.319,
7.503.751.397,
7.503.751.418,
7.505.751.707,
7.505.751.706,
7.503.751.502,
7.503.751.503,
7.503.751.811,
7.503.751.812,
7.505.751.914,
7.505.752.152,
7.503.752.029,
7.503.752.028</t>
  </si>
  <si>
    <t>[wzr2hi, 13.08.2021] Added 7.513.752.307 for MZK.PP1.BrgP (V4/V5 SBX)
[wzr2hi, 28.03.2022] Added 7.513.752.366 for MP.BrgP (SBX V4/V5)
[wzr2hi, 08.07.2022] Added 7.513.752.496 for SOP.BrgP (V4/V5 SBX)
[wzr2hi, 28.10.2024] Added 7.513.753.001 for QLU13.BrgP (V4/V5 SBX)</t>
  </si>
  <si>
    <t>7.513.752.307,
7.513.752.366,
7.513.752.496,
7.513.753.001</t>
  </si>
  <si>
    <t>[wzr2hi, 10.04.2018] Added 7.505.751.069-01 for TSB1.PgP1
[wzr2hi, 25.04.2018] Added 7.503.750.816-03 for TSB2.BrgP (V4/V5 SBX)
[wzr2hi, 06.09.2018] Added 7.503.750.878-01 for TSB2.BrgP (V4/V5 SBX)
[wzr2hi, 14.09.2018] Added 7.505.751.069-02 forTSB1.PgP1 (V4/V5 SBX)
[wzr2hi, 13.02.2019] Added 7.503.750.878 for PreProdBis.BrgP (V4/V5 SBX)
[wzr2hi, 20.02.2019] Added 7.505.751.069 for PreProd1.PgP1 (V4/V5 SBX) (LJL)
[wzr2hi, 05.04.2019] Added 7.503.751.261 for PreProd2.BrgP (V4/V5 SBX)
[wzr2hi, 16.01.2020] Added 7.503.751.322 for PPC-SOP.BrgP (V4/V5 SBX) (HJB PHEV)
[wzr2hi, 17.01.2020] Added 7.503.751.395 for QLU0.1.BrgP (V4/V5 SBX) (JFC B10 XFD XFB)
[wzr2hi, 04.05.2020] Added 7.503.751.393 for SOP.BrgP (V4/V5 SBX) (X07EV)
[wzr2hi, 27.05.2020] Added 7.505.751.300 for QLU0.1.PgP1 (V4/V5 SBX)
[wzr2hi, 09.04.2021] Added 7.503.751.500 for PP4.BrgP ( V4/V5 SBX)
[wzr2hi, 17.05.2021] Added 7.505.751.705 for MZK-HW-PSW.PgP1 (V4/V5 SBX)
[wzr2hi, 17.05.2021] Added 7.503.751.501 for MZK-HW-PSW.BrgP (V4/V5 SBX)
[mkr2hi, 25.08.2021] Added 7.505.751.704 for MZK-HW-PSW.PgP1 (V4/V5 SBX)
[wzr2hi, 17.06.2022] Added 7.503.751.689 for SOP.BrgP (V4/V5 SBX) (LSR)
[wzr2hi, 08.07.2022] Added 7.503.751.814 for SOP.BrgP (V4/V5 SBX)
[wzr2hi, 08.07.2022] Added 7.503.751.813 for SOP.BrgP (V4/V5 SBX)
[wzr2hi, 11.07.2022] Added 7.505.751.915 for SOP.PgP1 (V4/V5 SBX)
[wzr2hi, 15.12.2022] Added 7.505.751.990 for PP5.PgP1 (V4/V5 SBX)
[wzr2hi, 15.12.2022] Added 7.503.751.863 for PP6.BrgP (V4/V5 SBX)
[wzr2hi, 15.12.2022] Added 7.503.751.864 for PP6.BrgP (V4/V5 SBX)
[wzr2hi, 15.12.2022] Added 7.503.751.865 for PP7.BrgP (V4/V5 SBX) (LSR)
[wzr2hi, 28.10.2024] Added 7.505.752.151 for QLU13.BrgP (V4/V5 SBX)
[wzr2hi, 28.10.2024] Added 7.503.752.026 for QLU13.BrgP (V4/V5 SBX)
[wzr2hi, 28.10.2024] Added 7.503.752.027 for QLU13.BrgP (V4/V5 SBX) (LSR)</t>
  </si>
  <si>
    <t>7.505.751.069-01,
7.503.750.816-03,
7.503.750.878-01,
7.505.751.069-02,
7.503.750.878,
7.505.751.069,
7.503.751.261,
7.503.751.322,
7.503.751.395,
7.503.751.393,
7.505.751.300,
7.503.751.500,
7.505.751.705,
7.503.751.501,
7.505.751.704,
7.503.751.689,
7.503.751.814,
7.503.751.813,
7.505.751.915,
7.505.751.990,
7.503.751.863,
7.503.751.864,
7.503.751.865,
7.505.752.151,
7.503.752.026,
7.503.752.027</t>
  </si>
  <si>
    <t>[wzr2hi, 17.05.2023] Added 7.513.752.763-01 for TSB1.BrgP (V4/V5 SBX)
[wzr2hi, 17.05.2023] Added 7.513.752.763 for PreProdP1.BrgP (V4/V5 SBX)
[wzr2hi, 28.10.2024] Added 7.513.753.000 for QLU13.BrgP (V4/V5 SBX)</t>
  </si>
  <si>
    <t>7.513.752.763-01,
7.513.752.763,
7.513.753.000</t>
  </si>
  <si>
    <t>[wzr2hi, 17.05.2023] Added 7.513.752.764-01 for TSB1.BrgP (V4/V5 SBX)
[wzr2hi, 17.05.2023] Added 7.513.752.764 for PreProd1.BrgP (V4/V5 SBX)
[wzr2hi, 08.08.2023] Added 7.513.752.773 for QLU11.BrgP (V4/V5 SBX)
[wzr2hi, 28.10.2024] Added 7.513.752.999 for QLU13.BrgP (V4/V5 SBX)</t>
  </si>
  <si>
    <t>7.513.752.764-01,
7.513.752.764,
7.513.752.773,
7.513.752.999</t>
  </si>
  <si>
    <t>[wzr2hi, 17.05.2023] Added 7.513.752.762-01 for TSB1.BrgP (V4/V5 SBX)
[wzr2hi, 17.05.2023] Added 7.513.752.762 for PreProd1.BrgP (V4/V5 SBX)
[wzr2hi, 17.05.2023] Added 7.515.752.875-01 for TSB1.PgP1 (V4/V5 SBX)
[wzr2hi, 17.05.2023] Added 7.515.752.875 for PreProd1.PgP1 (V4/V5 SBX)
[wzr2hi, 17.05.2023] Added 7.513.752.765-01 for TSB1.BrgP (V4/V5 SBX) (LSR)
[wzr2hi, 17.05.2023] Added 7.513.752.765 for PreProd1.BrgP (V4/V5 SBX) (LSR)
[wzr2hi, 08.08.2023] Added 7.513.752.772 for QLU11.BrgP (V4/V5 SBX)
[wzr2hi, 08.08.2023] Added 7.513.752.774 for QLU11.BrgP (V4/V5 SBX)
[wzr2hi, 08.08.2023] Added 7.515.752.890 for QLU11.BrgP (V4/V5 SBX)
[wzr2hi, 28.10.2024] Added 7.515.753.108 for QLU13.BrgP (V4/V5 SBX)
[wzr2hi, 28.10.2024] Added 7.513.752.996 for QLU13.BrgP (V4/V5 SBX)
[wzr2hi, 28.10.2024] Added 7.513.752.997 for QLU13.BrgP (V4/V5 SBX)
[wzr2hi, 28.10.2024] Added 7.513.752.998 for QLU13.BrgP (V4/V5 SBX)</t>
  </si>
  <si>
    <t>7.513.752.762-01,
7.513.752.762,
7.515.752.875-01,
7.515.752.875,
7.513.752.765-01,
7.513.752.765,
7.513.752.772,
7.513.752.774,
7.515.752.890,
7.515.753.108,
7.513.752.996,
7.513.752.997,
7.513.752.998</t>
  </si>
  <si>
    <t>[wzr2hi, 04.02.2021] Added 7.513.751.947 for PreProd4.BrgP (V1/V2)
[wzr2hi, 08.07.2022] Added 7.513.752.497 for SOP.BrgP (V2)
[wzr2hi, 28.10.2024] Added 7.513.752.983 for QLU13.BrgP (V2)</t>
  </si>
  <si>
    <t>7.513.751.947,
7.513.752.497,
7.513.752.983</t>
  </si>
  <si>
    <t>[wzr2hi, 04.02.2021] Added 7.513.751.949 for PreProd4.BrgP (V1/V2),
[wzr2hi, 08.07.2022] Added 7.513.752.499 for SOP.BrgP (V2)
[wzr2hi, 28.10.2024] Added 7.513.752.984 for QLU13.BrgP (V2)</t>
  </si>
  <si>
    <t>7.513.751.949,
7.513.752.499,
7.513.752.984</t>
  </si>
  <si>
    <t>[wzr2hi, 20.08.2019] Added 7.505.751.373 for PreProd1.PgP1 (V2) =&gt; [wzr2hi, 25.09.2019] Moved from FCID 0x01BB to FCID 0x01DC due to new BID according to Vincent Briffaut.
[wzr2hi, 25.09.2019] Added 7.503.751.312 for PreProd1.BrgP (V2)
[wzr2hi, 25.09.2019] Added 7.505.751.298 for PreProd1.PgP1 (V1)
[wzr2hi, 03.12.2019] Added 7.503.751.389 for PreProd2.BrgP (V2) (XJK PPC)
[wzr2hi, 16.01.2020] Added 7.505.751.406 for PreProd2.PgP1 (V2) (HJD MEX PPC)
[wzr2hi, 16.01.2020] Added 7.505.751.510 for PreProd2.PgP1 (V2) (HHA BRA PPC)
[wzr2hi, 20.01.2021] Added 7.503.751.497 for PreProd3.BrgP (V1)
[wzr2hi, 01.06.2021] Added 7.503.751.505 for QLU5.BrgP (V1)
[wzr2hi, 01.06.2021] Added 7.503.751.516 for QLU5.BrgP (V2)
[wzr2hi, 01.06.2021] Added 7.505.751.766 for QLU5.PgP1 (V2)
[wzr2hi, 01.06.2021] Added 7.505.751.767 for QLU5.PgP1 (V2)
[wzr2hi, 08.07.2021] Added 7.505.751.765 for PreProd3.BrgP (V2)
[wzr2hi, 08.07.2021] Added 7.503.751.504 for PreProd5.BrgP (V2)
[wzr2hi, 08.07.2022] Added 7.503.751.816 for SOP.BrgP (V2)
[wzr2hi, 08.07.2022] Added 7.503.751.817 for SOP.BrgP (V2)
[wzr2hi, 11.07.2022] Added 7.505.751.916 for SOP.PgP1 (V2)
[wzr2hi, 28.10.2024] Added 7.503.752.025 for QLU13.BrgP (V2)</t>
  </si>
  <si>
    <t>7.505.751.373,
7.503.751.312,
7.505.751.298,
7.503.751.389,
7.505.751.406,
7.505.751.510,
7.503.751.497,
7.503.751.505,
7.503.751.516,
7.505.751.766,
7.505.751.767,
7.505.751.765,
7.503.751.504,
7.503.751.816,
7.503.751.817,
7.505.751.916,
7.503.752.025</t>
  </si>
  <si>
    <t>[wzr2hi, 25.09.2019] Added 7.503.751.313 for PreProd1.BrgP (V2)
[wzr2hi, 03.12.2019] Added 7.503.751.390 for PreProd2.BrgP (V2) (XJK PPC)
[wzr2hi, 01.06.2021] Added 7.503.751.517 for QLU5.BrgP (V2)
[wzr2hi, 08.07.2022] Added 7.503.751.815 for SOP.BrgP (V2)
[wzr2hi, 15.12.2022] Added 7.503.751.866 for PP8.BrgP (V2)
[wzr2hi, 28.10.2024] Added 7.503.752.024 for QLU13.BrgP (V2)</t>
  </si>
  <si>
    <t>7.503.751.313,
7.503.751.390,
7.503.751.517,
7.503.751.815,
7.503.751.866,
7.503.752.024</t>
  </si>
  <si>
    <t>[wzr2hi, 17.05.2023] Added 7.513.752.766-01 for TSB1.BrgP (V2)
[wzr2hi, 17.05.2023] Added 7.513.752.766 for PreProd1.BrgP (V2)
[wzr2hi, 08.08.2023] Added 7.513.752.769 for QLU11.BrgP (V2)
[wzr2hi, 30.09.2024] Added 7.513.752.979 for QLU12.BrgP (V2)
[wzr2hi, 30.09.2024] Added 7.513.752.980 for QLU12.BrgP (V2)
[wzr2hi, 28.10.2024] Added 7.513.752.985 for QLU13.BrgP (V2)
[wzr2hi, 28.10.2024] Added 7.513.752.986 for QLU13.BrgP (V2)
[wzr2hi, 28.10.2024] Added 7.513.752.987 for QLU13.BrgP (V2)
[wzr2hi, 28.10.2024] Added 7.513.752.988 for QLU13.BrgP (V2)</t>
  </si>
  <si>
    <t>7.513.752.766-01,
7.513.752.766,
7.513.752.769,
7.513.752.979,
7.513.752.980,
7.513.752.985,
7.513.752.986,
7.513.752.987,
7.513.752.988</t>
  </si>
  <si>
    <t>[wzr2hi, 14.08.2023] Added 7.513.752.770 for PreProd1.BrgP (V2)
[wzr2hi, 30.09.2024] Added 7.513.752.981 for QLU12.BrgP (V2)
[wzr2hi, 28.10.2024] Added 7.513.752.989 for QLU13.BrgP (V2)
[wzr2hi, 28.10.2024] Added 7.513.752.990 for QLU13.BrgP (V2)</t>
  </si>
  <si>
    <t>7.513.752.770,
7.513.752.981,
7.513.752.989,
7.513.752.990</t>
  </si>
  <si>
    <t>[wzr2hi, 14.08.2023] Added 7.513.752.771 for PreProd1.BrgP (V2)
[wzr2hi, 30.09.2024] Added 7.513.752.982 for QLU12.BrgP (V2)
[wzr2hi, 28.10.2024] Added 7.513.752.991 for QLU13.BrgP (V2)
[wzr2hi, 28.10.2024] Added 7.513.752.992 for QLU13.BrgP (V2)</t>
  </si>
  <si>
    <t>7.513.752.771,
7.513.752.982,
7.513.752.991,
7.513.752.992</t>
  </si>
  <si>
    <t>[wzr2hi, 18.02.2022] Added 7.510.751.778-01 for DSB1.Hi (V4/V5 SBX) (canceled)
[wzr2hi, 17.02.2022] Added 7.513.752.412-01 for TSB1.BrgP (V4/V5 SBX)
[wzr2hi, 17.02.2022] Added 7.513.752.192-02 for TSB2.BrgP (V4/V5 SBX)
[wzr2hi, 18.02.2022] Added 7.513.752.407-02 for TSB2.BrgP (V4/V5 SBX)
[mkr2hi, 22.08.2022] Added 7.513.752.192-03 for TSB3.BrgP (V4/V5 SBX)
[wzr2hi, 17.11.2022] Added 7.513.752.192-04 for TSB4.BrgP (V4/V5 SBX)
[wzr2hi, 17.11.2022] Added 7.513.752.192 for PreProd1.BrgP (V4/V5 SBX)
[wzr2hi, 17.11.2022] Added 7.513.752.407-04 for TSB4.BrgP (V4/V5 SBX)
[wzr2hi, 17.11.2022] Added 7.513.752.407 for PreProd1.BrgP (V4/V5 SBX)
[wzr2hi, 04.08.2023] Added 7.513.752.775 for PreProd2.BrgP (V4/V5 SBX)
[wzr2hi, 04.08.2023] Added 7.513.752.776 for PreProd2.BrgP (V4/V5 SBX)
[wzr2hi, 04.08.2023] Added 7.513.752.848 for PreProd2.BrgP (V4/V5 SBX)
[wzr2hi, 04.08.2023] Added 7.513.752.849 for PreProd2.BrgP (V4/V5 SBX)
[wzr2hi, 28.10.2024] Added 7.513.753.008 for QLU13.BrgP (V4/V5 SBX)
[wzr2hi, 28.10.2024] Added 7.513.753.009 for QLU13.BrgP (V4/V5 SBX)
[wzr2hi, 28.10.2024] Added 7.513.753.004 for QLU13.BrgP (V4/V5 SBX)
[wzr2hi, 28.10.2024] Added 7.513.753.005 for QLU13.BrgP (V4/V5 SBX)</t>
  </si>
  <si>
    <t>[wzr2hi, 18.02.2022] Added 7.513.752.375-02 for TSB2.BrgP (V4/V5 SBX)
[wzr2hi, 17.11.2022] Added 7.513.752.375-04 for TSB4.BrgP (V4/V5 SBX)
[wzr2hi, 17.11.2022] Added 7.513.752.375 for PreProd1.BrgP (V4/V5 SBX)
[wzr2hi, 28.10.2024] Added 7.513.753.002 for QLU13.BrgP (V4/V5 SBX)</t>
  </si>
  <si>
    <t>[wzr2hi, 18.02.2022] Added 7.513.752.376-02 for TSB2.BrgP (V4/V5 SBX)
[wzr2hi, 17.11.2022] Added 7.513.752.376-04 for TSB4.BrgP (V4/V5 SBX)
[wzr2hi, 17.11.2022] Added 7.513.752.376 for PreProd1.BrgP (V4/V5 SBX)
[wzr2hi, 28.10.2024] Added 7.513.753.003 for QLU13.BrgP (V4/V5 SBX)</t>
  </si>
  <si>
    <t>[wzr2hi, 18.02.2022] Added 7.513.752.411-02 for TSB2.BrgP (V4/V5 SBX)
[wzr2hi, 17.11.2022] Added 7.513.752.411-04 for TSB4.BrgP (V4/V5 SBX)
[wzr2hi, 17.11.2022] Added 7.513.752.411 for PreProd1.BrgP (V4/V5 SBX)
[wzr2hi, 04.08.2023] Added 7.513.752.847 for PreProd2.BrgP (V4/V5 SBX)
[wzr2hi, 28.10.2024] Added 7.513.753.012 for QLU13.BrgP (V4/V5 SBX)</t>
  </si>
  <si>
    <t>[wzr2hi, 18.02.2022] Added 7.513.752.372-02 for TSB2.BrgP (V4/V5 SBX)
[wzr2hi, 17.11.2022] Added 7.513.752.372-04 for TSB4.BrgP (V4/V5 SBX)
[wzr2hi, 17.11.2022] Added 7.513.752.372 for PreProd1.BrgP (V4/V5 SBX)
[wzr2hi, 04.08.2023] Added 7.513.752.850 for PreProd2.BrgP (V4/V5 SBX)
[wzr2hi, 28.10.2024] Added 7.513.753.006 for QLU13.BrgP (V4/V5 SBX)</t>
  </si>
  <si>
    <t>[wzr2hi, 18.02.2022] Added 7.513.752.410-02 for TSB2.BrgP (V4/V5 SBX)
[wzr2hi, 18.02.2022] Added 7.513.752.373-02 for TSB2.BrgP (V4/V5 SBX)
[wzr2hi, 17.11.2022] Added 7.513.752.410-04 for TSB4.BrgP (V4/V5 SBX)
[wzr2hi, 17.11.2022] Added 7.513.752.410 for PreProd1.BrgP (V4/V5 SBX)
[wzr2hi, 17.11.2022] Added 7.513.752.373-04 for TSB4.BrgP (V4/V5 SBX)
[wzr2hi, 17.11.2022] Added 7.513.752.373 for PreProd1.BrgP (V4/V5 SBX)
[wzr2hi, 28.10.2024] Added 7.513.753.011 for QLU13.BrgP (V4/V5 SBX)
[wzr2hi, 28.10.2024] Added 7.513.753.007 for QLU13.BrgP (V4/V5 SBX)</t>
  </si>
  <si>
    <t>7.510.751.314-01,
7.510.751.317-01,
7.510.751.323-01,
7.515.751.606-01,
7.515.751.609-01,
7.515.751.614-01,
7.515.751.606-02,
7.515.751.609-02,
7.515.751.614-02,
7.515.751.806-01,
7.515.751.809-01,
7.515.751.614-03,
7.515.751.606,
7.515.751.609,
7.515.751.806,
7.515.751.809,
7.515.752.092,
7.515.752.093,
7.515.751.996,
7.515.751.999,
7.515.752.067,
7.515.752.070,
7.515.752.018,
7.515.752.021,
7.515.752.192,
7.515.752.193,
7.515.752.195,
7.515.752.198,
7.515.752.206,
7.515.752.209,
7.515.752.320,
7.515.752.321,
7.515.752.700,
7.515.752.709,
7.515.752.701,
7.515.752.710,
7.515.752.324,
7.515.752.325</t>
  </si>
  <si>
    <t>[wzr2hi, 08.03.2019] Added 7.510.751.314-01 for DSB5.X.Hi (P33C)
[wzr2hi, 08.03.2019] Added 7.510.751.317-01 for DSB5.X.Hi (P33C)
[wzr2hi, 08.03.2019] Added 7.510.751.323-01 for DSB5.X.Hi (P33C)
[wzr2hi, 23.08.2019] Added 7.515.751.606-01 for TSB5.1.PgP1 (P33C)
[wzr2hi, 23.08.2019] Added 7.515.751.609-01 for TSB5.1.PgP1 (P33C)
[wzr2hi, 23.08.2019] Added 7.515.751.614-01 for TSB5.1.PgP1 (P33C)
[wzr2hi, 12.11.2019] Added 7.515.751.606-02 for TSB5.3.PgP1 (P33C)
[wzr2hi, 12.11.2019] Added 7.515.751.609-02 for TSB5.3.PgP1 (P33C)
[wzr2hi, 12.11.2019] Added 7.515.751.614-02 for TSB5.3.PgP1 (P33C)
[wzr2hi, 29.01.2020] Added 7.515.751.806-01 for TSB5.5.PgP1 (P33C)
[wzr2hi, 29.01.2020] Added 7.515.751.809-01 for TSB5.5.PgP1 (P33C)
[wzr2hi, 29.01.2020] Added 7.515.751.614-03 for TSB5.5.PgP1 (P33C)
[wzr2hi, 20.07.2020] Added 7.515.751.606 for PreProd5.1.PgP1 (P33C)
[wzr2hi, 20.07.2020] Added 7.515.751.609 for PreProd5.1.PgP1 (P33C)
[wzr2hi, 17.09.2020] Added 7.515.751.806 for PreProd5.2.PgP1 (P33C)
[wzr2hi, 17.09.2020] Added 7.515.751.809 for PreProd5.2.PgP1 (P33C)
[wzr2hi, 28.10.2020] Added 7.515.752.092 for PreProd5.2.PgP1 (P33C)
[wzr2hi, 28.10.2020] Added 7.515.752.093 for PreProd5.2.PgP1 (P33C)
[wzr2hi, 17.12.2020] Added 7.515.751.996 for PreProd5.4.PgP1 (P33C)
[wzr2hi, 17.12.2020] Added 7.515.751.999 for PreProd5.4.PgP1 (P33C)
[wzr2hi, 14.01.2021] Added 7.515.752.067 for SOP.PgP1 (P33C)
[wzr2hi, 14.01.2021] Added 7.515.752.070 for SOP.PgP1 (P33C)
[wzr2hi, 09.02.2021] Added 7.515.752.018 for SOP.PgP1 (P33C)
[wzr2hi, 09.02.2021] Added 7.515.752.021 for SOP.PgP1 (P33C)
[wzr2hi, 25.02.2021] Added 7.515.752.192 for SOP.PgP1 (P33C) (TeVa)
[wzr2hi, 25.02.2021] Added 7.515.752.193 for SOP.PgP1 (P33C) (TeVa)
[wzr2hi, 17.05.2021] Added 7.515.752.195 for SOP3.2.PgP1 (P33C)
[wzr2hi, 17.05.2021] Added 7.515.752.198 for SOP3.2.PgP1 (P33C)
[wzr2hi, 07.12.2021] Added 7.515.752.206 for SOP5.1.PgP1 (P33C)
[wzr2hi, 07.12.2021] Added 7.515.752.209 for SOP5.1.PgP1 (P33C)
[wzr2hi, 04.08.2022] Added 7.515.752.320 for SOP5.2.PgP1 (P33C)
[wzr2hi, 04.08.2022] Added 7.515.752.321 for SOP5.2.PgP1 (P33C)
[wzr2hi, 08.09.2022] Added 7.515.752.700 for SOP7.PgP1 (P33C)
[wzr2hi, 08.09.2022] Added 7.515.752.709 for SOP7.1.PgP1 (P33C)
[wzr2hi, 08.09.2022] Added 7.515.752.701 for SOP7.PgP1 (P33C)
[wzr2hi, 08.09.2022] Added 7.515.752.710 for SOP7.1.PgP1 (P33C)
[wzr2hi, 24.07.2024] Added 7.515.752.324 for SOP6.PgP1 (P33C)
[wzr2hi, 24.07.2024] Added 7.515.752.325 for SOP6.PgP1 (P33C)</t>
  </si>
  <si>
    <t>[wzr2hi, 08.03.2019] Added 7.510.751.318-01 for DSB5.X.Hi (P33C)
[wzr2hi, 12.11.2019] Added 7.515.751.610-02 for TSB5.3.PgP1 (P33C)
[wzr2hi, 29.01.2020] Added 7.515.751.810-01 for TSB5.5.PgP1 (P33C)
[wzr2hi, 20.07.2020] Added 7.515.751.610 for PreProd5.1.PgP1 (P33C)
[wzr2hi, 17.09.2020] Added 7.515.751.810 for PreProd5.2.PgP1 (P33C)
[wzr2hi, 28.10.2020] Added 7.515.752.094 for PreProd5.2.PgP1 (P33C)
[wzr2hi, 17.12.2020] Added 7.515.752.000 for PreProd5.4.PgP1 (P33C)
[wzr2hi, 14.01.2021] Added 7.515.752.071 for SOP.PgP1 (P33C)
[wzr2hi, 01.04.2021] Added 7.515.752.199 for SOP3.PgP1 (P33C)
[wzr2hi, 17.05.2021] Added 7.515.752.210 for SOP3.2.PgP1 (P33C)
[wzr2hi, 08.07.2021] Added 7.515.752.322 for SOP4.PgP1 (P33C)
[wzr2hi, 08.07.2021] Added 7.515.752.303-01 for DSB1.PgP1 (Triton)
[wzr2hi, 01.10.2021] Added 7.515.752.303-02 for TSB1.PgP1 (Triton)
[wzr2hi, 15.11.2021] Added 7.515.752.303-03 for TSB2.PgP1 (Triton)
[wzr2hi, 06.01.2022] Added 7.515.752.326 for SOP4.5.PgP1 (P33C)
[wzr2hi, 25.01.2022] Added 7.515.752.303-04 for TSB3.PgP1 (Triton)
[wzr2hi, 30.05.2022] Added 7.515.752.303 for PreProd1.PgP1 (Triton)
[wzr2hi, 04.08.2022] Added 7.515.752.544 for SOP5.2.PgP1 (P33C)
[wzr2hi, 07.12.2022] Added 7.515.752.641 for PreProd3.PgP1 (Triton)
[wzr2hi, 23.03.2023] Added 7.515.752.651 for PreProd4.PgP1 (Triton)
[wzr2hi, 26.02.2024] Added 7.515.752.947 for PreProd5.PgP1 (Triton)
[wzr2hi, 26.02.2024] Added 7.515.752.948 for PreProd5.PgP1 (Triton)
[wzr2hi, 26.02.2024] Added 7.515.752.370 for SOP6.PgP1 (P33C)
[wzr2hi, 15.01.2025] Added 7.515.753.171 for SOP1.PgP1 (Triton)</t>
  </si>
  <si>
    <t>7.510.751.318-01,
7.515.751.610-02,
7.515.751.810-01,
7.515.751.610,
7.515.751.810,
7.515.752.094,
7.515.752.000,
7.515.752.071,
7.515.752.199,
7.515.752.210,
7.515.752.322,
7.515.752.303-01,
7.515.752.303-02,
7.515.752.303-03,
7.515.752.326,
7.515.752.303-04,
7.515.752.303,
7.515.752.544,
7.515.752.641,
7.515.752.651,
7.515.752.947,
7.515.752.948,
7.515.752.370,
7.515.753.171</t>
  </si>
  <si>
    <t>7.500.750.850-01,
7.505.751.171-02,
7.505.751.172-02,
7.505.751.171-03,
7.505.751.172-03,
7.500.750.890-01,
7.500.750.890-02,
7.500.750.863-02,
7.500.750.863-03,
7.505.751.171,
7.505.751.172,
7.505.751.398-01,
7.505.751.399-01,
7.505.751.412,
7.505.751.413,
7.505.751.477,
7.505.751.478,
7.505.751.511,
7.505.751.512,
7.505.751.554,
7.505.751.555,
7.505.751.490,
7.505.751.491,
7.505.751.522-01,
7.505.751.545-01,
7.505.751.398,
7.505.751.399,
7.505.751.532,
7.505.751.533,
7.505.751.548,
7.505.751.612,
7.505.751.515,
7.505.751.516,
7.505.751.621,
7.505.751.622,
7.505.751.640-01,
7.505.751.641-01,
7.505.751.631,
7.505.751.613-01,
7.505.751.614-01,
7.505.751.613,
7.505.751.614,
7.505.751.632,
7.505.751.633,
7.505.751.640-02,
7.505.751.641-02,
7.505.751.660,
7.505.751.661,
7.505.751.693,
7.505.751.694,
7.505.751.703-01,
7.505.751.703-02,
7.505.751.685,
7.505.751.686,
7.505.751.754,
7.505.751.755,
7.505.751.793,
7.505.751.794,
7.505.751.797,
7.505.751.784,
7.505.751.785,
7.505.751.805,
7.505.751.806,
7.505.751.807,
7.505.751.808,
7.505.751.640,
7.505.751.641,
7.505.751.738,
7.505.751.739,
7.505.751.798,
7.505.751.761,
7.505.751.762,
7.505.751.818,
7.505.751.816,
7.505.751.817,
7.505.751.838,
7.505.751.759,
7.505.751.760,
7.505.751.848,
7.505.751.849,
7.505.751.860-01,
7.505.751.869-01,
7.505.751.871,
7.505.751.872,
7.505.751.826,
7.505.751.827,
7.505.751.828,
7.505.751.829,
7.505.751.869,
7.505.751.832,
7.505.751.833,
7.505.751.870,
7.505.751.921,
7.505.751.862,
7.505.751.875,
7.505.751.876,
7.505.751.845,
7.505.751.860,
7.505.751.950,
7.505.751.951,
7.505.751.952,
7.505.751.918,
7.505.751.919,
7.505.751.973,
7.505.751.974,
7.505.751.937,
7.505.751.938,
7.505.751.948,
7.505.751.949,
7.505.752.005,
7.505.752.006,
7.505.752.003,
7.505.752.004,
7.505.752.016,
7.505.752.017,
7.505.752.019,
7.505.752.020,
7.505.752.025,
7.505.752.026,
7.505.752.039,
7.505.752.040,
7.505.752.112,
7.505.752.113,
7.505.752.114,
7.505.752.115,
7.505.752.162,
7.505.752.163,
7.505.752.166,
7.505.752.167</t>
  </si>
  <si>
    <t>[wzr2hi, 08.01.2018] Added 7.500.750.850-01 for Proto1
[wzr2hi, 24.04.2019] Added 7.505.751.171-02 for TSB1.2.PgP1 (P33A)
[wzr2hi, 24.04.2019] Added 7.505.751.172-02 for TSB1.2.PgP1 (P33A)
[wzr2hi, 06.05.2019] Added 7.505.751.171-03 for TSB2.PgP1 (P33A)
[wzr2hi, 06.05.2019] Added 7.505.751.172-03 for TSB2.PgP1 (P33A)
[wzr2hi, 17.06.2019] Added 7.500.750.890-01 for DSB3.0.HI (P42R)
[wzr2hi, 14.06.2019] Added 7.500.750.890-02 for DSB3.2.HI (P42R)
[wzr2hi, 17.06.2019] Added 7.500.750.863-02 for DSB3.0.HI (P42R)
[wzr2hi, 14.06.2019] Added 7.500.750.863-03 for DSB3.2.HI (P42R)
[wzr2hi, 27.08.2019] Added 7.505.751.171 for PreProd1.PgP1 (P33A)
[wzr2hi, 27.08.2019] Added 7.505.751.172 for PreProd1.PgP1 (P33A)
[wzr2hi, 28.10.2019] Added 7.505.751.398-01 for TSB3.1.PgP1 (P42R)
[wzr2hi, 28.10.2019] Added 7.505.751.399-01 for TSB3.1.PgP1 (P42R)
[wzr2hi, 18.12.2019] Added 7.505.751.412 for PreProd2.PgP1 (P33A)
[wzr2hi, 18.12.2019] Added 7.505.751.413 for PreProd2.PgP1 (P33A)
[wzr2hi, 03.03.2020] Added 7.505.751.477 for SOP.PgP1 (P33A)
[wzr2hi, 03.03.2020] Added 7.505.751.478 for SOP.PgP1 (P33A)
[wzr2hi, 17.06.2020] Added 7.505.751.511 for QLU1.PgP1 (H61L)
[wzr2hi, 17.06.2020] Added 7.505.751.512 for QLU1.PgP1 (H61L)
[wzr2hi, 10.07.2020] Added 7.505.751.554 for MR15-PT1.PgP1 (P33A)
[wzr2hi, 10.07.2020] Added 7.505.751.555 for MR15-PT1.PgP1 (P33A)
[wzr2hi, 22.07.2020] Added 7.505.751.490 for SOP-UPD.PgP1 (P33A)
[wzr2hi, 22.07.2020] Added 7.505.751.491 for SOP-UPD.PgP1 (P33A)
[wzr2hi, 29.07.2020] Added 7.505.751.522-01 for TSB8.PgP1 (C53L)
[wzr2hi, 29.07.2020] Added 7.505.751.545-01 for TSB8.PgP1 (C53L)
[wzr2hi, 07.09.2020] Added 7.505.751.398 for PreProd3.1.PgP1 (P42R)
[wzr2hi, 07.09.2020] Added 7.505.751.399 for PreProd3.1.PgP1 (P42R)
[wzr2hi, 18.09.2020] Added 7.505.751.532 for SOP-UPD.PgP1 (P33A)
[wzr2hi, 18.09.2020] Added 7.505.751.533 for SOP-UPD.PgP1 (P33A)
[wzr2hi, 09.10.2020] Added 7.505.751.548 for PP4.1.PgP1 (H61L)
[wzr2hi, 09.10.2020] Added 7.505.751.612 for PP4.1.PgP1 (H61L)
[wzr2hi, 13.10.2019] Added 7.505.751.515 for PreProd3.2.PgP1 (P42R)
[wzr2hi, 13.10.2019] Added 7.505.751.516 for PreProd3.2.PgP1 (P42R)
[wzr2hi, 09.11.2020] Added 7.505.751.621 for MR15-SOP.PgP1 (P33A)
[wzr2hi, 09.11.2020] Added 7.505.751.622 for MR15-SOP.PgP1 (P33A)
[wzr2hi, 14.12.2020] Added 7.505.751.640-01 for TSB8.PgP1 (C53L)
[wzr2hi, 14.12.2020] Added 7.505.751.641-01 for TSB8.PgP1 (C53L)
[wzr2hi, 08.01.2021] Added 7.505.751.631 for MZK-MR15-SOP.PgP1 (P33A)
[wzr2hi, 11.01.2021] Added 7.505.751.613-01 for MY22-TSB9.PgP1 (H61L)
[wzr2hi, 11.01.2021] Added 7.505.751.614-01 for MY22-TSB9.PgP1 (H61L)
[wzr2hi, 13.01.2021] Added 7.505.751.613 for MY22-PreProd6.1.PgP1 (H61L)
[wzr2hi, 13.01.2021] Added 7.505.751.614 for MY22-PreProd6.1.PgP1 (H61L)
[wzr2hi, 04.02.2021] Added 7.505.751.632 for SOP1.PgP1 (P42R)
[wzr2hi, 04.02.2021] Added 7.505.751.633 for SOP1.PgP1 (P42R)
[wzr2hi, 05.03.2021] Added 7.505.751.640-02 for TSB10.PgP1 (C53L)
[wzr2hi, 05.03.2021] Added 7.505.751.641-02 for TSB10.PgP1 (C53L)
[wzr2hi, 18.03.2021] Added 7.505.751.660 for SOP1.1.PgP1 (P42R)
[wzr2hi, 18.03.2021] Added 7.505.751.661 for SOP1.1.PgP1 (P42R)
[wzr2hi, 12.04.2021] Added 7.505.751.693 for MY22.SOP4.PgP1(P33A)
[wzr2hi, 12.04.2021] Added 7.505.751.694 for MY22.SOP4.PgP1(P33A)
[wzr2hi, 19.04.2021] Added 7.505.751.703-01 for DSB1.1.PgP1 (H61L)
[wzr2hi, 19.04.2021] Added 7.505.751.703-02 for DSB1.1.PgP1 (H61L)
[wzr2hi, 23.04.2021] Added 7.505.751.685 for PreProd9.1.PgP1 (H61L)
[wzr2hi, 23.04.2021] Added 7.505.751.686 for PreProd9.1.PgP1 (H61L)
[wzr2hi, 21.05.2021] Added 7.505.751.754 for MY22.SOP4.PgP1(P33A)
[wzr2hi, 21.05.2021] Added 7.505.751.755 for MY22.SOP4.PgP1(P33A)
[wzr2hi, 11.06.2021] Added 7.505.751.793 PreProd2.2.PgP1 (P33B)
[wzr2hi, 11.06.2021] Added 7.505.751.794 PreProd2.2.PgP1 (P33B)
[wzr2hi, 14.07.2021] Added 7.505.751.797 for PreProd9.1.PgP1 (H61L)
[wzr2hi, 13.08.2021] Added 7.505.751.784 for QLU2.PgP1 (H61L)
[wzr2hi, 13.08.2021] Added 7.505.751.785 for QLU2.PgP1 (H61L)
[wzr2hi, 07.09.2021] Added 7.505.751.805 MY22.QLU1.SOP4.PgP1 (P33A)
[wzr2hi, 07.09.2021] Added 7.505.751.806 MY22.QLU1.SOP4.PgP1 (P33A)
[wzr2hi, 07.09.2021] Added 7.505.751.807 MY22.QLU1.SOP4.PgP1 (P33A)
[wzr2hi, 07.09.2021] Added 7.505.751.808 MY22.QLU1.SOP4.PgP1 (P33A)
[wzr2hi, 13.09.2021] Added 7.505.751.640 for PreProd1.PgP1 (C53L)
[wzr2hi, 13.09.2021] Added 7.505.751.641 for PreProd1.PgP1 (C53L)
[wzr2hi, 13.09.2021] Added 7.505.751.738 for PreProd2.PgP1 (C53L)
[wzr2hi, 13.09.2021] Added 7.505.751.739 for PreProd2.PgP1 (C53L)
[wzr2hi, 21.10.2021] Added 7.505.751.798 for FVC.PgP1 (H61L)
[wzr2hi, 01.11.2021] Added 7.505.751.761 for SOP5.PgP1 (P42R)
[wzr2hi, 01.11.2021] Added 7.505.751.762 for SOP5.PgP1 (P42R)
[wzr2hi, 16.11.2021] Added 7.505.751.818 for PreProd10.1.PgP1 (H61L)
[wzr2hi, 01.12.2021] Added 7.505.751.816 for PreProd7.PgP1 (P33A)
[wzr2hi, 01.12.2021] Added 7.505.751.817 for PreProd7.PgP1 (P33A)
[wzr2hi, 24.01.2022] Added 7.505.751.838 for QLU3.PgP1 (H61L)
[wzr2hi, 09.02.2022] Added 7.505.751.759 for SOP7.PgP1 (P42R)
[wzr2hi, 09.02.2022] Added 7.505.751.760 for SOP7.PgP1 (P42R)
[wzr2hi, 09.02.2022] Added 7.505.751.848 for SOP8.PgP1 (P42R)
[wzr2hi, 09.02.2022] Added 7.505.751.849 for SOP8.PgP1 (P42R)
[wzr2hi, 23.02.2022] Added 7.505.751.860-01 for LSR.DSB1.PgP1 (H61L)
[wzr2hi, 07.03.2022] Added 7.505.751.869-01 for LSR.DSB1.PgP1 (P33AB)
[wzr2hi, 22.03.2022] Added 7.505.751.871 for SOP8.PgP1 (P42R)
[wzr2hi, 22.03.2022] Added 7.505.751.872 for SOP8.PgP1 (P42R)
[wzr2hi, 13.04.2022] Added 7.505.751.826 for SOP5.PgP1 (P33A)
[wzr2hi, 13.04.2022] Added 7.505.751.827 for SOP5.PgP1 (P33A)
[wzr2hi, 26.04.2022] Added 7.505.751.828 for MY23.SOP5.PgP1 (P33A)
[wzr2hi, 26.04.2022] Added 7.505.751.829 for MY23.SOP5.PgP1 (P33A)
[wzr2hi, 02.06.2022] Added 7.505.751.869 for PreProd9.PgP1 (P33A)
[wzr2hi, 11.07.2022] Added 7.505.751.832 for PreProd3.PgP1 (C53L)
[wzr2hi, 11.07.2022] Added 7.505.751.833 for PreProd3.PgP1 (C53L)
[wzr2hi, 28.07.2022] Added 7.505.751.870 for PreProd9.PgP1 (P33A LSR)
[wzr2hi, 28.07.2022] Added 7.505.751.921 for PreProd9.PgP1 (P33A LSR)
[wzr2hi, 28.07.2022] Added 7.505.751.862 for PreProd9.PgP1 (P33A LSR)
[wzr2hi, 28.07.2022] Added 7.505.751.875 for SOP11.PgP1 (P42R)
[wzr2hi, 28.07.2022] Added 7.505.751.876 for SOP11.PgP1 (P42R)
[wzr2hi, 28.07.2022] Added 7.505.751.845 for QLU3.PgP1 (H61L)
[wzr2hi, 28.07.2022] Added 7.505.751.860 for QLU3.PgP1 (H61L)
[wzr2hi, 04.10.2022] Added 7.505.751.950 for MY22.PreProd14.2.PgP1 (H61L)
[wzr2hi, 07.10.2022] Added 7.505.751.951 for PreProd4.PgP1 (C53L)
[wzr2hi, 07.10.2022] Added 7.505.751.952 for PreProd4.PgP1 (C53L)
[wzr2hi, 12.10.2022] Added 7.505.751.918 for LSR.PreProd10.PgP1 (P33A)
[wzr2hi, 12.10.2022] Added 7.505.751.919 for LSR.PreProd10.PgP1 (P33A)
[wzr2hi, 21.10.2022] Added 7.505.751.973 for PreProd5.PgP1 (C53L)
[wzr2hi, 21.10.2022] Added 7.505.751.974 for PreProd5.PgP1 (C53L)
[mkr2hi, 27.10.2022] Added 7.505.751.937 for SOP8.PgP1 (P33A)
[mkr2hi, 27.10.2022] Added 7.505.751.938 for SOP8.PgP1 (P33A)
[wzr2hi, 16.11.2022] Added 7.505.751.948 for SOP11.2.PgP1 (P42R)
[wzr2hi, 16.11.2022] Added 7.505.751.949 for SOP11.2.PgP1 (P42R)
[wzr2hi, 27.02.2023] Added 7.505.752.005 for PreProd6.PgP1 (C53L)
[wzr2hi, 27.02.2023] Added 7.505.752.006 for PreProd6.PgP1 (C53L)
[wzr2hi, 20.03.2023] Added 7.505.752.003 for SOP9.PgP1 (P33A)
[wzr2hi, 20.03.2023] Added 7.505.752.004 for SOP9.PgP1 (P33A)
[wzr2hi, 06.04.2023] Added 7.505.752.016 for MY24.PreProd12.PgP1 (P33A)
[wzr2hi, 06.04.2023] Added 7.505.752.017 for MY24.PreProd12.PgP1 (P33A)
[wzr2hi, 21.04.2023] Added 7.505.752.019 for PreProd7.PgP1 (C53L)
[wzr2hi, 21.04.2023] Added 7.505.752.020 for PreProd7.PgP1 (C53L)
[wzr2hi, 17.05.2023] Added 7.505.752.025 for MY24.PreProd12.PgP1 (P33A LSR)
[wzr2hi, 17.05.2023] Added 7.505.752.026 for MY24.PreProd12.PgP1 (P33A LSR)
[wzr2hi, 08.06.2023] Added 7.505.752.039 for MY24.PreProd13.PgP1 (P33A)
[wzr2hi, 08.06.2023] Added 7.505.752.040 for MY24.PreProd13.PgP1 (P33A)
[wzr2hi, 21.06.2024] Added 7.505.752.112 for SOP14.PgP1 (P42A)
[wzr2hi, 21.06.2024] Added 7.505.752.113 for SOP14.PgP1 (P42A)
[wzr2hi, 03.07.2024] Added 7.505.752.114 for SOP14.PgP1 (P33A)(TI)
[wzr2hi, 03.07.2024] Added 7.505.752.115 for SOP14.PgP1 (P33A)(TI)
[wzr2hi, 06.02.2025] Added 7.505.752.162 for SOP16.PgP1(P33A)
[wzr2hi, 06.02.2025] Added 7.505.752.163 for SOP16.PgP1(P33A)
[wzr2hi, 11.02.2025] Added 7.505.752.166 for SOP14.2.PgP1 (P42R)
[wzr2hi, 11.02.2025] Added 7.505.752.167 for SOP14.2.PgP1 (P42R)</t>
  </si>
  <si>
    <t>[wzr2hi, 03.07.2024] Added 7.505.752.111-01 for TSB11.PgP1 (L42P)(CRQ323)
[wzr2hi, 03.07.2024] Added 7.505.752.111 for PreProd7.PgP1 (L42P)(CRQ323)
[wzr2hi, 04.07.2024] Added 7.505.752.116-01 for TSB11.PgP1 (P13C)(CRQ323)
[wzr2hi, 04.07.2024] Added 7.505.752.116 for PreProd7.PgP1 (P13C)(CRQ323)
[wzr2hi, 04.07.2024] Added 7.505.752.117-01 for TSB11.PgP1 (P13C)(CRQ323)
[wzr2hi, 04.07.2024] Added 7.505.752.117 for PreProd7.PgP1 (P13C)(CRQ323)
[wzr2hi, 04.07.2024] Added 7.505.752.123-01 for TSB11.PgP1 (P61R)(CRQ323)
[wzr2hi, 04.07.2024] Added 7.505.752.123 for PreProd7.PgP1 (P61R)(CRQ323)
[wzr2hi, 04.07.2024] Added 7.505.752.126-01 for TSB11.PgP1 (P42S)(CRQ323)
[wzr2hi, 04.07.2024] Added 7.505.752.126 for PreProd7.PgP1 (P42S)(CRQ323)
[wzr2hi, 04.07.2024] Added 7.505.752.127-01 for TSB11.PgP1 (P42S)(CRQ323)
[wzr2hi, 04.07.2024] Added 7.505.752.127 for PreProd7.PgP1 (P42S)(CRQ323)
[wzr2hi, 08.01.2025] Added 7.505.752.153 for PreProd9.PgP1 (L42P)(CRQ323)
[wzr2hi, 18.02.2025] Added 7.505.752.168 for PreProd7.PgP1 (L42P)(GNSS Corr. PCB)</t>
  </si>
  <si>
    <t>7.505.752.111-01,
7.505.752.111,
7.505.752.116-01,
7.505.752.116,
7.505.752.117-01,
7.505.752.117,
7.505.752.123-01,
7.505.752.123,
7.505.752.126-01,
7.505.752.126,
7.505.752.127-01,
7.505.752.127,
7.505.752.153,
7.505.752.168</t>
  </si>
  <si>
    <t>[wzr2hi, 19.03.2019] Added 7.515.751.698-02 for TSB3.PgP1 (TBD)
[wzr2hi, 22.07.2020] Added 7.515.751.698 for PreProd1.PgP1 (TBD)
[wzr2hi, 09.12.2020] Added 7.515.752.109 for MP.PgP1 (TBD)
[wzr2hi, 15.01.2021] Added 7.515.752.153 for PreProd2-UPD.PgP1 (P42Q)
[wzr2hi, 18.03.2021] Added 7.515.752.220 for PreProd3.PgP1 (P42Q)
[wzr2hi, 05.07.2021] Added 7.515.752.290 for SOP.PgP1 (TBD)
[wzr2hi, 01.04.2022] Added 7.515.752.383 for MY23.SOP.PgP1 (TBD)
[wzr2hi, 22.12.2022] Added 7.515.752.591 for QLU4.PgP1 (TBD)
[wzr2hi, 18.01.2023] Added 7.515.752.814 for MY25.MP.PgP1 (H61P)
[wzr2hi, 03.05.2023] Added 7.515.752.676 for QLU4.1.PgP1 (TBD)
[wzr2hi, 04.01.2024] Added 7.515.752.932 for MY25.QLU.PgP1 (H61P)
[wzr2hi, 11.03.2024] Added 7.515.752.957 for MP.PgP1 (H61P)(HD disabled in VM, PD, CD)
[wzr2hi, 09.07.2024] Added 7.515.753.055 for MY25.MP.PgP1 (H61P)(HD disabled in VM, PD, CD)
[wzr2hi, 21.02.2025] Added 7.515.753.107 for MY26.QLU.PgP1 (H61P) (HD disabled in VM, PD, CD)</t>
  </si>
  <si>
    <t>7.515.751.698-02,
7.515.751.698,
7.515.752.109,
7.515.752.153,
7.515.752.220,
7.515.752.290,
7.515.752.383,
7.515.752.591,
7.515.752.814,
7.515.752.676,
7.515.752.932,
7.515.752.957,
7.515.753.055,
7.515.753.107</t>
  </si>
  <si>
    <t>7.515.751.779-01,
7.515.751.780-01,
7.515.751.897,
7.515.751.905,
7.515.751.906,
7.515.751.965,
7.515.751.966,
7.515.751.892-01,
7.515.751.893-01,
7.515.751.953-01,
7.515.751.909,
7.515.751.910,
7.515.751.779,
7.515.751.780,
7.515.752.009,
7.515.752.010,
7.515.751.892,
7.515.751.893,
7.515.752.011,
7.515.752.012,
7.515.751.977,
7.515.751.978,
7.515.752.096,
7.515.752.097,
7.515.752.125,
7.515.752.126,
7.515.752.031-01,
7.515.752.080-01,
7.515.752.031,
7.515.752.080,
7.515.752.129,
7.515.752.130,
7.515.751.953-02,
7.515.752.165,
7.515.752.166,
7.515.752.173,
7.515.752.174,
7.515.752.258,
7.515.752.259,
7.515.752.176,
7.515.752.177,
7.515.752.270-01,
7.515.752.270-02,
7.515.752.270-03,
7.515.752.270-04,
7.515.752.270-05,
7.515.752.270-06,
7.515.752.270-07,
7.515.752.216,
7.515.752.217,
7.515.752.352,
7.515.751.953-03,
7.515.752.332,
7.515.752.333,
7.515.752.374,
7.515.752.375,
7.515.751.953,
7.515.752.286,
7.515.752.179,
7.515.752.180,
7.515.752.353,
7.515.752.312,
7.515.752.313,
7.515.752.416,
7.515.752.417,
7.515.752.396,
7.515.752.394,
7.515.752.395,
7.515.752.454,
7.515.752.425,
7.515.752.426,
7.515.752.509,
7.515.752.510,
7.515.752.545-01,
7.515.752.547-01,
7.515.752.419,
7.515.752.420,
7.515.752.555,
7.515.752.556,
7.515.752.541,
7.515.752.542,
7.515.752.474,
7.515.752.475,
7.515.752.545,
7.515.752.431,
7.515.752.673,
7.515.752.546,
7.515.752.563,
7.515.752.564,
7.515.752.547,
7.515.752.456,
7.515.752.548,
7.515.752.549,
7.515.752.680,
7.515.752.681,
7.515.752.749,
7.515.752.750,
7.515.752.751,
7.515.752.752,
7.515.752.758,
7.515.752.747,
7.515.752.748,
7.515.752.713,
7.515.752.714,
7.515.752.847,
7.515.752.836,
7.515.752.837,
7.515.752.873,
7.515.753.044,
7.515.753.045,
7.515.753.113,
7.515.753.114,
7.515.753.115,
7.515.753.116,
7.515.753.117,
7.515.753.118,
7.515.753.119,
7.515.753.120</t>
  </si>
  <si>
    <t>[wzr2hi, 28.10.2019] Added 7.515.751.779-01 for TSB3.1.PgP1 (P42R)
[wzr2hi, 28.10.2019] Added 7.515.751.780-01 for TSB3.1.PgP1 (P42R)
[wzr2hi, 24.03.2020] Added 7.515.751.897 for SOP.PgP1 (P33A)
[wzr2hi, 24.03.2020] Added 7.515.751.905 for SOP.PgP1 (P33A)
[wzr2hi, 24.03.2020] Added 7.515.751.906 for SOP.PgP1 (P33A)
[wzr2hi, 17.06.2020] Added 7.515.751.965 for QLU1.PgP1 (H61L)
[wzr2hi, 17.06.2020] Added 7.515.751.966 for QLU1.PgP1 (H61L)
[wzr2hi, 24.06.2020] Added 7.515.751.892-01 for TSB5.PgP1 (H61L)
[wzr2hi, 24.06.2020] Added 7.515.751.893-01 for TSB5.PgP1 (H61L)
[wzr2hi, 29.07.2020] Added 7.515.751.953-01 for TSB8.PgP1 (C53L)
[wzr2hi, 04.09.2020] Added 7.515.751.909 for SOP-UPD.PgP1 (P33A)
[wzr2hi, 04.09.2020] Added 7.515.751.910 for SOP-UPD.PgP1 (P33A)
[wzr2hi, 07.09.2020] Added 7.515.751.779 for PreProd3.1.PgP1 (P42R)
[wzr2hi, 07.09.2020] Added 7.515.751.780 for PreProd3.1.PgP1 (P42R)
[wzr2hi, 18.09.2020] Added 7.515.752.009 for SOP-UPD.PgP1 (P33A)
[wzr2hi, 18.09.2020] Added 7.515.752.010 for SOP-UPD.PgP1 (P33A)
[wzr2hi, 09.10.2020] Added 7.515.751.892 for PP4.1.PgP1 (H61P)
[wzr2hi, 09.10.2020] Added 7.515.751.893 for PP4.1.PgP1 (H61P)
[wzr2hi, 09.10.2020] Added 7.515.752.011 for PP4.1.PgP1 (H61L)
[wzr2hi, 09.10.2020] Added 7.515.752.012 for PP4.1.PgP1 (H61L)
[wzr2hi, 13.10.2019] Added 7.515.751.977 for PreProd3.2.PgP1 (P42R)
[wzr2hi, 13.10.2019] Added 7.515.751.978 for PreProd3.2.PgP1 (P42R)
[wzr2hi, 09.11.2020] Added 7.515.752.096 for MR15-SOP.PgP1 (P33A)
[wzr2hi, 09.11.2020] Added 7.515.752.097 for MR15-SOP.PgP1 (P33A)
[wzr2hi, 03.12.2020] Added 7.515.752.125 for PP4.1.PgP1 (H61P)
[wzr2hi, 03.12.2020] Added 7.515.752.126 for PP4.1.PgP1 (H61P)
[wzr2hi, 11.01.2021] Added 7.515.752.031-01 for MY22-TSB9.PgP1 (H61L)
[wzr2hi, 11.01.2021] Added 7.515.752.080-01 for MY22-TSB9.PgP1 (H61L)
[wzr2hi, 13.01.2021] Added 7.515.752.031 for MY22-PreProd6.1.PgP1 (H61L)
[wzr2hi, 13.01.2021] Added 7.515.752.080 for MY22-PreProd6.1.PgP1 (H61L)
[wzr2hi, 04.02.2021] Added 7.515.752.129 for SOP1.PgP1 (P42R)
[wzr2hi, 04.02.2021] Added 7.515.752.130 for SOP1.PgP1 (P42R)
[wzr2hi, 05.03.2021] Added 7.515.751.953-02 for TSB10.PgP1 (C53L)
[wzr2hi, 18.03.2021] Added 7.515.752.165 for SOP1.1.PgP1 (P42R)
[wzr2hi, 18.03.2021] Added 7.515.752.166 for SOP1.1.PgP1 (P42R)
[wzr2hi, 30.03.2021] Added 7.515.752.173 for PreProd4.1.PgP1 (H61P)
[wzr2hi, 30.03.2021] Added 7.515.752.174 for PreProd4.1.PgP1 (H61P)
[wzr2hi, 12.04.2021] Added 7.515.752.258 for MY22.SOP4.PgP1(P33A)
[wzr2hi, 12.04.2021] Added 7.515.752.259 for MY22.SOP4.PgP1(P33A)
[wzr2hi, 19.04.2021] Added 7.515.752.176 for PreProd4.1.PgP1 (H61P)
[wzr2hi, 19.04.2021] Added 7.515.752.177 for PreProd4.1.PgP1 (H61P)
[wzr2hi, 19.04.2021] Added 7.515.752.270-01 for DSB1.1.PgP1 (H61L)
[wzr2hi, 19.04.2021] Added 7.515.752.270-02 for DSB1.1.PgP1 (H61L)
[wzr2hi, 19.04.2021] Added 7.515.752.270-03 for DSB1.1.PgP1 (H61L)
[wzr2hi, 19.04.2021] Added 7.515.752.270-04 for DSB1.1.PgP1 (H61L)
[wzr2hi, 19.04.2021] Added 7.515.752.270-05 for DSB1.1.PgP1 (H61L)
[wzr2hi, 19.04.2021] Added 7.515.752.270-06 for DSB1.1.PgP1 (H61L)
[wzr2hi, 19.04.2021] Added 7.515.752.270-07 for DSB1.1.PgP1 (H61L)
[wzr2hi, 23.04.2021] Added 7.515.752.216 for PreProd9.1.PgP1 (H61L)
[wzr2hi, 23.04.2021] Added 7.515.752.217 for PreProd9.1.PgP1 (H61L)
[wzr2hi, 14.07.2021] Added 7.515.752.352 for PreProd9.1.PgP1 (H61L)
[wzr2hi, 22.07.2021] Added 7.515.751.953-03 for TSB10.PgP1 (C53L)
[wzr2hi, 13.08.2021] Added 7.515.752.332 for QLU2.PgP1 (H61L)
[wzr2hi, 13.08.2021] Added 7.515.752.333 for QLU2.PgP1 (H61L)
[wzr2hi, 07.09.2021] Added 7.515.752.374 MY22.QLU1.SOP4.PgP1 (P33A)
[wzr2hi, 07.09.2021] Added 7.515.752.375 MY22.QLU1.SOP4.PgP1 (P33A)
[wzr2hi, 13.09.2021] Added 7.515.751.953 for PreProd1.PgP1 (C53L)
[wzr2hi, 13.09.2021] Added 7.515.752.286 for PreProd2.PgP1 (C53L)
[wzr2hi, 23.09.2021] Added 7.515.752.179 for QLU1.PgP1 (H61P)
[wzr2hi, 23.09.2021] Added 7.515.752.180 for QLU1.PgP1 (H61P)
[wzr2hi, 21.10.2021] Added 7.515.752.353 for FVC.PgP1 (H61L)
[wzr2hi, 01.11.2021] Added 7.515.752.312 for SOP4.PgP1 (P42R)
[wzr2hi, 01.11.2021] Added 7.515.752.313 for SOP4.PgP1 (P42R)
[wzr2hi, 15.11.2021] Added 7.515.752.416 for QLU1.PgP1 (H61L)
[wzr2hi, 15.11.2021] Added 7.515.752.417 for QLU1.PgP1 (H61L)
[wzr2hi, 16.11.2021] Added 7.515.752.396 for PreProd10.1.PgP1 (H61L)
[wzr2hi, 01.12.2021] Added 7.515.752.394 for PreProd7.PgP1 (P33A)
[wzr2hi, 01.12.2021] Added 7.515.752.395 for PreProd7.PgP1 (P33A)
[wzr2hi, 24.01.2022] Added 7.515.752.454 for QLU3.PgP1 (H61L)
[wzr2hi, 09.02.2022] Added 7.515.752.425 for SOP7.PgP1 (P42R)
[wzr2hi, 09.02.2022] Added 7.515.752.426 for SOP7.PgP1 (P42R)
[wzr2hi, 09.02.2022] Added 7.515.752.509 for SOP8.PgP1 (P42R)
[wzr2hi, 09.02.2022] Added 7.515.752.510 for SOP8.PgP1 (P42R)
[wzr2hi, 07.03.2022] Added 7.515.752.545-01 for LSR.DSB1.PgP1 (P33A)
[wzr2hi, 07.03.2022] Added 7.515.752.547-01 for LSR.DSB1.PgP1 (H61L)
[wzr2hi, 09.03.2022] Added 7.515.752.419 for MY23.PreProd7.PgP1 (P33A)
[wzr2hi, 09.03.2022] Added 7.515.752.420 for MY23.PreProd7.PgP1 (P33A)
[wzr2hi, 22.03.2022] Added 7.515.752.555 for SOP8.PgP1 (P42R)
[wzr2hi, 22.03.2022] Added 7.515.752.556 for SOP8.PgP1 (P42R)
[wzr2hi, 26.04.2022] Added 7.515.752.541 for MY23.SOP5.PgP1 (P33A)
[wzr2hi, 26.04.2022] Added 7.515.752.542 for MY23.SOP5.PgP1 (P33A)
[wzr2hi, 18.05.2022] Added 7.515.752.474 for SOP13.1.PgP1 (H61P)
[wzr2hi, 18.05.2022] Added 7.515.752.475 for SOP13.1.PgP1 (H61P)
[wzr2hi, 02.06.2022] Added 7.515.752.545 for PreProd9.PgP1 (P33A)
[wzr2hi, 11.07.2022] Added 7.515.752.431 for PreProd3.PgP1 (C53L)
[wzr2hi, 28.07.2022] Added 7.515.752.673 for PreProd9.PgP1 (P33A LSR)
[wzr2hi, 28.07.2022] Added 7.515.752.546 for PreProd9.PgP1 (P33A LSR)
[wzr2hi, 28.07.2022] Added 7.515.752.563 for SOP11.PgP1 (P42R)
[wzr2hi, 28.07.2022] Added 7.515.752.564 for SOP11.PgP1 (P42R)
[wzr2hi, 28.07.2022] Added 7.515.752.547 for QLU3.PgP1 (H61L)
[wzr2hi, 28.07.2022] Added 7.515.752.456 for QLU3.PgP1 (H61L)
[wzr2hi, 28.07.2022] Added 7.515.752.548 for PreProd14.PgP1 (H61P)
[wzr2hi, 28.07.2022] Added 7.515.752.549 for PreProd14.PgP1 (H61P)
[mkr2hi, 25.08.2022] Added 7.515.752.680 for SOP5.PgP1 (P33A)
[mkr2hi, 25.08.2022] Added 7.515.752.681 for SOP5.PgP1 (P33A)
[wzr2hi, 04.10.2022] Added 7.515.752.749 for MY22.PreProd14.2.PgP1 (H61P)
[wzr2hi, 04.10.2022] Added 7.515.752.750 for MY22.PreProd14.2.PgP1 (H61P)
[wzr2hi, 04.10.2022] Added 7.515.752.751 for MY22.PreProd14.2.PgP1 (H61L)
[wzr2hi, 07.10.2022] Added 7.515.752.752 for PreProd4.PgP1 (C53L)
[wzr2hi, 21.10.2022] Added 7.515.752.758 for PreProd5.PgP1 (C53L)
[wzr2hi, 16.11.2022] Added 7.515.752.747 for SOP11.2.PgP1 (P42R)
[wzr2hi, 16.11.2022] Added 7.515.752.748 for SOP11.2.PgP1 (P42R)
[wzr2hi, 18.11.2022] Added 7.515.752.713 for SOP8.PgP1 (P33A)
[wzr2hi, 18.11.2022] Added 7.515.752.714 for SOP8.PgP1 (P33A)
[wzr2hi, 27.02.2023] Added 7.515.752.847 for PreProd6.PgP1 (C53L)
[wzr2hi, 20.03.2023] Added 7.515.752.836 for SOP9.PgP1 (P33A)
[wzr2hi, 20.03.2023] Added 7.515.752.837 for SOP9.PgP1 (P33A)
[wzr2hi, 21.04.2023] Added 7.515.752.873 for PreProd7.PgP1 (C53L)
[wzr2hi, 21.06.2024] Added 7.515.753.044 for SOP14.PgP1 (P42A)
[wzr2hi, 21.06.2024] Added 7.515.753.045 for SOP14.PgP1 (P42A)
[wzr2hi, 08.11.2024,  mkr2hi: FCID 0x01A9 -&gt; 0x0155, wzr2hi: FCID -&gt; 0x01ED] Added 7.515.753.113 for PP1.PgP1 (ADGE)
[wzr2hi, 08.11.2024,  mkr2hi: FCID 0x01A9 -&gt; 0x0155, wzr2hi: FCID -&gt; 0x01ED] Added 7.515.753.114 for PP2.PgP1 (ADGE)
[wzr2hi, 08.11.2024,  mkr2hi: FCID 0x01A9 -&gt; 0x0155, wzr2hi: FCID -&gt; 0x01ED] Added 7.515.753.115 for SOP1.PgP1 (ADGE)
[wzr2hi, 08.11.2024,  mkr2hi: FCID 0x01A9 -&gt; 0x0155, wzr2hi: FCID -&gt; 0x01ED] Added 7.515.753.116 for SOP2.PgP1 (ADGE)
[wzr2hi, 08.11.2024,  mkr2hi: FCID 0x01A9 -&gt; 0x0155, wzr2hi: FCID -&gt; 0x01ED] Added 7.515.753.117 for PP1.PgP1 (ADGE)
[wzr2hi, 08.11.2024,  mkr2hi: FCID 0x01A9 -&gt; 0x0155, wzr2hi: FCID -&gt; 0x01ED] Added 7.515.753.118 for PP2.PgP1 (ADGE)
[wzr2hi, 08.11.2024,  mkr2hi: FCID 0x01A9 -&gt; 0x0155, wzr2hi: FCID -&gt; 0x01ED] Added 7.515.753.119 for SOP1.PgP1 (ADGE)
[mkr2hi, 19.11.2024, wzr2hi: FCID 0x0155 -&gt; 0x01ED] Added 7.515.753.120 for SOP2.PgP1 (ADGE)</t>
  </si>
  <si>
    <t>[wzr2hi, 03.11.2021] Added 7.515.752.372 for PreProd3.PgP1 (TBD)
[wzr2hi, 03.11.2021] Added 7.515.752.373 for PreProd3.PgP1 (TBD)
[wzr2hi, 16.11.2021] Added 7.515.752.410 for PreProd4.PgP1 (L42P)
[wzr2hi, 16.11.2021] Added 7.515.752.411 for PreProd4.PgP1 (L42P)
[wzr2hi, 18.11.2021] Added 7.515.752.408 for PreProd4.PgP1 (PZ1A)
[wzr2hi, 18.11.2021] Added 7.515.752.409 for PreProd4.PgP1 (PZ1A)
[wzr2hi, 24.02.2022] Added 7.515.752.442 for PreProd4.PgP1 (TBD)
[wzr2hi, 24.02.2022] Added 7.515.752.443 for PreProd4.PgP1 (TBD)
[wzr2hi, 24.02.2022] Added 7.515.752.537 for PreProd4.PgP1 (TBD)
[wzr2hi, 24.02.2022] Added 7.515.752.538 for PreProd4.PgP1 (TBD)
[wzr2hi, 13.04.2022] Added 7.515.752.586-01 for TSB6.PgP1 (PZ1A) (1st time TLC)
[wzr2hi, 21.04.2022] Added 7.515.752.592-01 for TSB1.PgP1 (TBD) (1st time TI-AMP)
[wzr2hi, 30.05.2022] Added 7.515.752.619-01 for TSB8.PgP1 (L42P)
[wzr2hi, 30.05.2022] Added 7.515.752.620-01 for TSB8.PgP1 (L42P)
[wzr2hi, 09.06.2022] Added 7.515.752.603 for PreProd5.PgP1 (PZ1A)
[wzr2hi, 09.06.2022] Added 7.515.752.604 for PreProd5.PgP1 (PZ1A)
[wzr2hi, 22.07.2022] Added 7.515.752.552 for SOP.PgP1 (PZ1A)
[wzr2hi, 22.07.2022] Added 7.515.752.551 for SOP.PgP1 (PZ1A)
[wzr2hi, 29.07.2022] Added 7.515.752.613 for SOP1.PgP1 (L42P)
[wzr2hi, 29.07.2022] Added 7.515.752.614 for SOP1.PgP1 (L42P)
[wzr2hi, 29.07.2022] Added 7.515.752.668 for SOP2.PgP1 (L42P)
[wzr2hi, 29.07.2022] Added 7.515.752.669 for SOP2.PgP1 (L42P)
[wzr2hi, 15.09.2022] Added 7.515.752.720 for QLU.PgP1 (PZ1A)
[wzr2hi, 04.11.2022] Added 7.515.752.568 for SOP.PgP1(PZ1A)
[wzr2hi, 10.11.2022] Added 7.515.752.567 for SOP.PgP1 (PZ1A)
[wzr2hi, 11.11.2022] Added 7.515.752.569 for SOP.PgP1 (PZ1A)
[wzr2hi, 22.11.2022] Added 7.515.752.774 for MY24.SOP.PgP1 (L42P)
[wzr2hi, 14.12.2022] Added 7.515.752.570 for SOP.PgP1 (PZ1A)
[wzr2hi, 06.02.2023] Added 7.515.752.821 for MY24.SOP.PgP1 (L42P)
[wzr2hi, 06.02.2023] Added 7.515.752.822 for MY24.SOP.PgP1 (L42P)
[wzr2hi, 04.07.2024] Added 7.515.753.051 for SOP.PgP1 (PZ1A)
[wzr2hi, 04.07.2024] Added 7.515.753.052 for SOP.PgP1 (PZ1A)
[wzr2hi, 12.02.2025] Added 7.515.753.181 for SOP.PgP1 (PZ1A)
[wzr2hi, 12.02.2025] Added 7.515.753.182 for SOP.PgP1 (PZ1A)
[wzr2hi, 12.03.2025] Added 7.515.753.189 for SOP.PgP1 (PZ1A)
[wzr2hi, 12.03.2025] Added 7.515.753.190 for SOP.PgP1 (PZ1A)
[wzr2hi, 12.03.2025] Added 7.515.753.191 for SOP.PgP1 (PZ1A)
[wzr2hi, 12.03.2025] Added 7.515.753.192 for SOP.PgP1 (PZ1A)</t>
  </si>
  <si>
    <t>7.515.752.372,
7.515.752.373,
7.515.752.410,
7.515.752.411,
7.515.752.408,
7.515.752.409,
7.515.752.442,
7.515.752.443,
7.515.752.537,
7.515.752.538,
7.515.752.586-01,
7.515.752.592-01,
7.515.752.619-01,
7.515.752.620-01,
7.515.752.603,
7.515.752.604,
7.515.752.552,
7.515.752.551,
7.515.752.613,
7.515.752.614,
7.515.752.668,
7.515.752.669,
7.515.752.720,
7.515.752.568,
7.515.752.567,
7.515.752.569,
7.515.752.774,
7.515.752.570,
7.515.752.821,
7.515.752.822,
7.515.753.051,
7.515.753.052,
7.515.753.181,
7.515.753.182,
7.515.753.189,
7.515.753.190,
7.515.753.191,
7.515.753.192</t>
  </si>
  <si>
    <t>[wzr2hi, 19.03.2019] Added 7.515.751.763-02 for TSB3.PgP1 (TBD)
[wzr2hi, 26.01.2021] Added 7.515.751.763 for PreProd3.PgP1 (TBD)
[wzr2hi, 01.04.2021] Added 7.513.752.164-01 for TSB1.BrgP (P33A)
[wzr2hi, 17.05.2021] Added 7.515.752.328 for PreProd2.2.PgP1 (P33A)
[wzr2hi, 16.09.2021] Added 7.513.752.164 for PreProd1.BrgP (P33B)
[wzr2hi, 01.02.2022] Added 7.513.752.369 for PreProd1.BrgP (P33B)
[wzr2hi, 24.02.2022] Added 7.515.752.439 for PreProd4.PgP1 (P33A)
[wzr2hi, 12.05.2022] Added 7.513.752.426-01 for TSB2.BrgP (P13A)
[wzr2hi, 30.05.2022] Added 7.515.752.610 for SOP.PgP1 (P33A)
[wzr2hi, 30.06.2022] Added 7.513.752.479 for SOP.BrgP (P33B)
[wzr2hi, 12.01.2023] Added 7.515.752.808 for MY24.SOP.PgP1 (P33A)
[wzr2hi, 21.02.2023] Added 7.515.752.843 for SOP.PgP1 (P33A)
[wzr2hi, 23.02.2023] Added 7.513.752.426 for PreProd2.BrgP (P13A)
[wzr2hi, 24.04.2023] Added 7.513.752.426-02 for TSB3.BrgP (P13A)
[wzr2hi, 01.06.2023] Added 7.513.752.768 for QLU3.1.BrgP (P33B)
[wzr2hi, 22.08.2023] Added 7.513.752.863 for PreProd2.BrgP (P13A)
[wzr2hi, 19.02.2024] Added 7.513.752.956 for SOP.BrgP (P13A)
[wzr2hi, 05.03.2024] Added 7.515.752.661 for MY24.SOP.PgP1 P33A)
[wzr2hi, 22.04.2024] Added 7.513.752.961 for PreProd4.BrgP (P13A)(CRQ319)
[wzr2hi, 26.04.2024] Added 7.515.753.019 for PreProd6.PgP1 (PZ1A)(CRQ319)
[wzr2hi, 06.05.2024] Added 7.515.753.005 for PreProd6.PgP1 (P33A)(CRQ319)
[wzr2hi, 23.08.2024] Added 7.515.753.082 for SOP.PgP1 (PZ1A)
[wzr2hi, 12.03.2025] Added 7.513.753.014 for PreProd7.BrgP (P13A)(CRQ319)</t>
  </si>
  <si>
    <t>7.515.751.763-02,
7.515.751.763,
7.513.752.164-01,
7.515.752.328,
7.513.752.164,
7.513.752.369,
7.515.752.439,
7.513.752.426-01,
7.515.752.610,
7.513.752.479,
7.515.752.808,
7.515.752.843,
7.513.752.426,
7.513.752.426-02,
7.513.752.768,
7.513.752.863,
7.513.752.956,
7.515.752.661,
7.513.752.961,
7.515.753.019,
7.515.753.005,
7.515.753.082,
7.513.753.014</t>
  </si>
  <si>
    <t>[wzr2hi, 19.03.2019] Added 7.515.751.756-02 for TSB3.PgP1 (TBD)
[wzr2hi, 26.01.2021] Added 7.515.751.756 for PreProd3.PgP1 (TBD)
[wzr2hi, 10.02.2021] Added 7.515.752.188 for MP.PgP1 (P33A)
[wzr2hi, 01.04.2021] Added 7.513.752.158-01 for TSB1.BrgP (P33B)
[wzr2hi, 20.07.2021] Added 7.515.752.349 for PreProd3.PgP1 (TBD)
[wzr2hi, 16.09.2021] Added 7.513.752.158 for PreProd1.BrgP (P33B)
[wzr2hi, 25.01.2022] Added 7.515.752.435 for PreProd3.PgP1 (TBD)
[wzr2hi, 12.05.2022] Added 7.513.752.427-01 for TSB2.BrgP (P13A)
[wzr2hi, 30.05.2022] Added 7.515.752.606 for SOP.PgP1 (P33A)
[wzr2hi, 30.05.2022] Added 7.515.752.623-01 for TSB8.PgP1 (L42P)
[wzr2hi, 30.06.2022] Added 7.513.752.480 for SOP.BrgP (P33B)
[wzr2hi, 11.11.2022] Added 7.513.752.651 for SOP.BrgP (P33B)
[wzr2hi, 12.01.2023] Added 7.515.752.806 for MY24.SOP.PgP1 (P33A)
[wzr2hi, 21.02.2023] Added 7.515.752.844 for SOP.PgP1 (P33A)
[wzr2hi, 23.02.2023] Added 7.513.752.427 for PreProd2.BrgP (P13A)
[wzr2hi, 22.08.2023] Added 7.513.752.864 for PreProd2.BrgP (P13A)
[wzr2hi, 19.02.2024] Added 7.513.752.952 for SOP.BrgP (P13A)
[wzr2hi, 22.04.2024] Added 7.513.752.962 for PreProd4.BrgP (P13A)(CRQ319)
[wzr2hi, 26.04.2024] Added 7.515.753.018 for PreProd6.PgP1 (PZ1A)(CRQ319)
[wzr2hi, 06.05.2024] Added 7.515.753.002 for PreProd6.PgP1 (P33A)(CRQ319)
[wzr2hi, 23.08.2024] Added 7.515.753.083 for SOP.PgP1 (PZ1A)
[wzr2hi, 12.03.2025] Added 7.513.753.015 for PreProd7.BrgP (P13A)(CRQ319)</t>
  </si>
  <si>
    <t>7.515.751.756-02,
7.515.751.756,
7.515.752.188,
7.513.752.158-01,
7.515.752.349,
7.513.752.158,
7.515.752.435,
7.513.752.427-01,
7.515.752.606,
7.515.752.623-01,
7.513.752.480,
7.513.752.651,
7.515.752.806,
7.515.752.844,
7.513.752.427,
7.513.752.864,
7.513.752.952,
7.513.752.962,
7.515.753.018,
7.515.753.002,
7.515.753.083,
7.513.753.015</t>
  </si>
  <si>
    <t>[wzr2hi, 13.04.2022] Added 7.515.752.584-01 for TSB6.PgP1 (P33A)
[wzr2hi, 02.11.2022] Added 7.513.752.640 for SOP.BrgP (P33B)
[wzr2hi, 11.11.2022] Added 7.513.752.643 for SOP.BrgP (P33B)
[wzr2hi, 18.07.2023] Added 7.513.752.852 for SOP.BrgP (P33B)
[wzr2hi, 13.12.2023] Added 7.513.752.873 for SOP.BrgP (P33B)
[wzr2hi, 26.04.2024] Added 7.513.752.969 for PreProd4.BrgP (P33B)(CRQ319)
[wzr2hi, 12.03.2025] Added 7.513.753.022 for PreProd7.BrgP (P33B)(CRQ319)</t>
  </si>
  <si>
    <t>7.515.752.584-01,
7.513.752.640,
7.513.752.643,
7.513.752.852,
7.513.752.873,
7.513.752.969,
7.513.753.022</t>
  </si>
  <si>
    <t>[wzr2hi, 19.03.2019] Added 7.515.751.755-02 for TSB3.PgP1 (TBD)
[wzr2hi, 26.01.2021] Added 7.515.751.755 for PreProd3.PgP1 (TBD)
[wzr2hi, 10.02.2021] Added 7.515.752.187 for MP.PgP1 (P33A)
[wzr2hi, 01.04.2021] Added 7.513.752.157-01 for TSB1.BrgP (P33B)
[wzr2hi, 21.07.2021] Added 7.515.752.351 for PreProd3.PgP1 (TBD)
[wzr2hi, 16.09.2021] Added 7.513.752.157 for PreProd1.BrgP (P33B)
[wzr2hi, 12.05.2022] Added 7.513.752.431-01 for TSB2.BrgP (P13A)
[wzr2hi, 17.05.2022] Added 7.513.752.433 for PreProd1.BrgP (P33B)
[wzr2hi, 30.05.2022] Added 7.515.752.608 for SOP.PgP1 (P33A)
[wzr2hi, 08.06.2022] Added 7.515.752.627 for SOP.PgP1 (P33A)
[wzr2hi, 30.06.2022] Added 7.513.752.481 for SOP.BrgP (P33B)
[wzr2hi, 11.11.2022] Added 7.513.752.645 for SOP.BrgP (P33B)
[wzr2hi, 12.01.2023] Added 7.515.752.807 for MY24.SOP.PgP1 (P33A)
[wzr2hi, 23.02.2023] Added 7.513.752.431 for PreProd2.BrgP (P13A)
[wzr2hi, 04.04.2023] Added 7.515.752.856 for QLU3.1.PgP1 (P33A)
[wzr2hi, 04.04.2023] Added 7.513.752.750 for QLU3.1.BrgP (P33B)
[wzr2hi, 18.07.2023] Added 7.513.752.854 for SOP.BrgP (P33B)
[wzr2hi, 22.08.2023] Added 7.513.752.865 for PreProd2.BrgP (P13A)
[wzr2hi, 13.12.2023] Added 7.513.752.875 for SOP.BrgP (P33B)
[wzr2hi, 19.02.2024] Added 7.513.752.957 for SOP.BrgP (P13A)
[wzr2hi, 22.04.2024] Added 7.513.752.963 for PreProd4.BrgP (P13A)(CRQ319)
[wzr2hi, 26.04.2024] Added 7.513.752.974 for PreProd4.BrgP (P33B)(CRQ319)
[wzr2hi, 26.04.2024] Added 7.515.753.021 for PreProd6.PgP1 (PZ1A)(CRQ319)
[wzr2hi, 06.05.2024] Added 7.515.753.003 for PreProd6.PgP1 (P33A)(CRQ319)
[wzr2hi, 08.01.2025] Added 7.515.753.163 for PreProd6.PgP1 (P33A)(CRQ319)
[wzr2hi, 12.03.2025] Added 7.513.753.016 for PreProd7.BrgP (P13A)(CRQ319)
[wzr2hi, 12.03.2025] Added 7.513.753.027 for PreProd7.BrgP (P33B)(CRQ319)</t>
  </si>
  <si>
    <t>7.515.751.755-02,
7.515.751.755,
7.515.752.187,
7.513.752.157-01,
7.515.752.351,
7.513.752.157,
7.513.752.431-01,
7.513.752.433,
7.515.752.608,
7.515.752.627,
7.513.752.481,
7.513.752.645,
7.515.752.807,
7.513.752.431,
7.515.752.856,
7.513.752.750,
7.513.752.854,
7.513.752.865,
7.513.752.875,
7.513.752.957,
7.513.752.963,
7.513.752.974,
7.515.753.021,
7.515.753.003,
7.515.753.163,
7.513.753.016,
7.513.753.027</t>
  </si>
  <si>
    <t>[wzr2hi, 19.03.2019] Added 7.515.751.757-02 for TSB3.PgP1 (TBD)
[wzr2hi, 26.01.2021] Added 7.515.751.757 for PreProd3.PgP1 (TBD)
[wzr2hi, 05.03.2021] Added 7.515.752.218 for PreProd.2.2.PgP1 (P33A)
[wzr2hi, 26.05.2021] Added 7.513.752.180-01 for TSB1.BrgP (P33B)
[wzr2hi, 21.07.2021] Added 7.515.752.350 for PreProd3.PgP1 (TBD)
[wzr2hi, 16.09.2021] Added 7.513.752.180 for PreProd1.BrgP (P33B)
[wzr2hi, 12.05.2022] Added 7.513.752.432-01 for TSB2.BrgP (P13A)
[wzr2hi, 30.05.2022] Added 7.515.752.609 for SOP.PgP1 (P33A)
[wzr2hi, 31.05.2022] Added 7.513.752.435 for SOP BrgP (P33B)
[wzr2hi, 08.06.2022] Added 7.515.752.628 for SOP.PgP1 (P33A)
[wzr2hi, 11.11.2022] Added 7.513.752.644 for SOP.BrgP (P33B)
[wzr2hi, 12.01.2023] Added 7.515.752.810 for MY24.SOP.PgP1 (P33A)
[wzr2hi, 04.04.2023] Added 7.515.752.854 for QLU3.1.PgP1 (P33A)
[wzr2hi, 04.04.2023] Added 7.513.752.755 for QLU3.1.BrgP (P33B)
[wzr2hi, 13.07.2023] Added 7.513.752.432 for PreProd2.BrgP (P13A)
[wzr2hi, 18.07.2023] Added 7.513.752.853 for SOP.BrgP (P33B)
[wzr2hi, 22.08.2023] Added 7.513.752.866 for PreProd2.BrgP (P13A)
[wzr2hi, 13.12.2023] Added 7.513.752.874 for SOP.BrgP (P33B)
[wzr2hi, 25.01.2024] Added 7.515.752.660 for QLU4.PgP1 (P33A)
[wzr2hi, 19.02.2024] Added 7.513.752.955 for SOP.BrgP (P13A)
[wzr2hi, 05.03.2024] Added 7.515.752.953 for SOP.PgP1 (P33A)
[wzr2hi, 22.04.2024] Added 7.513.752.964 for PreProd4.BrgP (P13A)(CRQ319)
[wzr2hi, 26.04.2024] Added 7.513.752.975 for PreProd4.BrgP (P33B)(CRQ319)
[wzr2hi, 26.04.2024] Added 7.515.753.022 for PreProd6.PgP1 (PZ1A)(CRQ319)
[wzr2hi, 06.05.2024] Added 7.515.753.004 for PreProd6.PgP1 (P33A)(CRQ319)
[wzr2hi, 08.01.2025] Added 7.515.753.164 for PreProd6.PgP1 (P33A)(CRQ319)
[wzr2hi, 12.03.2025] Added 7.513.753.017 for PreProd7.BrgP (P13A)(CRQ319)
[wzr2hi, 12.03.2025] Added 7.513.753.028 for PreProd7.BrgP (P33B)(CRQ319)</t>
  </si>
  <si>
    <t>7.515.751.757-02,
7.515.751.757,
7.515.752.218,
7.513.752.180-01,
7.515.752.350,
7.513.752.180,
7.513.752.432-01,
7.515.752.609,
7.513.752.435,
7.515.752.628,
7.513.752.644,
7.515.752.810,
7.515.752.854,
7.513.752.755,
7.513.752.432,
7.513.752.853,
7.513.752.866,
7.513.752.874,
7.515.752.660,
7.513.752.955,
7.515.752.953,
7.513.752.964,
7.513.752.975,
7.515.753.022,
7.515.753.004,
7.515.753.164,
7.513.753.017,
7.513.753.028</t>
  </si>
  <si>
    <t>[wzr2hi, 19.03.2019] Added 7.515.751.762-02 for TSB3.PgP1 (TBD)
[wzr2hi, 04.01.2021] Added 7.515.751.762 for PreProd2.PgP1 (TBD)
[wzr2hi, 04.01.2021] Added 7.515.752.161 for PreProd3.PgP1 (TBD)
[wzr2hi, 10.02.2021] Added 7.515.752.190 for MP.PgP1 (P33A)
[wzr2hi, 01.04.2021] Added 7.513.752.163-01 for TSB1.BrgP (P33B)
[wzr2hi, 14.06.2021] Added 7.515.752.233 for PreProd3.PgP1 (TBD)
[wzr2hi, 16.09.2021] Added 7.513.752.163 for PreProd1.BrgP (P33B)
[wzr2hi, 01.02.2022] Added 7.513.752.367 for PreProd1.BrgP (P33B)
[wzr2hi, 24.02.2022] Added 7.515.752.437 for PreProd4.PgP1 (P33A)
[wzr2hi, 31.05.2022] Added 7.515.752.626 for SOP.PgP1 (P33A)
[wzr2hi, 12.10.2022] Added 7.515.752.754 for SOP.PgP1 (P33A)
[wzr2hi, 11.11.2022] Added 7.513.752.646 for SOP.BrgP (P33B)
[wzr2hi, 23.02.2023] Added 7.513.752.748 for PreProd2.BrgP (P13A)
[wzr2hi, 04.04.2023] Added 7.515.752.851 for QLU3.1.PgP1 (P33A)
[wzr2hi, 04.04.2023] Added 7.513.752.751 for QLU3.1.BrgP (P33B)
[wzr2hi, 18.07.2023] Added 7.513.752.855 for SOP.BrgP (P33B)
[wzr2hi, 13.12.2023] Added 7.513.752.876 for SOP.BrgP (P33B)
[wzr2hi, 25.01.2024] Added 7.515.752.664 for QLU4.PgP1 (P33A)
[wzr2hi, 26.01.2024] Added 7.513.752.482 for QLU4.BrgP (P33B)
[wzr2hi, 26.04.2024] Added 7.513.752.977 for PreProd4.BrgP (P33B)(CRQ319)
[wzr2hi, 06.05.2024] Added 7.515.753.009 for PreProd6.PgP1 (P33A)(CRQ319)
[wzr2hi, 12.03.2025] Added 7.513.753.030 for PreProd7.BrgP (P33B)(CRQ319)</t>
  </si>
  <si>
    <t>7.515.751.762-02,
7.515.751.762,
7.515.752.161,
7.515.752.190,
7.513.752.163-01,
7.515.752.233,
7.513.752.163,
7.513.752.367,
7.515.752.437,
7.515.752.626,
7.515.752.754,
7.513.752.646,
7.513.752.748,
7.515.752.851,
7.513.752.751,
7.513.752.855,
7.513.752.876,
7.515.752.664,
7.513.752.482,
7.513.752.977,
7.515.753.009,
7.513.753.030</t>
  </si>
  <si>
    <t>[wzr2hi, 08.12.2022] Added 7.505.751.989-01 for TSB9.PgP1 (P13C/P61R/P42S)
[wzr2hi, 16.01.2023] Added 7.505.751.989 for PreProd1.PgP1
[wzr2hi, 01.06.2023} Added 7.505.752.037 for PreProd2.PgP1 (P13C/P61R/P42S)
[wzr2hi, 11.10.2023] Added 7.505.752.049 for PreProd2.PgP1 (P13A)
[wzr2hi, 28.11.2023] Added 7.505.752.064 for PreProd4.PgP1 (P13C)
[wzr2hi, 18.01.2024] Added 7.505.752.078 for PreProd3.PgP1 (P13C)
[wzr2hi, 22.03.2024] Added 7.505.752.095 for PreProd6.PgP1
[wzr2hi, 04.07.2024] Added 7.505.752.121-01 for TSB11.PgP1 (P13C)(CRQ323)
[wzr2hi, 04.07.2024] Added 7.505.752.121 for PreProd7.PgP1 (P13C)(CRQ323)
[wzr2hi, 11.02.2025] Added 7.505.752.165 for PreProd10.PgP1 (L02G)
[wzr2hi, 03.04.2025] Added 7.505.752.171 for PreProd10.PgP1 (L02G)</t>
  </si>
  <si>
    <t>7.505.751.989-01,
7.505.751.989,
7.505.752.037,
7.505.752.049,
7.505.752.064,
7.505.752.078,
7.505.752.095,
7.505.752.121-01,
7.505.752.121,
7.505.752.165,
7.505.752.171</t>
  </si>
  <si>
    <r>
      <t>Nissan P-IVI 3.1 Gen4 DA-Premium ASEAN-A/ASEAN-B/</t>
    </r>
    <r>
      <rPr>
        <sz val="10"/>
        <color rgb="FFFF0000"/>
        <rFont val="Arial"/>
        <family val="2"/>
      </rPr>
      <t>LAC</t>
    </r>
    <r>
      <rPr>
        <sz val="10"/>
        <color theme="1"/>
        <rFont val="Arial"/>
        <family val="2"/>
      </rPr>
      <t xml:space="preserve"> (SBR AM/FM)</t>
    </r>
  </si>
  <si>
    <t>[wzr2hi, 04.04.2025] Added 7.505.752.174 for MP1.PrgP (H60E)</t>
  </si>
  <si>
    <r>
      <t xml:space="preserve">Nissan P-IVI 3.1 Gen4 DA-Premium </t>
    </r>
    <r>
      <rPr>
        <strike/>
        <sz val="10"/>
        <color rgb="FFFF0000"/>
        <rFont val="Arial"/>
        <family val="2"/>
      </rPr>
      <t>GCC</t>
    </r>
    <r>
      <rPr>
        <sz val="10"/>
        <color theme="1"/>
        <rFont val="Arial"/>
        <family val="2"/>
      </rPr>
      <t>/MEA/AFR/SAF/ISR (SBR AM/FM)</t>
    </r>
  </si>
  <si>
    <t>7.505.752.174</t>
  </si>
  <si>
    <t>7.510.751.019-01,
7.510.751.020-01,
7.510.751.024-01,
7.510.751.204-01,
7.510.751.205-01,
7.510.751.207-01,
7.510.751.019-02,
7.510.751.019-03,
7.510.751.020-02,
7.510.751.025-01,
7.515.751.459-01,
7.515.751.463-01,
7.515.751.467-01,
7.515.751.470-01,
7.515.751.472-01,
7.515.751.473-01,
7.515.751.470-02,
7.515.751.472-02,
7.515.751.473-02,
7.510.751.509-01,
7.510.751.509-02,
7.510.751.024-02,
7.510.751.024-03,
7.515.751.459-02,
7.515.751.463-02,
7.515.751.467-02,
7.515.751.459,
7.515.751.463,
7.515.751.467,
7.515.751.472,
7.515.751.473,
7.515.751.470,
7.515.751.792,
7.515.751.793,
7.515.751.794,
 7.515.751.820,
 7.515.751.821,
7.515.751.798,
7.515.751.799,
7.515.751.895-01,
7.515.751.907,
7.515.751.908,
7.515.753.187,
7.515.753.188,
7.515.753.195,
7.515.753.196</t>
  </si>
  <si>
    <t>[wzr2hi, 01.06.2018] Added 7.510.751.019-01 for DSB1.MFI1-COSE
[wzr2hi, 01.06.2018] Added 7.510.751.020-01 for DSB1.MFI1-COSE
[wzr2hi, 01.06.2018] Added 7.510.751.024-01 for DSB1.MFI1-COSE
[wzr2hi, 17.10.2018] Added 7.510.751.204-01 for DSB2.1.Hi (H61L)
[wzr2hi, 17.10.2018] Added 7.510.751.205-01 for DSB2.1.Hi (H61L)
[wzr2hi, 17.10.2018] Added 7.510.751.207-01 for DSB2.1.Hi (H61L)
[wzr2hi, 17.10.2018] Added 7.510.751.019-02 for DSB2.1.Hi (P33A)
[wzr2hi, 17.10.2018] Added 7.510.751.019-03 for DSB2.1.Hi (P33A)
[wzr2hi, 17.10.2018] Added 7.510.751.020-02 for DSB2.1.Hi (P33AB)
[wzr2hi, 17.10.2018] Added 7.510.751.025-01 for DSB2.1.Hi (P33A)
[wzr2hi, 04.04.2019] Added 7.515.751.459-01 for TSB1.1.PgP1 (H61L)
[wzr2hi, 04.04.2019] Added 7.515.751.463-01 for TSB1.1.PgP1 (H61L)
[wzr2hi, 04.04.2019] Added 7.515.751.467-01 for TSB1.1.PgP1 (H61L)
[wzr2hi, 24.04.2019] Added 7.515.751.470-01 for TSB1.2.PgP1 (P33A)
[wzr2hi, 24.04.2019] Added 7.515.751.472-01 for TSB1.2.PgP1 (P33A)
[wzr2hi, 24.04.2019] Added 7.515.751.473-01 for TSB1.2.PgP1 (P33A)
[wzr2hi, 06.05.2019] Added 7.515.751.470-02 for TSB2.PgP1 (P33A)
[wzr2hi, 06.05.2019] Added 7.515.751.472-02 for TSB2.PgP1 (P33A)
[wzr2hi, 06.05.2019] Added 7.515.751.473-02 for TSB2.PgP1 (P33A)
[wzr2hi, 17.06.2019] Added 7.510.751.509-01 for DSB3.0.HI (P42R)
[wzr2hi, 14.06.2019] Added 7.510.751.509-02 for DSB3.2.HI (P42R)
[wzr2hi, 17.06.2019] Added 7.510.751.024-02 for DSB3.0.HI (P42R)
[wzr2hi, 14.06.2019] Added 7.510.751.024-03 for DSB3.2.HI (P42R)
[wzr2hi, 24.06.2019] Added 7.515.751.459-02 for TSB2.1.PgP1 (H61L)
[wzr2hi, 24.06.2019] Added 7.515.751.463-02 for TSB2.1.PgP1 (H61L)
[wzr2hi, 24.06.2019] Added 7.515.751.467-02 for TSB2.1.PgP1 (H61L)
[mkr2hi, 12.08.2019] Added 7.515.751.459 for PP1.1.PgP1 (H61L)
[mkr2hi, 12.08.2019] Added 7.515.751.463 for PP1.1.PgP1 (H61L)
[mkr2hi, 12.08.2019] Added 7.515.751.467 for PP1.1.PgP1 (H61L)
[wzr2hi, 27.08.2019] Added 7.515.751.472 for PreProd1.PgP1 (P33A)
[wzr2hi, 27.08.2019] Added 7.515.751.473 for PreProd1.PgP1 (P33A)
[wzr2hi, 27.08.2019] Added 7.515.751.470 for PreProd1.PgP1 (P33A)
[wzr2hi, 18.12.2019] Added 7.515.751.792 for PreProd2.PgP1 (P33A)
[wzr2hi, 18.12.2019] Added 7.515.751.793 for PreProd2.PgP1 (P33A)
[wzr2hi, 18.12.2019] Added 7.515.751.794 for PreProd2.PgP1 (P33A)
[wzr2hi, 03.03.2020] Added 7.515.751.820 for SOP.PgP1 (P33A)
[wzr2hi, 03.03.2020] Added 7.515.751.821 for SOP.PgP1 (P33A)
[wzr2hi, 24.03.2020] Added 7.515.751.798 for QLU1.PgP1 (H61L)
[wzr2hi, 24.03.2020] Added 7.515.751.799 for QLU1.PgP1 (H61L)
[wzr2hi, 24.06.2020] Added 7.515.751.895-01 for TSB5.PgP1 (H61L)
[wzr2hi, 22.07.2020] Added 7.515.751.907 for SOP-UPD.PgP1 (P33A)
[wzr2hi, 22.07.2020] Added 7.515.751.908 for SOP-UPD.PgP1 (P33A)
[wzr2hi, 03.03.2025] Added 7.515.753.187 for PP3.PgP1 (ADGE)
[wzr2hi, 03.03.2025] Added 7.515.753.188 for PP3.PgP1 (ADGE)
[wzr2hi, 04.03.2025] Added 7.515.753.195 for PP4.PgP1 (ADGE)
[wzr2hi, 04.03.2025] Added 7.515.753.196 for PP4.PgP1 (ADGE)</t>
  </si>
  <si>
    <t>7.515.752.285-02,
7.515.752.285,
7.515.752.579,
7.515.752.553,
7.515.752.580,
7.515.752.677,
7.515.752.678,
7.515.752.818,
7.515.752.819,
7.515.752.858,
7.515.752.872-01,
7.515.752.887-01,
7.515.752.893,
7.515.752.882,
7.515.752.872,
7.515.752.954,
7.515.752.999-01,
7.515.752.999,
7.515.753.012,
7.515.753.074,
7.515.752.887-02,
7.515.753.109</t>
  </si>
  <si>
    <t>[wzr2hi, 24.09.2021] Added 7.515.752.285-02 for TSB6.PgP1 (J32V)
[wzr2hi, 29.03.2022] Added 7.515.752.285 for PreProd4.Pgp1 (J32V)
[wzr2hi, 29.03.2022] Added 7.515.752.579 for PreProd4.Pgp1 (J32V)
[wzr2hi, 29.03.2022] Added 7.515.752.553 for PreProd4.Pgp1 (J32V)
[wzr2hi, 29.03.2022] Added 7.515.752.580 for PreProd4.Pgp1 (J32V)
[wzr2hi, 04.08.2022] Added 7.515.752.677 for SOP.PgP1 (J32V)
[wzr2hi, 04.08.2022] Added 7.515.752.678 for SOP.PgP1 (J32V)
[wzr2hi, 16.02.2023] Added 7.515.752.818 for SOP.PgP1 (J32V)
[wzr2hi, 04.04.2023] Added 7.515.752.819 for QLU3.1.PgP1 (J32V)
[wzr2hi, 04.04.2023] Added 7.515.752.858 for QLU4.PgP1 (J32V)
[wzr2hi, 24.04.2023] Added 7.515.752.872-01 for TSB9.PgP1 (J32V)
[wzr2hi, 27.06.2023] Added 7.515.752.887-01 for TSB1.PgP1 (J32V) (new DTV)
[wzr2hi, 24.07.2023] Added 7.515.752.893 for QLU3.3.PgP1 (J32V)
[wzr2hi, 02.08.2023] Added 7.515.752.882 for QLU3.3.PgP1 (J32V)
[wzr2hi, 04.12.2023] Added 7.515.752.872 for PT1.PgP1 (J32V)
[wzr2hi, 06.03.2024] Added 7.515.752.954 for SOP.PgP1 (J32V)
[wzr2hi, 26.04.2024] Added 7.515.752.999-01 for TSB10.PgP1 (J32V)(CRQ319)
[wzr2hi, 26.04.2024] Added 7.515.752.999 for PreProd6.PgP1 (J32V)(CRQ319)
[wzr2hi, 26.04.2024] Added 7.515.753.012 for PreProd6.PgP1 (J32V)(CRQ319)
[wzr2hi, 21.08.2024] Added 7.515.753.074 for QLU5.PgP1 (J32V)
[wzr2hi, 05.09.2024] Added 7.515.752.887-02 for TSB2.PgP1 (J32V)(new DTV)
[wzr2hi, 08.04.2025] Added 7.515.753.109 for QLU6.PgP1 (J32V)(CRQ319)</t>
  </si>
  <si>
    <t>031D11 (M3_V1.3_CS_EF)</t>
  </si>
  <si>
    <t>031E11 (M3_V1.3_CS_EF)</t>
  </si>
  <si>
    <t>031911 (M3_V1.3_CS_EF)</t>
  </si>
  <si>
    <t>031A11 (M3_V1.3_CS_EF)</t>
  </si>
  <si>
    <t>031C11 (M3_V1.3_CS_EF)</t>
  </si>
  <si>
    <t>032211 (M3_V1.3_CS_EF)</t>
  </si>
  <si>
    <t>032311 (M3_V1.3_CS_EF)</t>
  </si>
  <si>
    <t>0.000.000.000-60</t>
  </si>
  <si>
    <t>0.000.000.000-61</t>
  </si>
  <si>
    <t>0.000.000.000-65</t>
  </si>
  <si>
    <t>0.000.000.000-66</t>
  </si>
  <si>
    <t>0.000.000.000-69</t>
  </si>
  <si>
    <t>0.000.000.000-70</t>
  </si>
  <si>
    <t>0.000.000.000-71</t>
  </si>
  <si>
    <t>0.000.000.000-72</t>
  </si>
  <si>
    <t>0.000.000.000-73</t>
  </si>
  <si>
    <t>0.000.000.000-74</t>
  </si>
  <si>
    <t>0.000.000.000-75</t>
  </si>
  <si>
    <t>0.000.000.000-76</t>
  </si>
  <si>
    <t>0.000.000.000-77</t>
  </si>
  <si>
    <t>0.000.000.000-78</t>
  </si>
  <si>
    <t>0.000.000.000-79</t>
  </si>
  <si>
    <t>0.000.000.000-80</t>
  </si>
  <si>
    <t>0.000.000.000-81</t>
  </si>
  <si>
    <t>0.000.000.000-82</t>
  </si>
  <si>
    <t>0.000.000.000-83</t>
  </si>
  <si>
    <t>0.000.000.000-85</t>
  </si>
  <si>
    <t>0.000.000.000-86</t>
  </si>
  <si>
    <t>0.000.000.000-87</t>
  </si>
  <si>
    <t>0.000.000.000-88</t>
  </si>
  <si>
    <t>0.000.000.000-89</t>
  </si>
  <si>
    <t>0.000.000.000-90</t>
  </si>
  <si>
    <t>0.000.000.000-91</t>
  </si>
  <si>
    <t>0.000.000.000-94</t>
  </si>
  <si>
    <t>0.000.000.000-95</t>
  </si>
  <si>
    <t>0.000.000.000-96</t>
  </si>
  <si>
    <t>0.000.000.000-97</t>
  </si>
  <si>
    <t>0.000.000.000-101</t>
  </si>
  <si>
    <t>0.000.000.000-102</t>
  </si>
  <si>
    <t>0.000.000.000-103</t>
  </si>
  <si>
    <t>0.000.000.000-104</t>
  </si>
  <si>
    <t>0.000.000.000-105</t>
  </si>
  <si>
    <t>0.000.000.000-106</t>
  </si>
  <si>
    <t>0.000.000.000-107</t>
  </si>
  <si>
    <t>0.000.000.000-108</t>
  </si>
  <si>
    <t>0.000.000.000-109</t>
  </si>
  <si>
    <t>0.000.000.000-110</t>
  </si>
  <si>
    <t>0.000.000.000-111</t>
  </si>
  <si>
    <t>0.000.000.000-112</t>
  </si>
  <si>
    <t>0.000.000.000-113</t>
  </si>
  <si>
    <t>0.000.000.000-114</t>
  </si>
  <si>
    <t>0.000.000.000-115</t>
  </si>
  <si>
    <t>0.000.000.000-116</t>
  </si>
  <si>
    <t>0.000.000.000-117</t>
  </si>
  <si>
    <t>0.000.000.000-118</t>
  </si>
  <si>
    <t>0.000.000.000-119</t>
  </si>
  <si>
    <t>0.000.000.000-120</t>
  </si>
  <si>
    <t>0.000.000.000-122</t>
  </si>
  <si>
    <t>0.000.000.000-123</t>
  </si>
  <si>
    <t>0.000.000.000-124</t>
  </si>
  <si>
    <t>0.000.000.000-125</t>
  </si>
  <si>
    <t>0.000.000.000-126</t>
  </si>
  <si>
    <t>0.000.000.000-127</t>
  </si>
  <si>
    <t>0.000.000.000-128</t>
  </si>
  <si>
    <t>0.000.000.000-129</t>
  </si>
  <si>
    <t>0.000.000.000-130</t>
  </si>
  <si>
    <t>0.000.000.000-131</t>
  </si>
  <si>
    <t>0.000.000.000-132</t>
  </si>
  <si>
    <t>0.000.000.000-133</t>
  </si>
  <si>
    <t>0.000.000.000-134</t>
  </si>
  <si>
    <t>0.000.000.000-135</t>
  </si>
  <si>
    <t>0.000.000.000-137</t>
  </si>
  <si>
    <t>0.000.000.000-139</t>
  </si>
  <si>
    <t>0.000.000.000-141</t>
  </si>
  <si>
    <t>0.000.000.000-142</t>
  </si>
  <si>
    <t>0.000.000.000-143</t>
  </si>
  <si>
    <t>0.000.000.000-144</t>
  </si>
  <si>
    <t>0.000.000.000-145</t>
  </si>
  <si>
    <t>0.000.000.000-146</t>
  </si>
  <si>
    <t>0.000.000.000-147</t>
  </si>
  <si>
    <t>0.000.000.000-148</t>
  </si>
  <si>
    <t>0.000.000.000-150</t>
  </si>
  <si>
    <t>0.000.000.000-155</t>
  </si>
  <si>
    <t>0.000.000.000-156</t>
  </si>
  <si>
    <t>0.000.000.000-157</t>
  </si>
  <si>
    <t>0.000.000.000-158</t>
  </si>
  <si>
    <t>0.000.000.000-159</t>
  </si>
  <si>
    <t>0.000.000.000-160</t>
  </si>
  <si>
    <t>0.000.000.000-161</t>
  </si>
  <si>
    <t>0.000.000.000-163</t>
  </si>
  <si>
    <t>0.000.000.000-164</t>
  </si>
  <si>
    <t>0.000.000.000-165</t>
  </si>
  <si>
    <t>0.000.000.000-166</t>
  </si>
  <si>
    <t>0.000.000.000-167</t>
  </si>
  <si>
    <t>0.000.000.000-168</t>
  </si>
  <si>
    <t>[wzr2hi, 17.10.2018] Added 7.500.750.865-01 for DSB2.1.Hi (P33AB)
[wzr2hi, 04.04.2019] Added 7.500.750.865-02 for DSB2.2.MFI1-COSE (P33B)
[wzr2hi, 07.05.2019] Added 7.503.751.253-01 for TSB1.BrgP (P33B)
[wzr2hi, 10.04.2019] Added 7.500.750.893-01 for DSB3.Hi (P60A)
[wzr2hi, 17.06.2019] Added 7.500.750.887-01 for DSB3.0.HI (P42R)
[wzr2hi, 14.06.2019] Added 7.500.750.887-02 for DSB3.2.HI (P42R)
[wzr2hi, 24.07.2019] Added 7.500.750.893-02 for DSB3.2.Hi (P60A)
[wzr2hi, 28.10.2019] Added 7.505.751.396-01 for TSB3.1.PgP1 (P42R)
[wzr2hi, 11.02.2020] Added 7.503.751.253 for PP1.BrgP (P33B)
[wzr2hi, 29.07.2020] Added 7.505.751.544-01 for TSB8.PgP1 (C53L)
[wzr2hi, 07.09.2020] Added 7.505.751.396 for PreProd3.1.PgP1 (P42R)
[wzr2hi, 08.09.2020] Added 7.505.751.375-01 for TSB3.3.PgP1 (P60A)
[wzr2hi, 08.09.2020] Added 7.505.751.375-02 for TSB3.4.PgP1 (P60A)
[wzr2hi, 13.10.2019] Added 7.505.751.513 for PreProd3.2.PgP1 (P42R)
[wzr2hi, 13.10.2019] Added 7.505.751.375 for PreProd3.3.PgP1 (P60A)
[wzr2hi, 03.11.2020] Added 7.503.751.468 for PP2.BrgP (P33B)
[wzr2hi, 05.01.2021] Added 7.505.751.616 for PreProd3.5.PgP1 (P60A)
[wzr2hi, 11.01.2020] Added 7.505.751.647 for PreProd5.PgP1 (P33A)
[wzr2hi, 04.02.2021] Added 7.503.751.472 for SOP.BrgP (P33B)
[wzr2hi, 04.02.2021] Added 7.505.751.634 for PreProd3.8.PgP1 (P42R)
[wzr2hi, 05.03.2021] Added 7.505.751.544-02 for TSB10.PgP1 (C53L)
[wzr2hi, 08.03.2021] Added 7.505.751.638 for SOP.PgP1 (P60A)
[wzr2hi, 31.03.2021] Added 7.505.751.696 for SOP.PgP1 (P60A)
[wzr2hi, 04.05.2021] Added 7.505.751.662 for SOP2.PgP1 (P42R)
[wzr2hi, 17.05.2021] Added 7.505.751.769 for PreProd6.PgP1 (P33A)
[wzr2hi, 13.08.2021] Added 7.505.751.757 for MY22.SOP5.PgP1 (P60A)
[wzr2hi, 13.09.2021] Added 7.505.751.544 for PreProd1.PgP1 (C53L)
[wzr2hi, 13.09.2021] Added 7.505.751.743 for PreProd2.PgP1 (C53L)
[wzr2hi, 01.10.2021] Added 7.505.751.763 for SOP3.2.PgP1 (P42R)
[wzr2hi, 17.01.2022] Added 7.505.751.815 for SOP6.PgP1 (P42R)
[wzr2hi, 24.01.2022] Added 7.503.751.523 for SOP.BrgP (P33B)
[wzr2hi, 09.02.2022] Added 7.505.751.850 for SOP8.PgP1 (P42R)
[wzr2hi, 16.02.2022] Added 7.505.751.840 for PreProd6.PgP1 (P33A)
[wzr2hi, 22.03.2022] Added 7.505.751.873 for SOP8.PgP1 (P42R)
[wzr2hi, 11.07.2022] Added 7.505.751.837 for PreProd3.PgP1 (C53L)
[wzr2hi, 27.09.2022] Added 7.505.751.928 for SOP13.PgP1 (P42R)
[wzr2hi, 07.10.2022] Added 7.505.751.971 for PreProd4.PgP1 (C53L)
[wzr2hi, 21.10.2022] Added 7.505.751.978 for PreProd5.PgP1 (C53L)
[wzr2hi, 22.11.2022] Added 7.503.751.826 for SOP5.BrgP (P33B)
[wzr2hi, 27.02.2023] Added 7.505.752.010 for PreProd6.PgP1 (C53L)
[wzr2hi, 13.03.2023] Added 7.505.751.864 for QLU1.PgP1 (P33A)
[wzr2hi, 21.04.2023] Added 7.505.752.024 for PreProd7.PgP1 (C53L)
[wzr2hi, 11.10.2023] Added 7.505.751.927 for SOP7.PgP1 (P60A)
[wzr2hi, 15.05.2024] Added 7.505.752.108 for PreProd18.PgP1 (P33A)
[wzr2hi, 09.04.2025] Added 7.505.752.175 for SOP15.PgP1 (P42R)</t>
  </si>
  <si>
    <t>7.500.750.865-01,
7.500.750.865-02,
7.503.751.253-01,
7.500.750.893-01,
7.500.750.887-01,
7.500.750.887-02,
7.500.750.893-02,
7.505.751.396-01,
7.503.751.253,
7.505.751.544-01,
7.505.751.396,
7.505.751.375-01,
7.505.751.375-02,
7.505.751.513,
7.505.751.375,
7.503.751.468,
7.505.751.616,
7.505.751.647,
7.503.751.472,
7.505.751.634,
7.505.751.544-02,
7.505.751.638,
7.505.751.696,
7.505.751.662,
7.505.751.769,
7.505.751.757,
7.505.751.544,
7.505.751.743,
7.505.751.763,
7.505.751.815,
7.503.751.523,
7.505.751.850,
7.505.751.840,
7.505.751.873,
7.505.751.837,
7.505.751.928,
7.505.751.971,
7.505.751.978,
7.503.751.826,
7.505.752.010,
7.505.751.864,
7.505.752.024,
7.505.751.927,
7.505.752.108,
7.505.752.175</t>
  </si>
  <si>
    <t>[wzr2hi, 17.10.2018] Added 7.510.751.210-01 for DSB2.1.Hi (H61L)
[wzr2hi, 04.04.2019] Added 7.515.751.468-01 for TSB1.1.PgP1 (H61L)
[wzr2hi, 04.04.2019] Added 7.510.751.326-01 for DSB2.2.MFI1-COSE (P33B)
[wzr2hi, 07.05.2019] Added 7.513.751.520-01 for TSB1.BrgP (P33B)
[wzr2hi, 10.04.2019] Added 7.510.751.518-01  for DSB3.Hi (P60A)
[wzr2hi, 17.06.2019] Added 7.510.751.508-01 for DSB3.0.HI (P42R)
[wzr2hi, 14.06.2019] Added 7.510.751.508-02 for DSB3.2.HI (P42R)
[wzr2hi, 24.06.2019] Added 7.515.751.468-02 for TSB2.1.PgP1 (H61L)
[wzr2hi, 24.07.2019] Added 7.510.751.518-02  for DSB3.2.Hi (P60A)
[mkr2hi, 12.08.2019] Added 7.515.751.468 for PP1.1.PgP1 (H61L)
[wzr2hi, 28.10.2019] Added 7.515.751.696-01 for TSB3.PgP1 (P60A)
[wzr2hi, 28.10.2019] Added 7.515.751.752-01 for TSB3.1.PgP1 (P42R)
[wzr2hi, 11.02.2020] Added 7.513.751.520 for PP1.BrgP (P33B)
[wzr2hi, 26.02.2020] Added 7.515.751.696 for PP3.PgP1 (P60A)
[wzr2hi, 07.09.2020] Added 7.515.751.752 for PreProd3.1.PgP1 (P42R)
[wzr2hi, 08.09.2020] Added 7.515.751.802-01 for TSB3.3.PgP1 (P60A)
[wzr2hi, 08.09.2020] Added 7.515.751.802-02 for TSB3.4.PgP1 (P60A)
[wzr2hi, 10.09.2020] Added 7.515.751.904 for SOP.PgP1 (P60A)
[wzr2hi, 13.10.2019] Added 7.515.751.976 for PreProd3.2.PgP1 (P42R)
[wzr2hi, 13.10.2019] Added 7.515.751.802 for PreProd3.3.PgP1 (P60A)
[wzr2hi, 03.11.2020] Added 7.513.751.933 for PP2.BrgP (P33B)
[wzr2hi, 04.02.2021] Added 7.515.752.135 for PreProd3.8.PgP1 (P42R)
[wzr2hi, 23.04.2021] Added 7.515.752.150 for MY22.SOP2.2.PgP1 (P60A)
[wzr2hi, 04.05.2021] Added 7.515.752.171 for SOP2.PgP1 (P42R)
[wzr2hi, 28.05.2021] Added 7.515.752.263 for MY22.SOP2.2.PgP1 (P60A)
[wzr2hi, 06.07.2021] Added 7.513.752.185 for SOP2.BrgP (P33B)
[wzr2hi, 06.01.2022] Added 7.515.752.311 for MY22.SOP3.PgP1 (P60A)
[wzr2hi, 17.01.2022] Added 7.515.752.318 for SOP6.PgP1 (P42R)
[wzr2hi, 09.02.2022] Added 7.515.752.516 for SOP8.PgP1 (P42R)
[wzr2hi, 22.03.2022] Added 7.515.752.562 for SOP8.PgP1 (P42R)
[wzr2hi, 09.06.2022] Added 7.515.752.508 for SOP6.PgP1 (P60A)
[wzr2hi, 27.09.2022] Added 7.515.752.692 for SOP13.PgP1 (P42R)
[wzr2hi, 21.02.2023] Added 7.515.752.829 for SOP.PgP1 (P33B)
[wzr2hi, 08.01.2024] Added 7.515.752.933 for SOP9.PgP1 (P60A)
[wzr2hi, 15.08.2024] Added 7.515.753.069 for SOP10.PgP1 (P60A)
[wzr2hi, 09.04.2025] Added 7.515.753.198 for SOP15.PgP1 (P42R)</t>
  </si>
  <si>
    <t>7.510.751.210-01,
7.515.751.468-01,
7.510.751.326-01,
7.513.751.520-01,
7.510.751.518-01,
7.510.751.508-01,
7.510.751.508-02,
7.515.751.468-02,
7.510.751.518-02,
7.515.751.468,
7.515.751.696-01,
7.515.751.752-01,
7.513.751.520,
7.515.751.696,
7.515.751.752,
7.515.751.802-01,
7.515.751.802-02,
7.515.751.904,
7.515.751.976,
7.515.751.802,
7.513.751.933,
7.515.752.135,
7.515.752.150,
7.515.752.171,
7.515.752.263,
7.513.752.185,
7.515.752.311,
7.515.752.318,
7.515.752.516,
7.515.752.562,
7.515.752.508,
7.515.752.692,
7.515.752.829,
7.515.752.933,
7.515.753.069,
7.515.753.198</t>
  </si>
  <si>
    <t>[wzr2hi, 10.04.2019] Added 7.500.750.894-01 for DSB3.Hi (P60A)
[wzr2hi, 17.06.2019] Added 7.500.750.888-01 for DSB3.0.HI (P42R)
[wzr2hi, 14.06.2019] Added 7.500.750.888-02 for DSB3.2.HI (P42R)
[wzr2hi, 24.07.2019] Added 7.500.750.894-02 for DSB3.2.Hi (P60A)
[wzr2hi, 28.10.2019] Added 7.505.751.376-01 for TSB3.PgP1 (P60A)
[wzr2hi, 28.10.2019] Added 7.505.751.397-01 for TSB3.1.PgP1 (P42R)
[wzr2hi, 26.02.2020] Added 7.505.751.376 for PP3.PgP1 (P60A)
[wzr2hi, 29.07.2020] Added 7.505.751.508-01 for TSB8.PgP1 (C53L)
[wzr2hi, 07.09.2020] Added 7.505.751.397 for PreProd3.1.PgP1 (P42R)
[wzr2hi, 08.09.2020] Added 7.505.751.417-01 for TSB3.3.PgP1 (P60A)
[wzr2hi, 08.09.2020] Added 7.505.751.417-02 for TSB3.4.PgP1 (P60A)
[wzr2hi, 13.10.2019] Added 7.505.751.417 for PreProd3.3.PgP1 (P60A)
[wzr2hi, 13.10.2019] Added 7.505.751.514 for PreProd3.2.PgP1 (P42R)
[wzr2hi, 11.12.2020] Added 7.505.751.623 for PreProd5.PgP1 (P33A)
[wzr2hi, 04.02.2021] Added 7.505.751.635 for PreProd3.8.PgP1 (P42R)
[wzr2hi, 05.03.2021] Added 7.505.751.508-02 for TSB10.PgP1 (C53L)
[wzr2hi, 23.04.2021] Added 7.505.751.639 for MY22.SOP2.2.PgP1 (P60A)
[wzr2hi, 04.05.2021] Added 7.505.751.663 for SOP2.PgP1 (P42R)
[wzr2hi, 17.05.2021] Added 7.505.751.770 for PreProd6.PgP1 (P33A)
[wzr2hi, 28.05.2021] Added 7.505.751.697 for MY22.SOP2.2.PgP1 (P60A)
[wzr2hi, 13.09.2021] Added 7.505.751.508 for PreProd1.PgP1 (C53L)
[wzr2hi, 13.09.2021] Added 7.505.751.741 for PreProd2.PgP1 (C53L)
[wzr2hi, 06.01.2022] Added 7.505.751.758 for MY22.SOP3.PgP1 (P60A)
[wzr2hi, 17.01.2022] Added 7.505.751.764 for SOP6.PgP1 (P42R)
[wzr2hi, 09.02.2022] Added 7.505.751.851 for SOP8.PgP1 (P42R)
[wzr2hi, 16.02.2022] Added 7.505.751.841 for PreProd6.PgP1 (P33A)
[wzr2hi, 22.03.2022] Added 7.505.751.874 for SOP8.PgP1 (P42R)
[wzr2hi, 09.06.2022] Added 7.505.751.847 for SOP6.PgP1 (P60A)
[wzr2hi, 11.07.2022] Added 7.505.751.835 for PreProd3.PgP1 (C53L)
[wzr2hi, 27.09.2022] Added 7.505.751.929 for SOP13.PgP1 (P42R)
[wzr2hi, 07.10.2022] Added 7.505.751.954 for PreProd4.PgP1 (C53L)
[wzr2hi, 21.10.2022] Added 7.505.751.976 for PreProd5.PgP1 (C53L)
[wzr2hi, 06.01.2023] Added 7.505.751.995 for PreProd11.PgP1 (P33A GSR2)
[wzr2hi, 27.02.2023] Added 7.505.752.008 for PreProd6.PgP1 (C53L)
[wzr2hi, 21.04.2023] Added 7.505.752.022 for PreProd7.PgP1 (C53L)
[wzr2hi, 26.06.2023] Added 7.505.752.042 for MY24.PreProd14.PgP1 (P33A)
[wzr2hi, 21.09.2023] Added 7.505.752.052 for PreProd15.PgP1 (P33A)
[wzr2hi, 19.10.2023] Added 7.505.752.055 for PreProd8.PgP1 (C53L)
[wzr2hi, 22.11.2023] Added 7.505.752.056 for SOP.PgP1 (P33A)
[wzr2hi, 08.01.2024] Added 7.505.752.071 for SOP9.PgP1 (P60A)
[wzr2hi, 01.03.2024] Added 7.505.752.088 for MY25.SOP.PgP1 (P33A)
[wzr2hi, 22.07.2024] Added 7.505.752.136 for MY25.SOP15.PgP1 (P33A)
[wzr2hi, 15.08.2024] Added 7.505.752.140 for SOP10.PgP1 (P60A)
[wzr2hi, 04.10.2024] Added 7.505.752.147 for SOP9@PgP1 (C53L)
[wzr2hi, 09.04.2025] Added 7.505.752.176 for SOP15.PgP1 (P42R)</t>
  </si>
  <si>
    <t>7.500.750.894-01,
7.500.750.888-01,
7.500.750.888-02,
7.500.750.894-02,
7.505.751.376-01,
7.505.751.397-01,
7.505.751.376,
7.505.751.508-01,
7.505.751.397,
7.505.751.417-01,
7.505.751.417-02,
7.505.751.417,
7.505.751.514,
7.505.751.623,
7.505.751.635,
7.505.751.508-02,
7.505.751.639,
7.505.751.663,
7.505.751.770,
7.505.751.697,
7.505.751.508,
7.505.751.741,
7.505.751.758,
7.505.751.764,
7.505.751.851,
7.505.751.841,
7.505.751.874,
7.505.751.847,
7.505.751.835,
7.505.751.929,
7.505.751.954,
7.505.751.976,
7.505.751.995,
7.505.752.008,
7.505.752.022,
7.505.752.042,
7.505.752.052,
7.505.752.055,
7.505.752.056,
7.505.752.071,
7.505.752.088,
7.505.752.136,
7.505.752.140,
7.505.752.147,
7.505.752.176</t>
  </si>
  <si>
    <t>[wzr2hi, 28.10.2019] Added 7.515.751.778-01 for TSB3.1.PgP1 (P42R)
[wzr2hi, 17.06.2020] Added 7.515.751.967 for QLU1.PgP1 (H61L)
[wzr2hi, 24.06.2020] Added 7.515.751.894-01 for TSB5.PgP1 (H61L)
[wzr2hi, 07.09.2020] Added 7.515.751.778 for PreProd3.1.PgP1 (P42R)
[wzr2hi, 09.10.2020] Added 7.515.751.894 for PP4.1.PgP1 (H61P)
[wzr2hi, 09.10.2020] Added 7.515.752.013 for PP4.1.PgP1 (H61L)
[wzr2hi, 13.10.2019] Added 7.515.751.972 for PreProd3.2.PgP1 (P42R)
[wzr2hi, 03.12.2020] Added 7.515.752.127 for PP4.1.PgP1 (H61P)
[wzr2hi, 04.02.2021] Added 7.515.752.131 for PreProd3.8.PgP1 (P42R)
[wzr2hi, 30.03.2021] Added 7.515.752.175 for PreProd4.1.PgP1 (H61P)
[wzr2hi, 19.04.2021] Added 7.515.752.178 for PreProd4.1.PgP1 (H61P)
[wzr2hi, 04.05.2021] Added 7.515.752.167 for SOP2.PgP1 (P42R)
[wzr2hi, 07.07.2021] Added 7.515.752.314 for SOP2.1.PgP1 (P42R)
[wzr2hi, 23.09.2021] Added 7.515.752.181 for QLU1.PgP1 (H61P)
[wzr2hi, 15.11.2021] Added 7.515.752.418 for QLU1.PgP1 (H61L)
[wzr2hi, 17.01.2022] Added 7.515.752.386 for SOP6.PgP1 (P42R)
[wzr2hi, 09.02.2022] Added 7.515.752.511 for SOP8.PgP1 (P42R)
[wzr2hi, 22.03.2022] Added 7.515.752.557 for SOP8.PgP1 (P42R)
[wzr2hi, 18.05.2022] Added 7.515.752.476 for SOP13.1.PgP1 (H61P)
[wzr2hi, 27.09.2022] Added 7.515.752.693 for SOP13.PgP1 (P42R)
[wzr2hi, 29.06.2023] Added 7.515.752.766 for MY23.QLU.PgP1 (H61P)
[wzr2hi, 09.04.2025] Added 7.515.753.199 for SOP15.PgP1 (P42R)</t>
  </si>
  <si>
    <t>7.515.751.778-01,
7.515.751.967,
7.515.751.894-01,
7.515.751.778,
7.515.751.894,
7.515.752.013,
7.515.751.972,
7.515.752.127,
7.515.752.131,
7.515.752.175,
7.515.752.178,
7.515.752.167,
7.515.752.314,
7.515.752.181,
7.515.752.418,
7.515.752.386,
7.515.752.511,
7.515.752.557,
7.515.752.476,
7.515.752.693,
7.515.752.766,
7.515.753.199</t>
  </si>
  <si>
    <t>[wzr2hi, 17.10.2018] Added 7.510.751.201-01 for DSB2.1.Hi (P33A)
[wzr2hi, 04.04.2019] Added 7.510.751.201-02 for DSB2.2.MFI1-COSE (P33B)
[wzr2hi, 07.05.2019] Added 7.513.751.522-01 for TSB1.BrgP (P33B)
[wzr2hi, 16.06.2019] Added 7.510.751.505-01 for DSB3.0.HI (P42R)
[wzr2hi, 14.06.2019] Added 7.510.751.505-02 for DSB3.2.HI (P42R)
[wzr2hi, 28.10.2019] Added 7.515.751.749-01 for TSB3.1.PgP1 (P42R)
[wzr2hi, 11.02.2020] Added 7.513.751.522 for PP1.BrgP (P33B)
[wzr2hi, 07.09.2020] Added 7.515.751.749 for PreProd3.1.PgP1 (P42R)
[wzr2hi, 13.10.2019] Added 7.515.751.974 for PreProd3.2.PgP1 (P42R)
[wzr2hi, 03.11.2020] Added 7.513.751.937 for PP2.BrgP (P33B)
[wzr2hi, 04.02.2021] Added 7.515.752.133 for PreProd3.8.PgP1 (P42R)
[wzr2hi, 04.05.2021] Added 7.515.752.169 for SOP2.PgP1 (P42R)
[wzr2hi, 06.07.2021] Added 7.513.752.188 for SOP2.BrgP (P33B)
[wzr2hi, 17.01.2022] Added 7.515.752.316 for SOP6.PgP1 (P42R)
[wzr2hi, 09.02.2022] Added 7.515.752.513 for SOP8.PgP1 (P42R)
[wzr2hi, 22.03.2022] Added 7.515.752.559 for SOP8.PgP1 (P42R)
[wzr2hi, 27.09.2022] Added 7.515.752.695 for SOP13.PgP1 (P42R)
[wzr2hi, 21.02.2023] Added 7.515.752.831 for SOP.PgP1 (P33B)
[wzr2hi, 09.04.2025] Added 7.515.753.201 for SOP15.PgP1 (P42R)</t>
  </si>
  <si>
    <t>7.510.751.201-01,
7.510.751.201-02,
7.513.751.522-01,
7.510.751.505-01,
7.510.751.505-02,
7.515.751.749-01,
7.513.751.522,
7.515.751.749,
7.515.751.974,
7.513.751.937,
7.515.752.133,
7.515.752.169,
7.513.752.188,
7.515.752.316,
7.515.752.513,
7.515.752.559,
7.515.752.695,
7.515.752.831,
7.515.753.201</t>
  </si>
  <si>
    <t>[wzr2hi, 17.10.2018] Added 7.510.751.200-01 for DSB2.1.Hi (P33A)
[wzr2hi, 04.04.2019] Added 7.510.751.200-02 for DSB2.2.MFI1-COSE (P33B)
[wzr2hi, 07.05.2019] Added 7.513.751.521-01 for TSB1.BrgP (P33B)
[wzr2hi, 17.06.2019] Added 7.510.751.504-01 for DSB3.0.HI (P42R)
[wzr2hi, 14.06.2019] Added 7.510.751.504-02 for DSB3.2.HI (P42R)
[wzr2hi, 28.10.2019] Added 7.515.751.748-01 for TSB3.1.PgP1 (P42R)
[wzr2hi, 11.02.2020] Added 7.513.751.521 for PP1.BrgP (P33B)
[wzr2hi, 07.09.2020] Added 7.515.751.748 for PreProd3.1.PgP1 (P42R)
[wzr2hi, 13.10.2019] Added 7.515.751.973 for PreProd3.2.PgP1 (P42R)
[wzr2hi, 04.02.2021] Added 7.515.752.132 for PreProd3.8.PgP1 (P42R)
[wzr2hi, 04.05.2021] Added 7.515.752.168 for SOP2.PgP1 (P42R)
[wzr2hi, 17.01.2022] Added 7.515.752.315 for SOP6.PgP1 (P42R)
[wzr2hi, 09.02.2022] Added 7.515.752.512 for SOP8.PgP1 (P42R)
[wzr2hi, 22.03.2022] Added 7.515.752.558 for SOP8.PgP1 (P42R)
[wzr2hi, 27.09.2022] Added 7.515.752.694 for SOP13.PgP1 (P42R)
[wzr2hi, 09.04.2025] Added 7.515.753.200 for SOP15.PgP1 (P42R)</t>
  </si>
  <si>
    <t>7.510.751.200-01,
7.510.751.200-02,
7.513.751.521-01,
7.510.751.504-01,
7.510.751.504-02,
7.515.751.748-01,
7.513.751.521,
7.515.751.748,
7.515.751.973,
7.515.752.132,
7.515.752.168,
7.515.752.315,
7.515.752.512,
7.515.752.558,
7.515.752.694,
7.515.753.200</t>
  </si>
  <si>
    <r>
      <t xml:space="preserve">[wzr2hi, 17.10.2018] Added 7.510.751.027-01 for DSB2.1.Hi (P33AB)
[wzr2hi, 04.04.2019] Added 7.510.751.027-02 for DSB2.2.MFI1-COSE (P33B)
[wzr2hi, 07.05.2019] Added 7.513.751.468-01 for TSB1.BrgP (P33B)
[wzr2hi, 10.04.2019] Added 7.510.751.516-01 for DSB3.Hi (P60A) =&gt; [wzr2hi, 24.07.2019] Moved to DSB3.2.Hi (P60A) according to VM
[wzr2hi, 13.12.2019] Added 7.510.751.611-01 for DSB3.3.HI (P42R)
[wzr2hi, 11.02.2020] Added 7.513.751.468 for PP1.BrgP (P33B)
[wzr2hi, 08.09.2020] Added 7.515.751.694-01 for TSB3.3.PgP1 (P60A)
[wzr2hi, 08.09.2020] Added 7.515.751.694-02 for TSB3.4.PgP1 (P60A)
[wzr2hi, 13.10.2020] Added 7.515.751.803-01 for TSB3.2.PgP1 (P42R)
[wzr2hi, 13.10.2019] Added 7.515.751.694 for PreProd3.3.PgP1 (P60A)
[wzr2hi, 03.11.2020] Added 7.513.751.911 for PP2.BrgP (P33B)
[wzr2hi, 05.01.2021] Added 7.515.752.081 for PreProd3.5.PgP1 (P60A)
[wzr2hi, 08.03.2021] Added 7.515.752.147 for SOP.PgP1 (P60A)
[wzr2hi, 31.03.2021] Added 7.515.752.260 for SOP.PgP1 (P60A)
[wzr2hi, 14.04.2021] Added 7.515.751.803 for PreProd3.4.PgP1 (P42R)
[wzr2hi, 22.04.2021] Added 7.515.752.084 for PreProd3.7.PgP1 (P42R)
[wzr2hi, 22.06.2021] Added 7.513.752.183 for SOP2.BrgP (P33B)
[wzr2hi, 13.08.2021] Added 7.515.752.308 for MY22.SOP3.PgP1 (P60A)
[wzr2hi, 22.04.2021] Added 7.515.752.146 for SOP.PgP1 (P42R)
[wzr2hi, 17.01.2022] Added 7.515.752.172 for SOP7.PgP1 (P42R)
[wzr2hi, 09.02.2022] Added 7.515.752.515 for SOP8.PgP1 (P42R)
[wzr2hi, 22.03.2022] Added 7.515.752.561 for SOP8.PgP1 (P42R)
[wzr2hi, 21.02.2023] Added 7.515.752.827 for SOP.PgP1 (P33B)
[wzr2hi, 29.01.2024] Added 7.515.752.934 for AUT.PreProd1.PgP1 (AUT) - Nissan connected to Aeris
[wzr2hi, 29.01.2024] Added 7.515.752.935 for AUT.PreProd1.PgP1 (AUT) - Nissan connected to Aeris
</t>
    </r>
    <r>
      <rPr>
        <sz val="10"/>
        <color theme="1"/>
        <rFont val="Arial"/>
        <family val="2"/>
      </rPr>
      <t>[wzr2hi, 29.01.2024] Added 7.515.752.936 for AUT.PreProd1.PgP1 (AUT) - Nissan connected to Aeris
[wzr2hi, 29.01.2024] Added 7.515.752.937 for AUT.PreProd1.PgP1 (AUT) - Nissan connected to Aeris
[wzr2hi, 15.01.2025] Added 7.515.753.167 for SOP1.PgP1 (AUT) - Nissan connected to Aeris
[wzr2hi, 15.01.2025] Added 7.515.753.168 for SOP2.PgP1 (AUT) - Nissan connected to Aeris
[wzr2hi, 09.04.2025] Added 7.515.753.202 for SOP15.PgP1 (P42R)</t>
    </r>
  </si>
  <si>
    <t>7.510.751.027-01,
7.510.751.027-02,
7.513.751.468-01,
7.510.751.516-01,
7.510.751.611-01,
7.513.751.468,
7.515.751.694-01,
7.515.751.694-02,
7.515.751.803-01,
7.515.751.694,
7.513.751.911,
7.515.752.081,
7.515.752.147,
7.515.752.260,
7.515.751.803,
7.515.752.084,
7.513.752.183,
7.515.752.308,
7.515.752.146,
7.515.752.172,
7.515.752.515,
7.515.752.561,
7.515.752.827,
7.515.752.934,
7.515.752.935,
7.515.752.936,
7.515.752.937,
7.515.753.167,
7.515.753.168,
7.515.753.202</t>
  </si>
  <si>
    <t>7.503.750.821-03,
7.505.750.992-01,
7.505.750.992-02,
7.505.751.155-01,
7.505.751.156-01,
7.503.750.897,
7.505.750.992,
7.503.751.209,
7.503.751.210-01,
7.503.751.218,
7.505.751.277,
7.503.751.210,
7.503.751.269,
7.503.751.276,
7.505.751.395,
7.505.751.350,
7.503.751.382,
7.505.751.346,
7.503.751.400,
7.505.751.497,
7.505.751.525,
7.505.751.550,
7.503.751.466,
7.505.751.692,
7.505.751.156,
7.505.751.803,
7.505.751.750,
7.503.751.673,
7.503.751.525,
7.505.751.858,
7.503.751.867,
7.505.751.897,
7.505.752.030,
7.505.752.177</t>
  </si>
  <si>
    <t>[wzr2hi, 11.01.2018] Added 7.503.750.821-03 for TSB9.2.BrgP =&gt; [wzr2hi, 26.06.2018] Now TSB11.BrgP (P13A)
[wzr2hi, 21.03.2018] Added 7.505.750.992-01 for TSB13.4.PgP1
[wzr2hi, 03.05.2018] Added 7.505.750.992-02 for TSB14.2.PgP1
[wzr2hi, 30.07.2018] Added 7.505.751.155-01 for TSB15.1a.PgP1 (L42N)
[wzr2hi, 30.07.2018] Added 7.505.751.156-01 for TSB15.1a.PgP1 (L42P)
[wzr2hi, 24.08.2018] Added 7.503.750.897 for PreProd7.BrgP (B12P)
[wzr2hi, 20.11.2018] Added 7.505.750.992 for PreProd19.2.PgP1 (L21B)
[wzr2hi, 05.12.2018] Added 7.503.751.209 for PreProd10.BrgP (P32S)
[wzr2hi, 24.01.2019] Added 7.503.751.210-01 for TSB14.BrgP (U60)
[wzr2hi, 24.01.2018] Added 7.503.751.218 for PreProd10.1.BrgP (P13A)
[wzr2hi, 05.04.2019] Added 7.505.751.277 for PreProd20.1b.PgP1 (L21B)
[wzr2hi, 29.04.2019] Added 7.503.751.210 for PreProd14.BrgP (U60)
[wzr2hi, 28.05.2019] Added 7.503.751.269 for QLU0.5.BrgP (B12P)
[wzr2hi, 03.07.2019] Added 7.503.751.276 for PreProd11.BrgP (P13A)
[wzr2hi, 05.09.2019] Added 7.505.751.395 for PreProd24b.PgP1 (H60A)
[wzr2hi, 12.09.2019] Added 7.505.751.350 for PreProd21.PgP1 (L21B)
[wzr2hi, 30.09.2019] Added 7.503.751.382 for QLU1.BrgP (B12P)
[wzr2hi, 28.11.2019] Added 7.505.751.346 for SOP.PgP1 (L21B)
[wzr2hi, 08.07.2020] Added 7.503.751.400 for MY21-SOP.BrgP (P13A)
[wzr2hi, 15.07.2020] Added 7.505.751.497 for MY21-SOP.PgP1 (L21B)
[wzr2hi, 05.08.2020] Added 7.505.751.525 for PreProd31.PgP1 (B12P)
[wzr2hi, 23.09.2020] Added 7.505.751.550 for SOP.PgP1 (H60A)
[wzr2hi, 19.11.2020] Added 7.503.751.466 for QLU1.BrgP (P32R/S)
[wzr2hi, 10.03.2021] Added 7.505.751.692 for MY22-SOP.PgP1 (L21B)
[wzr2hi, 14.06.2021] Added 7.505.751.156 for MY23.PreProd32.PgP1 (L42P)
[wzr2hi, 29.07.2021] Added 7.505.751.803 for MY21.SOP.PgP1 (L21B)
[wzr2hi, 18.10.2021] Added 7.505.751.750 for MY23.SOP.PgP1 (H60A)
[wzr2hi, 08.12.2021] Added 7.503.751.673 for QLU2.0.BrgP (B12P)
[wzr2hi, 08.12.2021] Added 7.503.751.525 for QLU2.BrgP (P13A)
[wzr2hi, 22.02.2022] Added 7.505.751.858 for MY23.PreProd32.PgP1 (L42P)
[wzr2hi, 31.01.2023] Added 7.503.751.867 for QLU2.5.BrgP (P13A)
[wzr2hi, 07.02.2023] Added 7.505.751.897 for MY23.SOP.PgP1 (L42P)
[wzr2hi, 05.06.2023] Added 7.505.752.030 for MP.PgP1 (L21B)
[wzr2hi, 15.04.2025] Added 7.505.752.177 for MP.PgP1 (L21B)</t>
  </si>
  <si>
    <t>7.515.751.766-02,
7.515.751.766,
7.515.752.113,
7.515.752.156,
7.515.752.294,
7.515.752.430,
7.515.753.084</t>
  </si>
  <si>
    <t>[wzr2hi, 19.03.2019] Added 7.515.751.766-02 for TSB3.PgP1 (TBD)
[wzr2hi, 22.07.2020] Added 7.515.751.766 for PreProd2.PgP1 (TBD)
[wzr2hi, 09.12.2020] Added 7.515.752.113 for MP.PgP1 (TBD)
[wzr2hi, 18.01.2021] Added 7.515.752.156 for PreProd3.PgP1 (P61G)
[wzr2hi, 14.07.2021] Added 7.515.752.294 for PreProd3.PgP1 (TBD)
[wzr2hi, 08.07.2024] Added 7.515.752.430 for MY25.QLU.PgP1 (P61G)
[wzr2hi, 23.04.2025] Added 7.515.753.084 for MY25.QLU.RC.PgP1 (P61G)</t>
  </si>
  <si>
    <t>7.515.751.238-05,
7.515.751.238,
7.515.752.185,
7.515.752.266,
7.515.752.379,
7.515.752.380,
7.515.752.445,
7.515.752.436,
7.515.752.585-01,
7.515.752.593-01,
7.515.752.593,
7.515.752.539,
7.515.752.601,
7.515.752.571,
7.515.752.572,
7.515.752.655,
7.515.752.698,
7.515.752.718,
7.515.752.719,
7.515.752.721,
7.515.752.726,
7.515.752.763-01,
7.515.752.788-01,
7.515.752.785,
7.515.752.845,
7.515.752.860,
7.515.752.859,
7.515.752.868,
7.515.752.888,
7.515.752.896,
7.515.752.899,
7.515.752.913,
7.515.752.916,
7.515.752.925,
7.515.752.924,
7.515.752.997-01,
7.515.753.013,
7.515.752.997,
7.515.752.788-02,
7.515.752.922,
7.515.753.049,
7.515.753.073,
7.515.753.077,
7.515.753.071,
7.515.753.213</t>
  </si>
  <si>
    <t>[wzr2hi, 19.03.2019] Added 7.515.751.238-05 for TSB3.PgP1 (TBD)
[wzr2hi, 24.06.2020] Added 7.515.751.238 for PreProd1.PgP1 (TBD)
[wzr2hi, 10.02.2021] Added 7.515.752.185 for MP.PgP1 (P33A)
[wzr2hi, 14.06.2021] Added 7.515.752.266 for PreProd3.PgP1 (TBD)
[wzr2hi, 15.09.2021] Added 7.515.752.379 for SOP.PgP1 (PZ1A)
[wzr2hi, 13.12.2021] Added 7.515.752.380 for PreProd4.PgP1 (PZ1A)
[wzr2hi, 10.01.2022] Added 7.515.752.445 for PreProd4.PgP1 (PZ1A)
[wzr2hi, 24.02.2022] Added 7.515.752.436 for PreProd4.PgP1 (P33A)
[wzr2hi, 13.04.2022] Added 7.515.752.585-01 for TSB6.PgP1 (PZ1A) (1st time TLC)
[wzr2hi, 21.04.2022] Added 7.515.752.593-01 for TSB1.PgP1 (TBD) (1st time TI-AMP)
[wzr2hi, 12.05.2022] Added 7.515.752.593 for PreProd1.PgP1 (TBD) (1st time TI-AMP)
[wzr2hi, 03.06.2022] Added 7.515.752.539 for SOP.PgP1(PZ1A)
[wzr2hi, 09.06.2022] Added 7.515.752.601 for PreProd5.PgP1 (PZ1A)
[wzr2hi, 22.07.2022] Added 7.515.752.571 for SOP.PgP1 (PZ1A)
[wzr2hi, 04.08.2022] Added 7.515.752.572 for 4WD.SOP.PgP1 (PZ1A)
[wzr2hi, 05.08.2022] Added 7.515.752.655 for SOP.PgP1 (P33A)
[wzr2hi, 13.09.2022] Added 7.515.752.698 for PreProd1.PgP1 (PZ1A)
[wzr2hi, 15.09.2022] Added 7.515.752.718 for QLU.PgP1 (PZ1A)
[wzr2hi, 15.09.2022] Added 7.515.752.719 for QLU.PgP1 (PZ1A)
[wzr2hi, 15.09.2022] Added 7.515.752.721 for QLU.PgP1 (P33A)
[wzr2hi, 04.10.2022] Added 7.515.752.726 for PreProd.PgP1 (P33A)
[wzr2hi, 20.10.2022] Added 7.515.752.763-01 for TSB9.PgP1 (PZ1A)
[wzr2hi, 25.11.2022] Added 7.515.752.788-01 for TSB1.PgP1 (PZ1A, new DTV)
[wzr2hi, 01.12.2022] Added 7.515.752.785 for QLU1.PgP1 (P33A)
[wzr2hi, 21.02.2023] Added 7.515.752.845 for SOP.PgP1 (PZ1A)
[wzr2hi, 04.04.2023] Added 7.515.752.860 for QLU3.1.PgP1 (P33A)
[wzr2hi, 04.04.2023] Added 7.515.752.859 for QLU3.1.PgP1 (PZ1A)
[wzr2hi, 24.04.2023] Added 7.515.752.868 for SOP.PgP1 (PZ1A)
[wzr2hi, 22.06.2023] Added 7.515.752.888 for SOP.PgP1 (P33A)
[wzr2hi, 19.09.2023] Added 7.515.752.896 for SOP.PgP1 (PZ1A)
[wzr2hi, 19.09.2023] Added 7.515.752.899 for SOP.PgP1 (P33A)
[wzr2hi, 26.09.2023] Added 7.515.752.913 for SOP.PgP1 (PZ1A)
[wzr2hi, 26.09.2023] Added 7.515.752.916 for SOP.PgP1 (P33A)
[wzr2hi, 25.01.2024] Added 7.515.752.925 for QLU4.PgP1 (P33A)
[wzr2hi, 05.03.2024] Added 7.515.752.924 for SOP.PgP1 (PZ1A)
[wzr2hi, 26.04.2024] Added 7.515.752.997-01 for TSB10.PgP1 (P33A)(CRQ319)
[wzr2hi, 26.04.2024] Added 7.515.753.013 for PreProd6.PgP1 (PZ1A)(CRQ319)
[wzr2hi, 06.05.2024] Added 7.515.752.997 for PreProd6.PgP1 (P33A)(CRQ319)
[wzr2hi, 20.06.2024] Added 7.515.752.788-02 for TSB2.PgP1 (PZ1A)(new DTV)
[wzr2hi, 24.07.2024] Added 7.515.752.922 for QLU5.PgP1 (PZ1A)
[wzr2hi, 24.07.2024] Added 7.515.753.049 for QLU5.PgP1 (P33A)
[wzr2hi, 21.08.2024] Added 7.515.753.073 for PreProd8.PgP1 (PZ1A)
[wzr2hi, 23.08.2024] Added 7.515.753.077 for SOP.PgP1 (PZ1A)
[wzr2hi, 28.08.2024] Added 7.515.753.071 for PreProd6.PgP1 (PZ1A)(CRQ319)
[wzr2hi, 14.05.2025] Added 7.515.753.213 for PreProd6.PgP1 (PZ1A)(CRQ319)</t>
  </si>
  <si>
    <t>[wzr2hi, 19.03.2019] Added 7.515.751.453-04 for TSB3.PgP1 (TBD)
[wzr2hi, 19.03.2019] Added 7.515.751.454-03 for TSB3.PgP1 (TBD)
[wzr2hi, 24.06.2020] Added 7.515.751.453 for PreProd1.PgP1 (TBD)
[wzr2hi, 24.06.2020] Added 7.515.751.454 for PreProd1.PgP1 (TBD)
[wzr2hi, 02.10.2020] Added 7.515.752.015 for SOP.PgP1 (P61G)
[wzr2hi, 02.10.2020] Added 7.515.752.016 for SOP.PgP1 (P61G)
[wzr2hi, 09.12.2020] Added 7.515.752.100 for MP.PgP1 (TBD)
[wzr2hi, 09.12.2020] Added 7.515.752.105 for MP.PgP1 (TBD)
[wzr2hi, 09.12.2020] Added 7.515.752.107 for MP.PgP1 (TBD)
[wzr2hi, 09.12.2020] Added 7.515.752.101 for MP.PgP1 (TBD)
[wzr2hi, 09.12.2020] Added 7.515.752.106 for MP.PgP1 (TBD)
[wzr2hi, 09.12.2020] Added 7.515.752.108 for MP.PgP1 (TBD)
[wzr2hi, 09.12.2020] Added 7.515.752.085 for SOP.PgP1 (TBD)
[wzr2hi, 09.12.2020] Added 7.515.752.086 for SOP.PgP1 (TBD)
[wzr2hi, 18.03.2021] Added 7.515.752.151 for PreProd3.PgP1 (P42Q) (N61G)
[wzr2hi, 18.03.2021] Added 7.515.752.152 for PreProd3.PgP1 (P42Q) (N61G)
[wzr2hi, 22.04.2021] Added 7.515.752.288 for PreProd3.PgP1 (P42Q) (N61G)
[wzr2hi, 22.04.2021] Added 7.515.752.289 for PreProd3.PgP1 (P42Q) (N61G)
[wzr2hi, 21.06.2021] Added 7.515.752.334 for SOP.PgP1 (TBD)
[wzr2hi, 21.06.2021] Added 7.515.752.335 for SOP.PgP1 (TBD)
[wzr2hi, 29.11.2021] Added 7.515.752.381 for PreProd3.PgP1 (P42Q)
[wzr2hi, 29.11.2021] Added 7.515.752.382 for PreProd3.PgP1 (P42Q)
[wzr2hi, 07.12.2021] Added 7.515.752.399 for QLU.PgP1 (TBD)
[wzr2hi, 07.12.2021] Added 7.515.752.400 for QLU.PgP1 (TBD)
[wzr2hi, 16.06.2022] Added 7.515.752.427 for MY23.QLU.PgP1 (TBD)
[wzr2hi, 16.06.2022] Added 7.515.752.428 for MY23.QLU.PgP1 (TBD)
[wzr2hi, 19.07.2022] Added 7.515.752.589 for SOP.PgP1 (TBD)
[wzr2hi, 19.07.2022] Added 7.515.752.590 for SOP.PgP1 (TBD)
[wzr2hi, 13.10.2022] Added 7.515.752.674 for MY23.QLU4.PgP1 (TBD)
[wzr2hi, 13.10.2022] Added 7.515.752.675 for MY23.QLU4.PgP1 (TBD)
[wzr2hi, 20.12.2022] Added 7.515.752.792 for QLU4.1.PgP1 (TBD)
[wzr2hi, 20.12.2022] Added 7.515.752.793 for QLU4.1.PgP1 (TBD)
[wzr2hi, 18.01.2023] Added 7.515.752.812 for MY25.MP.PgP1 (H61P)
[wzr2hi, 18.01.2023] Added 7.515.752.813 for MY25.MP.PgP1 (H61P)
[wzr2hi, 22.05.2023] Added 7.515.752.877 for QLU5.PgP1 (TBD)
[wzr2hi, 22.05.2023] Added 7.515.752.878 for QLU5.PgP1 (TBD)
[wzr2hi, 04.01.2024] Added 7.515.752.930 for MY25.QLU.PgP1 (H61P)
[wzr2hi, 04.01.2024] Added 7.515.752.931 for MY25.QLU.PgP1 (H61P)
[wzr2hi, 11.03.2024] Added 7.515.752.955 for MP.PgP1 (H61P)(HD disabled in VM, PD, CD)
[wzr2hi, 11.03.2024] Added 7.515.752.956 for MP.PgP1 (H61P)(HD disabled in VM, PD, CD)
[wzr2hi, 09.07.2024] Added 7.515.753.053 for MY25.MP.PgP1 (H61P)(HD disabled in VM, PD, CD)
[wzr2hi, 09.07.2024] Added 7.515.753.054 for MY25.MP.PgP1 (H61P)(HD disabled in VM, PD, CD)
[wzr2hi, 20.09.2024] Added 7.515.752.963 for QLU5.1.PgP1 (P42Q PN61G)
[wzr2hi, 20.09.2024] Added 7.515.752.964 for QLU5.1.PgP1 (P42Q PN61G)
[wzr2hi, 21.02.2025] Added 7.515.753.105 for MY26.QLU.PgP1 (H61P) (HD disabled in VM, PD, CD)
[wzr2hi, 21.02.2025] Added 7.515.753.106 for MY26.QLU.PgP1 (H61P) (HD disabled in VM, PD, CD)
[wzr2hi, 02.06.2025] Added 7.515.752.963-01 for TSB1.PgP1 (P42Q)(GNSS change)</t>
  </si>
  <si>
    <t>7.515.751.453-04,
7.515.751.454-03,
7.515.751.453,
7.515.751.454,
7.515.752.015,
7.515.752.016,
7.515.752.100,
7.515.752.105,
7.515.752.107,
7.515.752.101,
7.515.752.106,
7.515.752.108,
7.515.752.085,
7.515.752.086,
7.515.752.151,
7.515.752.152,
7.515.752.288,
7.515.752.289,
7.515.752.334,
7.515.752.335,
7.515.752.381,
7.515.752.382,
7.515.752.399,
7.515.752.400,
7.515.752.427,
7.515.752.428,
7.515.752.589,
7.515.752.590,
7.515.752.674,
7.515.752.675,
7.515.752.792,
7.515.752.793,
7.515.752.812,
7.515.752.813,
7.515.752.877,
7.515.752.878,
7.515.752.930,
7.515.752.931,
7.515.752.955,
7.515.752.956,
7.515.753.053,
7.515.753.054,
7.515.752.963,
7.515.752.964,
7.515.753.105,
7.515.753.106,
7.515.752.963-01</t>
  </si>
  <si>
    <t>[wzr2hi, 19.03.2019] Added 7.515.751.699-02 for TSB3.PgP1 (TBD)
[wzr2hi, 22.07.2020] Added 7.515.751.699 for PreProd2.PgP1 (TBD)
[wzr2hi, 09.12.2020] Added 7.515.752.111 for MP.PgP1 (TBD)
[wzr2hi, 15.01.2021] Added 7.515.752.154 for PreProd2-UPD.PgP1 (P42Q)
[wzr2hi, 18.03.2021] Added 7.515.752.163 for PreProd3.PgP1 (P42Q)
[wzr2hi, 22.04.2021] Added 7.515.752.292 for PreProd3.PgP1 (P42Q) (N61G)
[wzr2hi, 03.05.2023] Added 7.515.752.477 for QLU4.1.PgP1 (TBD)
[wzr2hi, 02.06.2025] Added 7.515.752.477-01 for TSB1.PgP1 (P42Q)(GNSS change)</t>
  </si>
  <si>
    <t>7.515.751.699-02,
7.515.751.699,
7.515.752.111,
7.515.752.154,
7.515.752.163,
7.515.752.292,
7.515.752.477,
7.515.752.477-01</t>
  </si>
  <si>
    <t>7.505.751.281-03,
7.505.751.281,
7.505.751.628,
7.505.751.644,
7.505.751.690,
7.505.751.747,
7.505.751.846,
7.505.752.018,
7.505.752.029,
7.505.752.087</t>
  </si>
  <si>
    <t>[wzr2hi, 19.03.2019] Added 7.505.751.281-03 for TSB3.PgP1 (TBD)
[wzr2hi, 22.07.2020] Added 7.505.751.281 for PreProd2.PgP1 (TBD)
[wzr2hi, 09.12.2020] Added 7.505.751.628 for MP.PgP1 (TBD)
[wzr2hi, 15.01.2021] Added 7.505.751.644 for PreProd2-UPD.PgP1 (P42Q)
[wzr2hi, 18.03.2021] Added 7.505.751.690 for PreProd3.PgP1 (P42Q)
[wzr2hi, 22.04.2021] Added 7.505.751.747 for PreProd3.PgP1 (P42Q) (N61G)
[wzr2hi, 17.01.2023] Added 7.505.751.846 for QLU4.PgP1 (TBD)
[wzr2hi, 03.05.2023] Added 7.505.752.018 for QLU4.1.PgP1 (TBD)
[wzr2hi, 22.05.2023] Added 7.505.752.029 for QLU5.PgP1 (TBD)
[wzr2hi, 27.02.2024] Added 7.505.752.087 for QLU5.1.PgP1 (P42Q)</t>
  </si>
  <si>
    <t>[wzr2hi, 19.03.2019] Added 7.515.751.455-03 for TSB3.PgP1 (TBD)
[wzr2hi, 22.07.2020] Added 7.515.751.455 for PreProd2.PgP1 (TBD)
[wzr2hi, 09.12.2020] Added 7.515.752.102 for MP.PgP1 (TBD)
[wzr2hi, 09.12.2020] Added 7.515.752.110 for MP.PgP1 (TBD)
[wzr2hi, 18.03.2021] Added 7.515.752.182 for PreProd3.PgP1 (P61G) (P42Q)
[wzr2hi, 22.04.2021] Added 7.515.752.291 for PreProd3.PgP1 (P42Q) (N61G)
[wzr2hi, 07.12.2021] Added 7.515.752.402 for SOP.PgP1 (TBD)
[wzr2hi, 25.01.2022] Added 7.515.752.455 for SOP.PgP1 (TBD)
[wzr2hi, 17.01.2023] Added 7.515.752.811 for QLU4.PgP1 (TBD)
[wzr2hi, 03.05.2023] Added 7.515.752.864 for QLU4.1.PgP1 (TBD)
[wzr2hi, 22.05.2023] Added 7.515.752.879 for QLU5.PgP1 (TBD)
[wzr2hi, 27.02.2024] Added 7.515.752.949 for QLU5.1.PgP1 (P42Q)
[wzr2hi, 02.06.2025] Added 7.515.752.949-01 for TSB1.PgP1 (P42Q)(GNSS change)</t>
  </si>
  <si>
    <t>7.515.751.455-03,
7.515.751.455,
7.515.752.102,
7.515.752.110,
7.515.752.182,
7.515.752.291,
7.515.752.402,
7.515.752.455,
7.515.752.811,
7.515.752.864,
7.515.752.879,
7.515.752.949,
7.515.752.949-01</t>
  </si>
  <si>
    <t>7.505.751.256-03,
7.505.751.280-03,
7.505.751.256,
7.505.751.280,
7.505.751.624,
7.505.751.625,
7.505.751.626,
7.505.751.642,
7.505.751.687,
7.505.751.688,
7.505.751.744,
7.505.751.745,
7.505.751.787,
7.505.751.788,
7.505.751.821,
7.505.751.822,
7.505.751.924,
7.505.751.925,
7.505.751.991,
7.505.751.992,
7.505.751.998,
7.505.751.999,
7.505.752.027,
7.505.752.028,
7.505.752.068,
7.505.752.069,
7.505.752.099,
7.505.752.100,
7.505.752.130,
7.505.752.131,
7.505.752.102,
7.505.752.103,
7.505.752.148,
7.505.752.149,
7.505.752.182</t>
  </si>
  <si>
    <t>[wzr2hi, 19.03.2019] Added 7.505.751.256-03 for TSB3.PgP1 (TBD)
[wzr2hi, 19.03.2019] Added 7.505.751.280-03 for TSB3.PgP1 (TBD)
[wzr2hi, 24.06.2020] Added 7.505.751.256 for PreProd1.PgP1 (TBD)
[wzr2hi, 24.06.2020] Added 7.505.751.280 for PreProd1.PgP1 (TBD)
[wzr2hi, 09.12.2020] Added 7.505.751.624 for MP.PgP1 (TBD)
[wzr2hi, 09.12.2020] Added 7.505.751.625 for MP.PgP1 (TBD)
[wzr2hi, 09.12.2020] Added 7.505.751.626 for MP.PgP1 (TBD)
[wzr2hi, 15.01.2021] Added 7.505.751.642 for PreProd2-UPD.PgP1 (P42Q)
[wzr2hi, 18.03.2021] Added 7.505.751.687 for PreProd3.PgP1 (P42Q)
[wzr2hi, 18.03.2021] Added 7.505.751.688 for PreProd3.PgP1 (P42Q)
[wzr2hi, 22.04.2021] Added 7.505.751.744 for PreProd3.PgP1 (P42Q) (N61G)
[wzr2hi, 22.04.2021] Added 7.505.751.745 for PreProd3.PgP1 (P42Q) (N61G)
[wzr2hi, 21.06.2021] Added 7.505.751.787 for SOP.PgP1 (TBD)
[wzr2hi, 21.06.2021] Added 7.505.751.788 for SOP.PgP1 (TBD)
[wzr2hi, 16.06.2022] Added 7.505.751.821 for MY23.QLU.PgP1 (TBD)
[wzr2hi, 16.06.2022] Added 7.505.751.822 for MY23.QLU.PgP1 (TBD)
[wzr2hi, 13.10.2022] Added 7.505.751.924 for MY23.QLU4.PgP1 (TBD)
[wzr2hi, 13.10.2022] Added 7.505.751.925 for MY23.QLU4.PgP1 (TBD)
[wzr2hi, 20.12.2022] Added 7.505.751.991 for QLU4.1.PgP1 (TBD)
[wzr2hi, 20.12.2022] Added 7.505.751.992 for QLU4.1.PgP1 (TBD)
[wzr2hi, 18.01.2023] Added 7.505.751.998 for MY25.MP.PgP1 (H61P)
[wzr2hi, 18.01.2023] Added 7.505.751.999 for MY25.MP.PgP1 (H61P)
[wzr2hi, 22.05.2023] Added 7.505.752.027 for QLU5.PgP1 (TBD)
[wzr2hi, 22.05.2023] Added 7.505.752.028 for QLU5.PgP1 (TBD)
[wzr2hi, 04.01.2024] Added 7.505.752.068 for MY25.QLU.PgP1 (H61P)
[wzr2hi, 04.01.2024] Added 7.505.752.069 for MY25.QLU.PgP1 (H61P)
[wzr2hi, 11.03.2024] Added 7.505.752.099 for MP.PgP1 (H61P) (HD disabled in VM, PD, CD)
[wzr2hi, 11.03.2024] Added 7.505.752.100 for MP.PgP1 (H61P) (HD disabled in VM, PD, CD)
[wzr2hi, 09.07.2024] Added 7.505.752.130 for MY25.MP.PgP1 (H61P) (HD disabled in VM, PD, CD)
[wzr2hi, 09.07.2024] Added 7.505.752.131 for MY25.MP.PgP1 (H61P) (HD disabled in VM, PD, CD)
[wzr2hi, 20.09.2024] Added 7.505.752.102 for QLU5.1.PgP1 (P42Q PN61G)
[wzr2hi, 20.09.2024] Added 7.505.752.103 for QLU5.1.PgP1 (P42Q PN61G)
[wzr2hi, 21.02.2025] Added 7.505.752.148 for MY26.QLU.PgP1 (H61P) (HD disabled in VM, PD, CD)
[wzr2hi, 21.02.2025] Added 7.505.752.149 for MY26.QLU.PgP1 (H61P) (HD disabled in VM, PD, CD)
[wzr2hi, 26.06.2025] Added 7.505.752.182 for QLU.PgP1 (H61P) (HD disabled in VM, PD, CD)</t>
  </si>
  <si>
    <t>[wzr2hi, 09.06.2021] Added 7.505.751.782-01 for TSB5.PgP1
[wzr2hi, 29.03.2022] Added 7.505.751.782-02 for TSB7.PgP1
[wzr2hi, 12.07.2022] Added 7.503.751.818-01 for TSB2.BrgP (P13A)
[wzr2hi, 10.11.2022] Added 7.505.751.782-03 for TSB9.PgP1
[wzr2hi, 10.11.2022] Added 7.505.751.920-01 for TSB9.PgP1 (P13C)
[wzr2hi, 16.01.2023] Added 7.505.751.782 for PreProd1.PgP1
[wzr2hi, 16.01.2023] Added 7.505.751.920 for PreProd1.PgP1
[wzr2hi, 23.02.2023] Added 7.503.751.818-02 for TSB3.BrgP (P13A)
[wzr2hi, 23.02.2023] Added 7.503.751.818 for PreProd1.BrgP (P13A)
[wzr2hi, 01.06.2023} Added 7.505.752.033 for PreProd2.PgP1 (P13C/P61R/P42S)
[wzr2hi, 01.06.2023} Added 7.505.752.034 for PreProd2.PgP1 (P13C)
[wzr2hi, 25.08.2023] Added 7.503.751.873 for PreProd2.BrgP (P13A P33B)
[wzr2hi, 25.08.2023] Added 7.503.751.877 for PreProd2.BrgP (P13A P33B)
[wzr2hi, 26.09.2023] Added 7.503.751.879 for PreProd2.BrgP (P13A)
[wzr2hi, 26.09.2023] Added 7.503.751.928 for PreProd2.BrgP (P13A)
[wzr2hi, 05.10.2023] Added 7.505.752.053 for PreProd3.PgP1 (J32V)
[wzr2hi, 11.10.2023] Added 7.505.752.045 for PreProd2.PgP1 (P13A)
[wzr2hi, 28.11.2023] Added 7.503.751.930 for PreProd4.BrgP (P33B)
[wzr2hi, 28.11.2023] Added 7.503.751.934 for PreProd4.BrgP (P33B)
[wzr2hi, 28.11.2023] Added 7.505.752.060 for PreProd4.PgP1 (P13C/P61R)
[wzr2hi, 28.11.2023] Added 7.505.752.061 for PreProd4.PgP1 (P13C/P61R)
[wzr2hi, 28.11.2023] Added 7.505.752.066 for PreProd4.PgP1 (J32V)
[wzr2hi, 28.11.2023] Added 7.505.752.067 for PreProd4.PgP1 (PZ1A)
[wzr2hi, 18.01.2024] Added 7.503.751.936 for PreProd5.BrgP (P33B)
[wzr2hi, 18.01.2024] Added 7.503.751.940 for PreProd5.BrgP (P33B)
[wzr2hi, 06.02.2024] Added 7.505.752.074 for PreProd3.PgP1 (P13C)
[wzr2hi, 06.02.2024] Added 7.505.752.075 for PreProd3.PgP1
[wzr2hi, 20.02.2024] Added 7.505.752.054 for SOP.PgP1(J32V)
[wzr2hi, 22.03.2024] Added 7.505.752.091 for PreProd6.PgP1 (P61R)
[wzr2hi, 22.03.2024] Added 7.505.752.092 for PreProd6.PgP1
[wzr2hi, 30.04.2024] Added 7.505.752.046 for PreProd3.PgP1 (P13C)
[wzr2hi, 04.07.2024] Added 7.503.751.944-01 for TSB5.BrgP (P33B)(CRQ323)
[wzr2hi, 04.07.2024] Added 7.503.751.944 for PreProd5.BrgP (P33B)(CRQ323)
[wzr2hi, 04.07.2024] Added 7.503.752.023-01 for TSB5.BrgP (P33B)(CRQ323)
[wzr2hi, 04.07.2024] Added 7.503.752.023 for PreProd5.BrgP (P33B)(CRQ323)
[wzr2hi, 04.07.2024] Added 7.505.752.118-01 for TSB11.PgP1 (P13C)(CRQ323)
[wzr2hi, 04.07.2024] Added 7.505.752.118 for PreProd7.PgP1 (P13C)(CRQ323)
[wzr2hi, 04.07.2024] Added 7.505.752.122-01 for TSB11.PgP1 (P13C)(CRQ323)
[wzr2hi, 04.07.2024] Added 7.505.752.122 for PreProd7.PgP1 (P13C)(CRQ323)
[wzr2hi, 04.07.2024] Added 7.505.752.124-01 for TSB11.PgP1 (P61R)(CRQ323)
[wzr2hi, 04.07.2024] Added 7.505.752.124 for PreProd7.PgP1 (P61R)(CRQ323)
[wzr2hi, 04.07.2024] Added 7.505.752.128-01 for TSB11.PgP1 (J32V)(CRQ323)
[wzr2hi, 04.07.2024] Added 7.505.752.128 for PreProd7.PgP1 (J32V)(CRQ323)
[wzr2hi, 04.07.2024] Added 7.505.752.129-01 for TSB11.PgP1 (PZ1A)(CRQ323)
[wzr2hi, 04.07.2024] Added 7.505.752.129 for PreProd7.PgP1 (PZ1A)(CRQ323)
[wzr2hi, 10.07.2024] Added 7.505.752.134 for PreProd8.PgP1 (P13C P61R)
[wzr2hi, 13.12.2024] Added 7.505.752.154 for PreProd9.PgP1 (P02H)
[wzr2hi, 11.02.2025] Added 7.505.752.164 for PreProd10.PgP1 (L02G)
[wzr2hi, 03.04.2025] Added 7.505.752.170 for PreProd10.PgP1 (L02G)
[wzr2hi, 03.04.2025] Added 7.505.752.172 for PreProd9.PgP1 (P02H)
[wzr2hi, 15.07.2025] Added 7.503.752.036 for PreProd7.BrgP (P13A/P33B)</t>
  </si>
  <si>
    <t>7.505.751.782-01,
7.505.751.782-02,
7.503.751.818-01,
7.505.751.782-03,
7.505.751.920-01,
7.505.751.782,
7.505.751.920,
7.503.751.818-02,
7.503.751.818,
7.505.752.033,
7.505.752.034,
7.503.751.873,
7.503.751.877,
7.503.751.879,
7.503.751.928,
7.505.752.053,
7.505.752.045,
7.503.751.930,
7.503.751.934,
7.505.752.060,
7.505.752.061,
7.505.752.066,
7.505.752.067,
7.503.751.936,
7.503.751.940,
7.505.752.074,
7.505.752.075,
7.505.752.054,
7.505.752.091,
7.505.752.092,
7.505.752.046,
7.503.751.944-01,
7.503.751.944,
7.503.752.023-01,
7.503.752.023,
7.505.752.118-01,
7.505.752.118,
7.505.752.122-01,
7.505.752.122,
7.505.752.124-01,
7.505.752.124,
7.505.752.128-01,
7.505.752.128,
7.505.752.129-01,
7.505.752.129,
7.505.752.134,
7.505.752.154,
7.505.752.164,
7.505.752.170,
7.505.752.172,
7.503.752.036</t>
  </si>
  <si>
    <t>[wzr2hi, 08.12.2022] Added 7.503.751.860-01 for TSB2.BrgP (P13A/P33B)
[wzr2hi, 08.12.2022] Added 7.505.751.987-01 for TSB9.PgP1 (P13C/P61R/P42S)
[wzr2hi, 16.01.2023] Added 7.505.751.987 for PreProd1.PgP1
[wzr2hi, 23.02.2023] Added 7.503.751.860-02 for TSB3.BrgP (P13A)
[wzr2hi, 23.02.2023] Added 7.503.751.860 for PreProd1.BrgP (P13A)
[wzr2hi, 01.06.2023} Added 7.505.752.035 for PreProd2.PgP1 (P13C/P61R/P42S)
[wzr2hi, 25.08.2023] Added 7.503.751.874 for PreProd2.BrgP (P13A P33B)
[wzr2hi, 26.09.2023] Added 7.503.751.925 for PreProd2.BrgP (P13A)
[wzr2hi, 20.11.2023] Added 7.505.752.047 for PreProd3.PgP1 (P13C)
[wzr2hi, 28.11.2023] Added 7.503.751.931 for PreProd4.BrgP (P33B)
[wzr2hi, 28.11.2023] Added 7.505.752.062 for PreProd4.PgP1 (P13C/P61R)
[wzr2hi, 18.01.2024] Added 7.503.751.937 for PreProd5.BrgP (P33B)
[wzr2hi, 06.02.2024] Added 7.505.752.076 for PreProd3.PgP1 (P13C)
[wzr2hi, 22.03.2024] Added 7.505.752.093 for PreProd6.PgP1 (P61R)
[wzr2hi, 04.07.2024] Added 7.503.752.020-01 for TSB5.BrgP (P33B)(CRQ323)
[wzr2hi, 04.07.2024] Added 7.503.752.020 for PreProd5.BrgP (P33B)(CRQ323)
[wzr2hi, 04.07.2024] Added 7.505.752.119-01 for TSB11.PgP1 (P13C)(CRQ323)
[wzr2hi, 04.07.2024] Added 7.505.752.119 for PreProd7.PgP1 (P13C)(CRQ323)
[wzr2hi, 04.07.2024] Added 7.505.752.125-01 for TSB11.PgP1 (P61R)(CRQ323)
[wzr2hi, 04.07.2024] Added 7.505.752.125 for PreProd7.PgP1 (P61R)(CRQ323)
[wzr2hi, 10.07.2027] Added 7.505.752.135 for PreProd8.PgP1 (P13C/P61R)
[wzr2hi, 15.07.2025] Added 7.503.752.037 for PreProd7.BrgP (P13A/P33B)</t>
  </si>
  <si>
    <t>7.503.751.860-01,
7.505.751.987-01,
7.505.751.987,
7.503.751.860-02,
7.503.751.860,
7.505.752.035,
7.503.751.874,
7.503.751.925,
7.505.752.047,
7.503.751.931,
7.505.752.062,
7.503.751.937,
7.505.752.076,
7.505.752.093,
7.503.752.020-01,
7.503.752.020,
7.505.752.119-01,
7.505.752.119,
7.505.752.125-01,
7.505.752.125,
7.505.752.135,
7.503.752.037</t>
  </si>
  <si>
    <t>[wzr2hi, 19.03.2019] Added 7.515.751.176-04 for TSB3.PgP1 (TBD)
[wzr2hi, 19.03.2019] Added 7.515.751.424-03 for TSB3.PgP1 (TBD)
[wzr2hi, 24.06.2020] Added 7.515.751.176 for PreProd1.PgP1 (TBD)
[wzr2hi, 09.12.2020] Added 7.515.752.087 for SOP.PgP1 (TBD)
[wzr2hi, 10.02.2021] Added 7.515.752.184 for MP.PgP1 (P33A)
[wzr2hi, 01.04.2021] Added 7.513.752.159-01 for TSB1.BrgP (P33B)
[wzr2hi, 17.05.2021] Added 7.515.752.329 for PreProd2.2.PgP1 (P33A)
[wzr2hi, 26.05.2021] Added 7.513.752.181-01 for TSB1.BrgP (P33B)
[wzr2hi, 14.06.2021] Added 7.515.752.267 for PreProd3.PgP1 (TBD)
[wzr2hi, 16.09.2021] Added 7.513.752.159 for PreProd1.BrgP (P33B)
[wzr2hi, 16.09.2021] Added 7.513.752.181 for PreProd1.BrgP (P33B)
[wzr2hi, 18.11.2021] Added 7.515.752.407 for PreProd4.PgP1 (PZ1A)
[wzr2hi, 10.02.2022] Added 7.515.752.520-01 for TSB1.PgP1 (TBD)
[wzr2hi, 24.02.2022] Added 7.515.752.444 for PreProd4.PgP1 (PZ1A)
[wzr2hi, 24.02.2022] Added 7.515.752.540 for PreProd4.PgP1 (PZ1A)
[wzr2hi, 24.02.2022] Added 7.515.752.441 for PreProd4.PgP1 (P33A)
[wzr2hi, 04.03.2022] Added 7.515.752.434 for PreProd4.PgP1 (PZ1A)
[wzr2hi, 27.04.2022] Added 7.513.752.416 for SOP.BrgP (P33B)
[wzr2hi, 12.05.2022] Added 7.513.752.425-01 for TSB2.BrgP (P13A)
[wzr2hi, 12.05.2022] Added 7.513.752.430-01 for TSB2.BrgP (P13A)
[wzr2hi, 30.05.2022] Added 7.515.752.605 for SOP.PgP1 (P33A)
[wzr2hi, 31.05.2022] Added 7.513.752.436 for SOP.BrgP (P33B)
[wzr2hi, 09.06.2022] Added 7.515.752.602 for PreProd5.PgP1 (PZ1A)
[wzr2hi, 30.06.2022] Added 7.515.752.554 for SOP.PgP1 (P33A)
[wzr2hi, 30.06.2022] Added 7.513.752.485 for SOP.BrgP (P33B)
[wzr2hi, 22.07.2022] Added 7.515.752.565 for SOP.PgP1 (PZ1A)
[wzr2hi, 04.08.2022] Added 7.515.752.566 for 4WD.SOP.PgP1  (PZ1A)
[wzr2hi, 05.08.2022] Added 7.515.752.656 for SOP.PgP1 (P33A)
[wzr2hi, 20.10.2022] Added 7.515.752.764-01 for TSB9.PgP1 (PZ1A)
[wzr2hi, 02.11.2022] Added 7.513.752.639 for SOP.BrgP (P33B)
[wzr2hi, 11.11.2022] Added 7.513.752.649 for SOP.BrgP (P33B)
[wzr2hi, 12.01.2023] Added 7.515.752.809 for MY24.SOP.PgP1 (P33A)
[wzr2hi, 31.01.2023] Added 7.513.752.661 for SOP.BrgP (P33B)
[wzr2hi, 23.02.2023] Added 7.513.752.747 for QLU3.BrgP (P33B)
[wzr2hi, 23.02.2023] Added 7.513.752.430 for PreProd2.BrgP (P13A)
[wzr2hi, 23.02.2023] Added 7.513.752.425 for PreProd2.BrgP (P13A)
[wzr2hi, 21.03.2023] Added 7.513.752.425-02 for TSB3.BrgP (P13A)
[wzr2hi, 04.04.2023] Added 7.513.752.749 for QLU3.1.BrgP (P33B)
[wzr2hi, 20.06.2023] Added 7.515.752.612 for QLU3.1.PgP1 (P33A)
[wzr2hi, 18.07.2023] Added 7.513.752.858 for SOP.BrgP (P33B)
[wzr2hi, 22.08.2023] Added 7.513.752.862 for PreProd2.BrgP (P13A)
[wzr2hi, 22.08.2023] Added 7.513.752.869 for PreProd2.BrgP (P13A)
[wzr2hi, 13.12.2023] Added 7.513.752.948 for SOP.BrgP (P33B)
[wzr2hi, 15.12.2023] Added 7.515.752.663 for SOP.PgP1 (P33A)
[wzr2hi, 19.02.2024] Added 7.513.752.951 for SOP.BrgP (P13A)
[wzr2hi, 19.02.2024] Added 7.513.752.954 for SOP.BrgP (P13A)
[wzr2hi, 22.04.2024] Added 7.513.752.960 for PreProd4.BrgP (P13A)(CRQ319)
[wzr2hi, 22.04.2024] Added 7.513.752.967 for PreProd4.BrgP (P13A)(CRQ319)
[wzr2hi, 26.04.2024] Added 7.513.752.972 for PreProd4.BrgP (P33B)(CRQ319)
[wzr2hi, 26.04.2024] Added 7.515.753.020 for PreProd6.PgP1 (PZ1A)(CRQ319)
[wzr2hi, 06.05.2024] Added 7.515.753.007 for PreProd6.PgP1 (P33A)(CRQ319)
[wzr2hi, 06.05.2024] Added 7.513.752.960-01 for TSB4.BrgP (P13A)(CRQ319)
[wzr2hi, 21.08.2024] Added 7.513.752.978 for SOP.BrgP (P13A)
[wzr2hi, 12.03.2025] Added 7.513.753.013 for PreProd7.BrgP (P13A)(CRQ319)
[wzr2hi, 12.03.2025] Added 7.513.753.020 for PreProd7.BrgP (P13A)(CRQ319)
[wzr2hi, 12.03.2025] Added 7.513.753.025 for PreProd7.BrgP (P33B)(CRQ319)
[wzr2hi, 18.07.2025] Added 7.513.753.031 for PreProd7.BrgP (P13A)
[wzr2hi, 28.08.2025] Added 7.515.753.197 for PreProd6.PgP1 (P33A)(CRQ319)</t>
  </si>
  <si>
    <t>7.515.751.176-04,
7.515.751.424-03,
7.515.751.176,
7.515.752.087,
7.515.752.184,
7.513.752.159-01,
7.515.752.329,
7.513.752.181-01,
7.515.752.267,
7.513.752.159,
7.513.752.181,
7.515.752.407,
7.515.752.520-01,
7.515.752.444,
7.515.752.540,
7.515.752.441,
7.515.752.434,
7.513.752.416,
7.513.752.425-01,
7.513.752.430-01,
7.515.752.605,
7.513.752.436,
7.515.752.602,
7.515.752.554,
7.513.752.485,
7.515.752.565,
7.515.752.566,
7.515.752.656,
7.515.752.764-01,
7.513.752.639,
7.513.752.649,
7.515.752.809,
7.513.752.661,
7.513.752.747,
7.513.752.430,
7.513.752.425,
7.513.752.425-02,
7.513.752.749,
7.515.752.612,
7.513.752.858,
7.513.752.862,
7.513.752.869,
7.513.752.948,
7.515.752.663,
7.513.752.951,
7.513.752.954,
7.513.752.960,
7.513.752.967,
7.513.752.972,
7.515.753.020,
7.515.753.007,
7.513.752.960-01,
7.513.752.978,
7.513.753.013,
7.513.753.020,
7.513.753.025,
7.513.753.031,
7.515.753.197</t>
  </si>
  <si>
    <t>[wzr2hi, 19.03.2019] Added 7.515.751.760-02 for TSB3.PgP1 (TBD)
[wzr2hi, 22.07.2020] Added 7.515.751.760 for PreProd2.PgP1 (TBD)
[wzr2hi, 05.03.2021] Added 7.515.752.219 for PreProd2.2.PgP1 (P33A)
[wzr2hi, 01.04.2021] Added 7.513.752.160-01 for TSB1.BrgP (P33B)
[wzr2hi, 20.07.2021] Added 7.515.752.348 for PreProd3.PgP1 (TBD)
[wzr2hi, 16.09.2021] Added 7.513.752.160 for PreProd1.BrgP (P33B)
[wzr2hi, 25.01.2022] Added 7.515.752.440 for PreProd3.PgP1 (TBD)
[wzr2hi, 01.02.2022] Added 7.513.752.371 for PreProd1.BrgP (P33B)
[wzr2hi, 30.05.2022] Added 7.515.752.622-01 for TSB8.PgP1 (L42P)
[wzr2hi, 08.06.2022] Added 7.515.752.629 for SOP.PgP1 (P33A)
[wzr2hi, 21.06.2022] Added 7.515.752.611 for SOP.PgP1 (P33A)
[wzr2hi, 30.06.2022] Added 7.513.752.484 for SOP.BrgP (P33B)
[wzr2hi, 12.07.2022] Added 7.513.752.633-01 for TSB2.BrgP (P13A)
[wzr2hi, 28.07.2022] Added 7.515.752.616 for PreProd4.PgP1(L42P)
[wzr2hi, 29.07.2022] Added 7.515.752.671 for SOP2.PgP1 (L42P)
[wzr2hi, 11.11.2022] Added 7.513.752.648 for SOP.BrgP (P33B)
[wzr2hi, 22.11.2022] Added 7.515.752.772 for MY24.SOP.PgP1 (L42P)
[wzr2hi, 06.02.2023] Added 7.515.752.824 for MY24.SOP.PgP1 (L42P)
[wzr2hi, 23.02.2023] Added 7.513.752.633 for PreProd2.BrgP (P13A)
[wzr2hi, 23.03.2023] Added 7.513.752.633-02 for TSB3.BrgP (P13A)
[wzr2hi, 04.04.2023] Added 7.515.752.855 for QLU3.1.PgP1 (P33A)
[wzr2hi, 04.04.2023] Added 7.513.752.753 for QLU3.1.BrgP (P33B)
[wzr2hi, 18.07.2023] Added 7.513.752.857 for SOP.BrgP (P33B)
[wzr2hi, 22.08.2023] Added 7.513.752.868 for PreProd2.BrgP (P13A)
[wzr2hi, 03.11.2023] Added 7.515.752.662 for SOP.PgP1 (P33A)
[wzr2hi, 13.12.2023] Added 7.513.752.947 for SOP.BrgP (P33B)
[wzr2hi, 19.02.2024] Added 7.513.752.959 for SOP.BrgP (P13A)
[wzr2hi, 22.04.2024] Added 7.513.752.966 for PreProd4.BrgP (P13A)(CRQ319)
[wzr2hi, 26.04.2024] Added 7.513.752.973 for PreProd4.BrgP (P33B)(CRQ319)
[wzr2hi, 26.04.2024] Added 7.515.752.998-01 for TSB10.PgP1 (P33A)(CRQ319)
[wzr2hi, 26.04.2024] Added 7.515.753.017 for PreProd6.PgP1 (PZ1A)(CRQ319)
[wzr2hi, 26.04.2024] Added 7.515.753.027 for PreProd6.PgP1 (L42P)(CRQ319)
[wzr2hi, 06.05.2024] Added 7.515.752.998 for PreProd6.PgP1 (P33A)(CRQ319)
[wzr2hi, 23.08.2024] Added 7.515.753.081 for SOP.PgP1 (PZ1A)
[wzr2hi, 08.01.2025] Added 7.515.753.162 for PreProd6.PgP1 (P33A)(CRQ319)
[wzr2hi, 17.01.2025] Added 7.515.753.030 for SOP.PgP1 (P33A)
[wzr2hi, 12.02.2025] Added 7.515.753.183 for PreProd6.PgP1 (PZ1A)(CRQ319)
[wzr2hi, 12.03.2025] Added 7.513.753.019 for PreProd7.BrgP (P13A)(CRQ319)
[wzr2hi, 12.03.2025] Added 7.513.753.026 for PreProd7.BrgP (P33B)(CRQ319)
[wzr2hi, 28.08.2025] Added 7.515.753.226 for PreProd6.PgP1 (P33A)(CRQ319)</t>
  </si>
  <si>
    <t>7.515.751.760-02,
7.515.751.760,
7.515.752.219,
7.513.752.160-01,
7.515.752.348,
7.513.752.160,
7.515.752.440,
7.513.752.371,
7.515.752.622-01,
7.515.752.629,
7.515.752.611,
7.513.752.484,
7.513.752.633-01,
7.515.752.616,
7.515.752.671,
7.513.752.648,
7.515.752.772,
7.515.752.824,
7.513.752.633,
7.513.752.633-02,
7.515.752.855,
7.513.752.753,
7.513.752.857,
7.513.752.868,
7.515.752.662,
7.513.752.947,
7.513.752.959,
7.513.752.966,
7.513.752.973,
7.515.752.998-01,
7.515.753.017,
7.515.753.027,
7.515.752.998,
7.515.753.081,
7.515.753.162,
7.515.753.030,
7.515.753.183,
7.513.753.019,
7.513.753.026,
7.515.753.226</t>
  </si>
  <si>
    <t>[wzr2hi, 19.03.2019] Added 7.515.751.824-01 for TSB3.PgP1 (TBD)
[wzr2hi, 26.01.2021] Added 7.515.751.824 for PreProd3.PgP1 (TBD)
[wzr2hi, 01.04.2021] Added 7.513.752.165-01 for TSB1.BrgP (P33B)
[wzr2hi, 14.06.2021] Added 7.515.752.236 for PreProd3.PgP1 (TBD)
[wzr2hi, 16.09.2021] Added 7.513.752.165 for PreProd1.BrgP (P33B)
[wzr2hi, 01.02.2022] Added 7.513.752.370 for PreProd1.BrgP (P33B)
[wzr2hi, 24.02.2022] Added 7.515.752.449 for PreProd4.PgP1 (P33A)
[wzr2hi, 12.05.2022] Added 7.513.752.429-01 for TSB2.BrgP (P13A)
[wzr2hi, 21.06.2022] Added 7.515.752.607 for SOP.PgP1 (P33A)
[wzr2hi, 30.06.2022] Added 7.513.752.483 for SOP.BrgP (P33B)
[wzr2hi, 11.11.2022] Added 7.513.752.647 for SOP.BrgP (P33B)
[wzr2hi, 23.02.2023] Added 7.513.752.429 for PreProd2.BrgP (P13A)
[wzr2hi, 04.04.2023] Added 7.515.752.857 for QLU3.1.PgP1 (P33A)
[wzr2hi, 04.04.2023] Added 7.513.752.754 for QLU3.1.BrgP (P33B)
[wzr2hi, 18.07.2023] Added 7.513.752.856 for SOP.BrgP (P33B)
[wzr2hi, 22.08.2023] Added 7.513.752.867 for PreProd2.BrgP (P13A)
[wzr2hi, 17.10.2023] Added 7.515.752.658 for SOP.PgP1 (P33A PZ1A)
[wzr2hi, 13.12.2023] Added 7.513.752.877 for SOP.BrgP (P33B)
[wzr2hi, 19.02.2024] Added 7.513.752.958 for SOP.BrgP (P13A)
[wzr2hi, 22.04.2024] Added 7.513.752.965 for PreProd4.BrgP (P13A)(CRQ319)
[wzr2hi, 26.04.2024] Added 7.513.752.971 for PreProd4.BrgP (P33B)(CRQ319)
[wzr2hi, 06.05.2024] Added 7.515.753.008 for PreProd6.PgP1 (P33A)(CRQ319)
[wzr2hi, 12.03.2025] Added 7.513.753.018 for PreProd7.BrgP (P13A)(CRQ319)
[wzr2hi, 12.03.2025] Added 7.513.753.024 for PreProd7.BrgP (P33B)(CRQ319)
[wzr2hi, 28.08.2025] Added 7.515.753.227 for PreProd6.PgP1 (P33A)(CRQ319)</t>
  </si>
  <si>
    <t>7.515.751.824-01,
7.515.751.824,
7.513.752.165-01,
7.515.752.236,
7.513.752.165,
7.513.752.370,
7.515.752.449,
7.513.752.429-01,
7.515.752.607,
7.513.752.483,
7.513.752.647,
7.513.752.429,
7.515.752.857,
7.513.752.754,
7.513.752.856,
7.513.752.867,
7.515.752.658,
7.513.752.877,
7.513.752.958,
7.513.752.965,
7.513.752.971,
7.515.753.008,
7.513.753.018,
7.513.753.024,
7.515.753.227</t>
  </si>
  <si>
    <t>[wzr2hi, 08.03.2019] Added 7.510.751.315-01 for DSB5.X.Hi (P33C)
[wzr2hi, 08.03.2019] Added 7.510.751.500-01 for DSB5.X.Hi (P33C)
[wzr2hi, 23.08.2019] Added 7.515.751.607-01 for TSB5.1.PgP1 (P33C)
[wzr2hi, 23.08.2019] Added 7.515.751.615-01 for TSB5.1.PgP1 (P33C)
[wzr2hi, 12.11.2019] Added 7.515.751.607-02 for TSB5.3.PgP1 (P33C)
[wzr2hi, 12.11.2019] Added 7.515.751.615-02 for TSB5.3.PgP1 (P33C)
[wzr2hi, 29.01.2020] Added 7.515.751.807-01 for TSB5.5.PgP1 (P33C)
[wzr2hi, 29.01.2020] Added 7.515.751.615-03 for TSB5.5.PgP1 (P33C)
[wzr2hi, 20.07.2020] Added 7.515.751.607 for PreProd5.1.PgP1 (P33C)
[wzr2hi, 17.09.2020] Added 7.515.751.807 for PreProd5.2.PgP1 (P33C)
[wzr2hi, 09.02.2021] Added 7.515.752.068 for SOP2.PgP1 (P33C)
[wzr2hi, 19.04.2021] Added 7.515.752.196 for SOP3.1.PgP1 (P33C)
[wzr2hi, 10.05.2022] Added 7.515.752.207 for SOP5.3.PgP1 (P33C)
[wzr2hi, 01.09.2025] Added 7.515.753.260 for SOP.PgP1 (P33C)</t>
  </si>
  <si>
    <t>7.510.751.315-01,
7.510.751.500-01,
7.515.751.607-01,
7.515.751.615-01,
7.515.751.607-02,
7.515.751.615-02,
7.515.751.807-01,
7.515.751.615-03,
7.515.751.607,
7.515.751.807,
7.515.752.068,
7.515.752.196,
7.515.752.207,
7.515.753.260</t>
  </si>
  <si>
    <t>[wzr2hi, 10.09.2019] Added 7.505.751.366-01 for TSB5.2.PgP1 (P33C)
[wzr2hi, 19.11.2019] Added 7.505.751.366-02 for TSB5.4.PgP1 (P33C)
[wzr2hi, 29.01.2020] Added 7.505.751.419-01 for TSB5.6.PgP1 (P33C)
[wzr2hi, 20.07.2020] Added 7.505.751.366 for PreProd5.1.PgP1 (P33C)
[wzr2hi, 17.09.2020] Added 7.505.751.419 for PreProd5.2.PgP1 (P33C)
[wzr2hi, 09.02.2021] Added 7.505.751.606 for SOP2.PgP1 (P33C)
[wzr2hi, 19.04.2021] Added 7.505.751.672 for SOP3.1.PgP1 (P33C)
[wzr2hi, 10.05.2022] Added 7.505.751.679 for SOP5.3.PgP1 (P33C)
[wzr2hi, 01.09.2025] Added 7.505.752.200 for SOP.PgP1 (P33C)</t>
  </si>
  <si>
    <t>7.505.751.366-01,
7.505.751.366-02,
7.505.751.419-01,
7.505.751.366,
7.505.751.419,
7.505.751.606,
7.505.751.672,
7.505.751.679,
7.505.752.200</t>
  </si>
  <si>
    <t>[wzr2hi, 08.03.2019] Added 7.510.751.511-01 for DSB5.X.Hi (P33C)
[wzr2hi, 12.11.2019] Added 7.515.751.620-02 for TSB5.3.PgP1 (P33C)
[wzr2hi, 29.01.2020] Added 7.515.751.818-01 for TSB5.5.PgP1 (P33C)
[wzr2hi, 20.07.2020] Added 7.515.751.620 for PreProd5.1.PgP1 (P33C)
[wzr2hi, 17.09.2020] Added 7.515.751.818 for PreProd5.2.PgP1 (P33C)
[wzr2hi, 17.12.2020] Added 7.515.752.007 for PreProd5.4.PgP1 (P33C)
[wzr2hi, 14.01.2021] Added 7.515.752.078 for SOP.PgP1 (P33C)
[wzr2hi, 01.11.2021] Added 7.515.752.327 for SOP3.6.PgP1 (P33C)
[wzr2hi, 15.11.2021] Added 7.515.752.384-01 for TSB2.PgP1 (Triton)
[wzr2hi, 07.12.2021] Added 7.515.752.397 for SOP5.1.PgP1 (P33C)
[wzr2hi, 25.01.2022] Added 7.515.752.384-02 for TSB3.PgP1 (Triton)
[wzr2hi, 30.05.2022] Added 7.515.752.384 for PreProd1.PgP1 (Triton)
[wzr2hi, 08.09.2022] Added 7.515.752.702 for SOP7.PgP1 (P33C)
[wzr2hi, 01.02.2023] Added 7.515.752.398 for SOP.PgP1 (P33C)
[wzr2hi, 02.09.2025] Added 7.515.752.638 for PreProd4.PgP1 (Triton)</t>
  </si>
  <si>
    <t>7.510.751.511-01,
7.515.751.620-02,
7.515.751.818-01,
7.515.751.620,
7.515.751.818,
7.515.752.007,
7.515.752.078,
7.515.752.327,
7.515.752.384-01,
7.515.752.397,
7.515.752.384-02,
7.515.752.384,
7.515.752.702,
7.515.752.398,
7.515.752.638</t>
  </si>
  <si>
    <t>[wzr2hi, 08.07.2021] Added 7.515.752.302-01 for DSB1.PgP1 (Triton)
[wzr2hi, 08.10.2021] Added 7.515.752.302-02 for TSB1.PgP1 (Triton)
[wzr2hi, 15.11.2021] Added 7.515.752.302-03 for TSB2.PgP1 (Triton)
[wzr2hi, 25.01.2022] Added 7.515.752.302-04 for TSB3.PgP1 (Triton)
[wzr2hi, 30.05.2022] Added 7.515.752.302 for PreProd1.PgP1 (Triton)
[wzr2hi, 07.12.2022] Added 7.515.752.633 for PreProd3.PgP1 (Triton)
[wzr2hi, 02.09.2025] Added 7.515.752.643 for PreProd4.PgP1 (Triton)</t>
  </si>
  <si>
    <t>7.515.752.302-01,
7.515.752.302-02,
7.515.752.302-03,
7.515.752.302-04,
7.515.752.302,
7.515.752.633,
7.515.752.643</t>
  </si>
  <si>
    <t>[wzr2hi, 08.03.2019] Added 7.510.751.319-01 for DSB5.X.Hi (P33C)
[wzr2hi, 12.11.2019] Added 7.515.751.611-02 for TSB5.3.PgP1 (P33C)
[wzr2hi, 29.01.2020] Added 7.515.751.811-01 for TSB5.5.PgP1 (P33C)
[wzr2hi, 20.07.2020] Added 7.515.751.611 for PreProd5.1.PgP1 (P33C)
[wzr2hi, 17.09.2020] Added 7.515.751.811 for PreProd5.2.PgP1 (P33C)
[wzr2hi, 17.09.2020] Added 7.515.752.072 for SOP.PgP1 (P33C)
[wzr2hi, 19.04.2021] Added 7.515.752.200 for SOP3.1.PgP1 (P33C)
[wzr2hi, 15.11.2021] Added 7.515.752.415-01 for TSB2.PgP1 (Triton)
[wzr2hi, 25.01.2022] Added 7.515.752.415-02 for TSB3.PgP1 (Triton)
[wzr2hi, 10.05.2022] Added 7.515.752.211 for SOP5.3.PgP1 (P33C)
[wzr2hi, 30.05.2022] Added 7.515.752.415 for PreProd1.PgP1 (Triton)
[wzr2hi, 20.06.2023] Added 7.515.752.639 for PreProd3.PgP1 (Triton)
[wzr2hi, 01.09.2025] Added 7.515.753.261 for SOP.PgP1 (P33C)
[wzr2hi, 02.09.2025] Added 7.515.752.649 for PreProd4.PgP1 (Triton)</t>
  </si>
  <si>
    <t>7.510.751.319-01,
7.515.751.611-02,
7.515.751.811-01,
7.515.751.611,
7.515.751.811,
7.515.752.072,
7.515.752.200,
7.515.752.415-01,
7.515.752.415-02,
7.515.752.211,
7.515.752.415,
7.515.752.639,
7.515.753.261,
7.515.752.649</t>
  </si>
  <si>
    <t>[wzr2hi, 08.03.2019] Added 7.510.751.322-01 for DSB5.X.Hi (P33C)
[wzr2hi, 12.11.2019] Added 7.515.751.613-02 for TSB5.3.PgP1 (P33C)
[wzr2hi, 29.01.2020] Added 7.515.751.813-01 for TSB5.5.PgP1 (P33C)
[wzr2hi, 20.07.2020] Added 7.515.751.613 for PreProd5.1.PgP1 (P33C)
[wzr2hi, 17.09.2020] Added 7.515.751.813 for PreProd5.2.PgP1 (P33C)
[wzr2hi, 14.01.2021] Added 7.515.752.074 for SOP.PgP1 (P33C)
[wzr2hi, 19.04.2021] Added 7.515.752.201 for SOP3.1.PgP1 (P33C)
[wzr2hi, 01.10.2021] Added 7.515.752.377-01 for TSB1.PgP1 (Triton)
[wzr2hi, 15.11.2021] Added 7.515.752.377-02 for TSB2.PgP1 (Triton)
[wzr2hi, 25.01.2022] Added 7.515.752.377-03 for TSB3.PgP1 (Triton)
[wzr2hi, 10.05.2022] Added 7.515.752.212 for SOP5.3.PgP1 (P33C)
[wzr2hi, 30.05.2022] Added 7.515.752.377 for PreProd1.PgP1 (Triton)
[wzr2hi, 08.09.2022] Added 7.515.752.703 for SOP7.PgP1 (P33C)
[wzr2hi, 02.09.2025] Added 7.515.752.634 for PreProd4.PgP1 (Triton)</t>
  </si>
  <si>
    <t>7.510.751.322-01,
7.515.751.613-02,
7.515.751.813-01,
7.515.751.613,
7.515.751.813,
7.515.752.074,
7.515.752.201,
7.515.752.377-01,
7.515.752.377-02,
7.515.752.377-03,
7.515.752.212,
7.515.752.377,
7.515.752.703,
7.515.752.634</t>
  </si>
  <si>
    <t>[wzr2hi, 08.03.2019] Added 7.510.751.327-01 for DSB5.X.Hi (P33C)
[wzr2hi, 12.11.2019] Added 7.515.751.616-02 for TSB5.3.PgP1 (P33C)
[wzr2hi, 29.01.2020] Added 7.515.751.814-01 for TSB5.5.PgP1 (P33C)
[wzr2hi, 20.07.2020] Added 7.515.751.616 for PreProd5.1.PgP1 (P33C)
[wzr2hi, 17.09.2020] Added 7.515.751.814 for PreProd5.2.PgP1 (P33C)
[wzr2hi, 19.03.2021] Added 7.515.752.026 for SOP.PgP1 (P33C)
[wzr2hi, 19.03.2021] Added 7.515.752.075 for SOP.PgP1 (P33C)
[wzr2hi, 19.04.2021] Added 7.515.752.202 for SOP3.1.PgP1 (P33C)
[wzr2hi, 15.11.2021] Added 7.515.752.412-01 for TSB2.PgP1 (Triton)
[wzr2hi, 25.01.2022] Added 7.515.752.412-02 for TSB3.PgP1 (Triton)
[wzr2hi, 10.05.2022] Added 7.515.752.213 for SOP5.3.PgP1 (P33C)
[wzr2hi, 30.05.2022] Added 7.515.752.412 for PreProd1.PgP1 (Triton)
[wzr2hi, 08.09.2022] Added 7.515.752.704 for SOP7.PgP1 (P33C)
[wzr2hi, 02.09.2025] Added 7.515.752.635 for PreProd4.PgP1 (Triton)</t>
  </si>
  <si>
    <t>7.510.751.327-01,
7.515.751.616-02,
7.515.751.814-01,
7.515.751.616,
7.515.751.814,
7.515.752.026,
7.515.752.075,
7.515.752.202,
7.515.752.412-01,
7.515.752.412-02,
7.515.752.213,
7.515.752.412,
7.515.752.704,
7.515.752.635</t>
  </si>
  <si>
    <t>[wzr2hi, 08.03.2019] Added 7.510.751.329-01 for DSB5.X.Hi (P33C)
[wzr2hi, 12.11.2019] Added 7.515.751.617-02 for TSB5.3.PgP1 (P33C)
[wzr2hi, 29.01.2020] Added 7.515.751.815-01 for TSB5.5.PgP1 (P33C)
[wzr2hi, 20.07.2020] Added 7.515.751.617 for PreProd5.1.PgP1 (P33C)
[wzr2hi, 17.09.2020] Added 7.515.751.815 for PreProd5.2.PgP1 (P33C)
[wzr2hi, 19.03.2021] Added 7.515.752.027 for SOP.PgP1 (P33C)
[wzr2hi, 19.03.2021] Added 7.515.752.076 for SOP.PgP1 (P33C)
[wzr2hi, 19.04.2021] Added 7.515.752.203 for SOP3.1.PgP1 (P33C)
[wzr2hi, 15.11.2021] Added 7.515.752.413-01 for TSB2.PgP1 (Triton)
[wzr2hi, 25.01.2022] Added 7.515.752.413-02 for TSB3.PgP1 (Triton)
[wzr2hi, 10.05.2022] Added 7.515.752.214 for SOP5.3.PgP1 (P33C)
[wzr2hi, 30.05.2022] Added 7.515.752.413 for PreProd1.PgP1 (Triton)
[wzr2hi, 08.09.2022] Added 7.515.752.705 for SOP7.PgP1 (P33C)
[wzr2hi, 02.09.2025] Added 7.515.752.636 for PreProd4.PgP1 (Triton)</t>
  </si>
  <si>
    <t>7.510.751.329-01,
7.515.751.617-02,
7.515.751.815-01,
7.515.751.617,
7.515.751.815,
7.515.752.027,
7.515.752.076,
7.515.752.203,
7.515.752.413-01,
7.515.752.413-02,
7.515.752.214,
7.515.752.413,
7.515.752.705,
7.515.752.636</t>
  </si>
  <si>
    <t>[wzr2hi, 17.05.2021] Added 7.515.752.307 for SOP3.2.PgP1 (P33C)
[wzr2hi, 08.07.2021] Added 7.515.752.354 for SOP4.PgP1 (P33C)
[wzr2hi, 15.11.2021] Added 7.515.752.414-01 for TSB2.PgP1 (Triton)
[wzr2hi, 25.01.2022] Added 7.515.752.414-02 for TSB3.PgP1 (Triton)
[wzr2hi, 10.05.2022] Added 7.515.752.369 for SOP5.3.PgP1 (P33C)
[wzr2hi, 30.05.2022] Added 7.515.752.414 for PreProd1.PgP1 (Triton)
[wzr2hi, 08.09.2022] Added 7.515.752.707 for SOP7.PgP1 (P33C)
[wzr2hi, 02.09.2025] Added 7.515.752.637 for PreProd4.PgP1 (Triton)</t>
  </si>
  <si>
    <t>7.515.752.307,
7.515.752.354,
7.515.752.414-01,
7.515.752.414-02,
7.515.752.369,
7.515.752.414,
7.515.752.707,
7.515.752.637</t>
  </si>
  <si>
    <t>[wzr2hi, 08.03.2019] Added 7.510.751.316-01 for DSB5.X.Hi (P33C)
[wzr2hi, 23.08.2019] Added 7.515.751.608-01 for TSB5.1.PgP1 (P33C)
[wzr2hi, 12.11.2019] Added 7.515.751.608-02 for TSB5.3.PgP1 (P33C)
[wzr2hi, 29.01.2020] Added 7.515.751.808-01 for TSB5.5.PgP1 (P33C)
[wzr2hi, 20.07.2020] Added 7.515.751.608 for PreProd5.1.PgP1 (P33C)
[wzr2hi, 17.09.2020] Added 7.515.751.808 for PreProd5.2.PgP1 (P33C)
[wzr2hi, 01.10.2021] Added 7.515.752.337-02 for TSB1.PgP1 (Triton)
[wzr2hi, 15.11.2021] Added 7.515.752.337-03 for TSB2.PgP1 (Triton)
[wzr2hi, 25.01.2022] Added 7.515.752.337-04 for TSB3.PgP1 (Triton)
[wzr2hi, 30.05.2022] Added 7.515.752.337 for PreProd1.PgP1 (Triton)
[wzr2hi, 23.03.2023] Added 7.515.752.642 for PreProd4.PgP1 (Triton)
[wzr2hi, 02.09.2025] Added 7.515.752.652 for PreProd4.PgP1 (Triton)</t>
  </si>
  <si>
    <t>7.510.751.316-01,
7.515.751.608-01,
7.515.751.608-02,
7.515.751.808-01,
7.515.751.608,
7.515.751.808,
7.515.752.337-02,
7.515.752.337-03,
7.515.752.337-04,
7.515.752.337,
7.515.752.642,
7.515.752.652</t>
  </si>
  <si>
    <t>[wzr2hi, 16.09.2021] Added 7.505.751.810 for PreProd5.5.BrgP (P33C)
[wzr2hi, 15.11.2021] Added 7.505.751.824-01 for TSB2.PgP1 (Triton)
[wzr2hi, 25.01.2022] Added 7.505.751.824-02 for TSB3.PgP1 (Triton)
[wzr2hi, 10.05.2022] Added 7.505.751.825 for SOP5.3.PgP1 (P33C)
[wzr2hi, 30.05.2022] Added 7.505.751.824 for PreProd1.PgP1 (Triton)
[wzr2hi, 08.09.2022] Added 7.505.751.933 for SOP7.PgP1 (P33C)
[wzr2hi, 02.09.2025] Added 7.505.751.906 for PreProd4.PgP1 (Triton)</t>
  </si>
  <si>
    <t>7.505.751.810,
7.505.751.824-01,
7.505.751.824-02,
7.505.751.825,
7.505.751.824,
7.505.751.933,
7.505.751.906</t>
  </si>
  <si>
    <t>[wzr2hi, 08.03.2019] Added 7.500.750.880-01 for DSB5.X.Hi (P33C)
[wzr2hi, 10.09.2019] Added 7.505.751.367-01 for TSB5.2.PgP1 (P33C)
[wzr2hi, 19.11.2019] Added 7.505.751.367-02 for TSB5.4.PgP1 (P33C)
[wzr2hi, 29.01.2020] Added 7.505.751.420-01 for TSB5.6.PgP1 (P33C)
[wzr2hi, 20.07.2020] Added 7.505.751.367 for PreProd5.1.PgP1 (P33C)
[wzr2hi, 17.09.2020] Added 7.505.751.420 for PreProd5.2.PgP1 (P33C)
[wzr2hi, 17.12.2020] Added 7.505.751.537 for PreProd5.4.PgP1 (P33C)
[wzr2hi, 14.01.2021] Added 7.505.751.607 for SOP.PgP1 (P33C)
[wzr2hi, 01.04.2021] Added 7.505.751.673 for SOP3.PgP1 (P33C)
[wzr2hi, 08.07.2021] Added 7.505.751.796-01 for DSB1.PgP1 (Triton)
[wzr2hi, 01.10.2021] Added 7.505.751.796-02 for TSB1.PgP1 (Triton)
[wzr2hi, 01.11.2021] Added 7.505.751.680 for SOP3.6.PgP1 (P33C)
[wzr2hi, 15.11.2021] Added 7.505.751.796-03 for TSB2.PgP1 (Triton)
[wzr2hi, 07.12.2021] Added 7.505.751.819 for SOP5.1.PgP1 (P33C)
[wzr2hi, 01.02.2023] Added 7.505.751.820 for SOP5.2.PgP1 (P33C)
[wzr2hi, 25.01.2022] Added 7.505.751.796-04 for TSB3.PgP1 (Triton)
[wzr2hi, 30.05.2022] Added 7.505.751.796 for PreProd1.PgP1 (Triton)
[wzr2hi, 08.09.2022] Added 7.505.751.934 for SOP7.PgP1 (P33C)
[wzr2hi, 23.03.2023] Added 7.505.751.904 for PreProd4.PgP1 (Triton)
[wzr2hi, 09.08.2024] Added 7.505.752.137 for SOP8.1.PgP1 (P33C)
[wzr2hi, 09.08.2024] Added 7.505.752.138 for SOP8.2.PgP1 (P33C)
[wzr2hi, 02.09.2025] Added 7.505.751.910 for PreProd4.PgP1 (Triton)</t>
  </si>
  <si>
    <t>7.500.750.880-01,
7.505.751.367-01,
7.505.751.367-02,
7.505.751.420-01,
7.505.751.367,
7.505.751.420,
7.505.751.537,
7.505.751.607,
7.505.751.673,
7.505.751.796-01,
7.505.751.796-02,
7.505.751.680,
7.505.751.796-03,
7.505.751.819,
7.505.751.820,
7.505.751.796-04,
7.505.751.796,
7.505.751.934,
7.505.751.904,
7.505.752.137,
7.505.752.138,
7.505.751.910</t>
  </si>
  <si>
    <t>[wzr2hi, 08.03.2019] Added 7.500.750.883-01 for DSB5.X.Hi (P33C)
[wzr2hi, 10.09.2019] Added 7.505.751.369-01 for TSB5.2.PgP1 (P33C)
[wzr2hi, 19.11.2019] Added 7.505.751.369-02 for TSB5.4.PgP1 (P33C)
[wzr2hi, 29.01.2020] Added 7.505.751.422-01 for TSB5.6.PgP1 (P33C)
[wzr2hi, 20.07.2020] Added 7.505.751.369 for PreProd5.1.PgP1 (P33C)
[wzr2hi, 17.09.2020] Added 7.505.751.422 for PreProd5.2.PgP1 (P33C)
[wzr2hi, 19.03.2021] Added 7.505.751.609 for SOP.PgP1 (P33C)
[wzr2hi, 19.04.2021] Added 7.505.751.675 for SOP3.1.PgP1 (P33C)
[wzr2hi, 08.07.2021] Added 7.505.751.752-01 for DSP1.PgP1 (Triton)
[wzr2hi, 01.10.2021] Added 7.505.751.752-02 for TSB1.PgP1 (Triton)
[wzr2hi, 15.11.2021] Added 7.505.751.752-03 for TSB2.PgP1 (Triton)
[wzr2hi, 25.01.2022] Added 7.505.751.752-04 for TSB3.PgP1 (Triton)
[wzr2hi, 10.05.2022] Added 7.505.751.682 for SOP5.3.PgP1 (P33C)
[wzr2hi, 30.05.2022] Added 7.505.751.752 for PreProd1.PgP1 (Triton)
[wzr2hi, 08.09.2022] Added 7.505.751.932 for SOP7.PgP1 (P33C)
[wzr2hi, 23.03.2023] Added 7.505.751.903 for PreProd4.PgP1 (Triton)
[wzr2hi, 01.09.2025] Added 7.505.751.908 for SOP.PgP1 (P33C)
[wzr2hi, 02.09.2025] Added 7.505.751.909 for PreProd4.PgP1 (Triton)</t>
  </si>
  <si>
    <t>7.500.750.883-01,
7.505.751.369-01,
7.505.751.369-02,
7.505.751.422-01,
7.505.751.369,
7.505.751.422,
7.505.751.609,
7.505.751.675,
7.505.751.752-01,
7.505.751.752-02,
7.505.751.752-03,
7.505.751.752-04,
7.505.751.682,
7.505.751.752,
7.505.751.932,
7.505.751.903,
7.505.751.908,
7.505.751.909</t>
  </si>
  <si>
    <t>[wzr2hi, 08.03.2019] Added 7.500.750.885-01 for DSB5.X.Hi (P33C)
[wzr2hi, 10.09.2019] Added 7.505.751.371-01 for TSB5.2.PgP1 (P33C)
[wzr2hi, 19.11.2019] Added 7.505.751.371-02 for TSB5.4.PgP1 (P33C)
[wzr2hi, 29.01.2020] Added 7.505.751.476-01 for TSB5.6.PgP1 (P33C)
[wzr2hi, 20.07.2020] Added 7.505.751.371 for PreProd5.1.PgP1 (P33C)
[wzr2hi, 17.09.2020] Added 7.505.751.476 for PreProd5.2.PgP1 (P33C)
[wzr2hi, 17.12.2020] Added 7.505.751.541 for PreProd5.4.PgP1 (P33C)
[wzr2hi, 14.01.2021] Added 7.505.751.611 for SOP.PgP1 (P33C)
[wzr2hi, 19.03.2021] Added 7.505.751.604 for SOP.PgP1 (P33C)
[wzr2hi, 19.04.2021] Added 7.505.751.677 for SOP3.1.PgP1 (P33C)
[wzr2hi, 08.07.2021] Added 7.505.751.789-01 for DSB1.PgP1 (Triton)
[wzr2hi, 15.11.2021] Added 7.505.751.789-02 for TSB2.PgP1 (Triton)
[wzr2hi, 25.01.2022] Added 7.505.751.789-03 for TSB3.PgP1 (Triton)
[wzr2hi, 10.05.2022] Added 7.505.751.684 for SOP5.3.PgP1 (P33C)
[wzr2hi, 30.05.2022] Added 7.505.751.789 for PreProd1.PgP1 (Triton)
[wzr2hi, 20.06.2023] Added 7.505.751.905 for PreProd3.PgP1 (Triton)
[wzr2hi, 01.09.2025] Added 7.505.752.201 for SOP.PgP1 (P33C)
[wzr2hi, 02.09.2025] Added 7.505.751.911 for PreProd4.PgP1 (Triton)</t>
  </si>
  <si>
    <t>7.500.750.885-01,
7.505.751.371-01,
7.505.751.371-02,
7.505.751.476-01,
7.505.751.371,
7.505.751.476,
7.505.751.541,
7.505.751.611,
7.505.751.604,
7.505.751.677,
7.505.751.789-01,
7.505.751.789-02,
7.505.751.789-03,
7.505.751.684,
7.505.751.789,
7.505.751.905,
7.505.752.201,
7.505.751.911</t>
  </si>
  <si>
    <t>7.503.751.861-01,
7.505.751.988-01,
7.505.751.988,
7.503.751.861-02,
7.503.751.861,
7.505.752.036,
7.503.751.875,
7.503.751.926,
7.505.752.048,
7.503.751.932,
7.505.752.063,
7.503.751.938,
7.505.752.077,
7.505.752.094,
7.503.752.021-01,
7.503.752.021,
7.505.752.120-01,
7.505.752.120,
7.503.752.038,
7.503.752.033</t>
  </si>
  <si>
    <t>[wzr2hi, 08.12.2022] Added 7.503.751.861-01 for TSB2.BrgP (P13A/P33B)
[wzr2hi, 08.12.2022] Added 7.505.751.988-01 for TSB9.PgP1 (P13C/P61R/P42S)
[wzr2hi, 16.01.2023] Added 7.505.751.988 for PreProd1.PgP1
[wzr2hi, 23.02.2023] Added 7.503.751.861-02 for TSB3.BrgP (P13A)
[wzr2hi, 23.02.2023] Added 7.503.751.861 for PreProd1.BrgP (P13A)
[wzr2hi, 01.06.2023} Added 7.505.752.036 for PreProd2.PgP1 (P13C/P61R/P42S)
[wzr2hi, 25.08.2023] Added 7.503.751.875 for PreProd2.BrgP (P13A P33B)
[wzr2hi, 26.09.2023] Added 7.503.751.926 for PreProd2.BrgP (P13A)
[wzr2hi, 20.11.2023] Added 7.505.752.048 for PreProd3.PgP1 (P13C)
[wzr2hi, 28.11.2023] Added 7.503.751.932 for PreProd4.BrgP (P33B)
[wzr2hi, 28.11.2023] Added 7.505.752.063 for PreProd4.PgP1 (P13C/P61R)
[wzr2hi, 18.01.2024] Added 7.503.751.938 for PreProd5.BrgP (P33B)
[wzr2hi, 06.02.2024] Added 7.505.752.077 for PreProd3.PgP1 (P13C)
[wzr2hi, 22.03.2024] Added 7.505.752.094 for PreProd6.PgP1 (P61R)
[wzr2hi, 04.07.2024] Added 7.503.752.021-01 for TSB5.BrgP (P33B)(CRQ323)
[wzr2hi, 04.07.2024] Added 7.503.752.021 for PreProd5.BrgP (P33B)(CRQ323)
[wzr2hi, 04.07.2024] Added 7.505.752.120-01 for TSB11.PgP1 (P13C)(CRQ323)
[wzr2hi, 04.07.2024] Added 7.505.752.120 for PreProd7.PgP1 (P13C)(CRQ323)
[wzr2hi, 15.07.2025] Added 7.503.752.038 for PreProd7.BrgP (P13A/P33B)
[wzr2hi, 05.09.2025] Added 7.503.752.033 for QLU2.1.BrgP (P13A/P33B)</t>
  </si>
  <si>
    <t>7.515.753.212-01,
7.515.753.300-01</t>
  </si>
  <si>
    <t>7.515.753.299-01,
7.515.753.301-01</t>
  </si>
  <si>
    <t>7.515.753.298-01</t>
  </si>
  <si>
    <t>7.505.752.208-01</t>
  </si>
  <si>
    <t>7.515.751.764-02,
7.515.751.764,
7.515.752.162,
7.515.752.191,
7.513.752.166-01,
7.515.752.235,
7.513.752.166,
7.513.752.368,
7.515.752.438,
7.513.752.428-01,
7.513.752.434,
7.515.752.631,
7.515.752.755,
7.513.752.650,
7.513.752.428,
7.513.752.428-02,
7.515.752.852,
7.513.752.752,
7.513.752.757,
7.513.752.759,
7.513.752.760,
7.515.752.867,
7.515.752.870,
7.513.752.859,
7.513.752.860,
7.513.752.870,
7.513.752.872,
7.513.752.949,
7.513.752.950,
7.515.752.666,
7.515.752.938,
7.513.752.953,
7.515.752.965,
7.513.752.968,
7.513.752.970,
7.513.752.976,
7.515.753.015,
7.515.753.024,
7.515.753.006,
7.515.753.011,
7.515.753.095,
7.513.753.021,
7.513.753.023,
7.513.753.029,
7.513.753.032,
7.515.753.309</t>
  </si>
  <si>
    <t>[wzr2hi, 19.03.2019] Added 7.515.751.764-02 for TSB3.PgP1 (TBD)
[wzr2hi, 04.01.2021] Added 7.515.751.764 for PreProd2.PgP1 (TBD)
[wzr2hi, 04.01.2021] Added 7.515.752.162 for PreProd3.PgP1 (TBD)
[wzr2hi, 10.02.2021] Added 7.515.752.191 for MP.PgP1 (P33A)
[wzr2hi, 01.04.2021] Added 7.513.752.166-01 for TSB1.BrgP (P33B)
[wzr2hi, 14.06.2021] Added 7.515.752.235 for PreProd3.PgP1 (TBD)
[wzr2hi, 16.09.2021] Added 7.513.752.166 for PreProd1.BrgP (P33B)
[wzr2hi, 01.02.2022] Added 7.513.752.368 for PreProd1.BrgP (P33B)
[wzr2hi, 24.02.2022] Added 7.515.752.438 for PreProd4.PgP1 (P33A)
[wzr2hi, 12.05.2022] Added 7.513.752.428-01 for TSB2.BrgP (P13A)
[wzr2hi, 17.05.2022] Added 7.513.752.434 for PreProd1.BrgP (P33B)
[wzr2hi, 08.06.2022] Added 7.515.752.631 for SOP.PgP1 (P33A)
[wzr2hi, 12.10.2022] Added 7.515.752.755 for SOP.PgP1 (P33A)
[wzr2hi, 11.11.2022] Added 7.513.752.650 for SOP.BrgP (P33B)
[wzr2hi, 23.02.2023] Added 7.513.752.428 for PreProd2.BrgP (P13A)
[wzr2hi, 21.03.2023] Added 7.513.752.428-02 for TSB3.BrgP (P13A)
[wzr2hi, 04.04.2023] Added 7.515.752.852 for QLU3.1.PgP1 (P33A)
[wzr2hi, 04.04.2023] Added 7.513.752.752 for QLU3.1.BrgP (P33B)
[wzr2hi, 24.04.2023] Added 7.513.752.757 for PreProd2.BrgP (P13A)
[wzr2hi, 24.04.2023] Added 7.513.752.759 for SOP.BrgP (P33B)
[wzr2hi, 24.04.2023] Added 7.513.752.760 for MY24.SOP.BrgP (P33B)
[wzr2hi, 24.04.2023] Added 7.515.752.867 for SOP.PgP1 (P33A)
[wzr2hi, 24.04.2023] Added 7.515.752.870 for SOP.PgP1 (PZ1A)
[wzr2hi, 18.07.2023] Added 7.513.752.859 for SOP.BrgP (P33B)
[wzr2hi, 18.07.2023] Added 7.513.752.860 for SOP.BrgP (P33B)
[wzr2hi, 22.08.2023] Added 7.513.752.870 for PreProd2.BrgP (P13A)
[wzr2hi, 22.08.2023] Added 7.513.752.872 for PreProd2.BrgP (P13A)
[wzr2hi, 13.12.2023] Added 7.513.752.949 for SOP.BrgP (P33B)
[wzr2hi, 13.12.2023] Added 7.513.752.950 for SOP.BrgP (P33B)
[wzr2hi, 15.12.2023] Added 7.515.752.666 for SOP.PgP1 (P33A)
[wzr2hi, 25.01.2024] Added 7.515.752.938 for QLU4.PgP1 (P33A)
[wzr2hi, 19.02.2024] Added 7.513.752.953 for SOP.BrgP (P13A)
[wzr2hi, 28.03.2024] Added 7.515.752.965 for SOP.PgP1 (PZ1A)
[wzr2hi, 22.04.2024] Added 7.513.752.968 for PreProd4.BrgP (P13A)(CRQ319)
[wzr2hi, 26.04.2024] Added 7.513.752.970 for PreProd4.BrgP (P33B)(CRQ319)
[wzr2hi, 26.04.2024] Added 7.513.752.976 for PreProd4.BrgP (P33B)(CRQ319)
[wzr2hi, 26.04.2024] Added 7.515.753.015 for PreProd6.PgP1 (PZ1A)(CRQ319)
[wzr2hi, 26.04.2024] Added 7.515.753.024 for PreProd6.PgP1 (PZ1A)(CRQ319)
[wzr2hi, 06.05.2024] Added 7.515.753.006 for PreProd6.PgP1 (P33A)(CRQ319)
[wzr2hi, 06.05.2024] Added 7.515.753.011 for PreProd6.PgP1 (P33A)(CRQ319)
[wzr2hi, 18.02.2025] Added 7.515.753.095 for PreProd6.PgP1 (PZ1A)(CRQ319)
[wzr2hi, 12.03.2025] Added 7.513.753.021 for PreProd7.BrgP (P13A)(CRQ319)
[wzr2hi, 12.03.2025] Added 7.513.753.023 for PreProd7.BrgP (P33B)(CRQ319)
[wzr2hi, 12.03.2025] Added 7.513.753.029 for PreProd7.BrgP (P33B)(CRQ319)
[wzr2hi, 18.07.2025] Added 7.513.753.032 for PreProd7.BrgP (P33B)
[wzr2hi, 24.10.2025] Added 7.515.753.309 for PreProd6.BpP1 (P33A)(QLU6.1)</t>
  </si>
  <si>
    <t>[wzr2hi, 01.12.2017] Added 7.515.750.928-05 for TSB1.PgP1 (C-Sample)
[wzr2hi, 12.03.2018] Added 7.510.750.928-05 for Special-MUB.Hi (Pre-C-Sample)
[wzr2hi, 23.05.2019] Added 7.515.750.928-06 for TSB2.PgP1 (C2-Sample)
[wzr2hi, 05.04.2018] Added 7.515.750.928-07 for TSB3.PgP1 (C3-Sample)
[wzr2hi, 16.08.2018] Added 7.515.750.928-08 for TSB4.PgP1 (C4-Sample)
[wzr2hi, 22.10.2018] Added 7.515.750.928 for PreProd1.PgP1
[wzr2hi, 22.10.2018] Added 7.515.751.557 for SOP.PgP1
[wzr2hi, 20.06.2019] Added 7.515.751.083 for MP-UPD2.PgP1 (L53H)
[wzr2hi, 23.08.2019] Added 7.515.751.087 for QLU1.PgP1
[wzr2hi, 13.09.2019] Added 7.515.751.089 for QLU1st.PgP1
[wzr2hi, 10.01.2020] Added 7.515.751.854 for QLU4.PgP1 (L53H)
[wzr2hi, 17.01.2020] Added 7.515.751.861 for PreProd2.PgP1
[wzr2hi, 01.07.2020] Added 7.515.751.926 for QLU4.1.PgP1 (L53H)
[wzr2hi, 08.10.2020] Added 7.515.752.035 for QLU5.PgP1 (L53H)
[wzr2hi, 23.11.2020] Added 7.515.752.041 for QLU5.PgP1 (L53H)
[wzr2hi, 12.03.2021] Added 7.515.751.925 for SOP.PgP1
[wzr2hi, 12.03.2021] Added 7.515.752.056 for FIX-CAPS-PCB.PgP1
[wzr2hi, 12.03.2021] Added 7.515.752.057 for FIX-CAPS-PCB.PgP1
[wzr2hi, 27.04.2021] Added 7.515.752.245 for QLU5.2.PgP1 (L53H)
[wrz2hi, 06.08.2021] Added 7.515.752.250 for QLU5.2.PgP1 (L53H)
[wzr2hi, 29.11.2021] Added 7.515.752.255 for QLU5.2.PgP1
[wzr2hi, 19.09.2022] Added 7.515.752.735 for QLU7.PgP1 (L53H)
[wzr2hi, 26.04.2023] Added 7.515.752.744 for QLU8.PgP1 (L53H)
[wzr2hi, 14.07.2023] Added 7.515.752.745 for QLU8.PgP1 (L53H)
[wzr2hi, 25.04.2025] Added 7.515.753.207 for QLU9.PgP1
[wzr2hi, 17.11.2025] Added 7.515.753.329 for QLU10.PgP1 (L53H)</t>
  </si>
  <si>
    <t>7.515.750.928-05,
7.510.750.928-05,
7.515.750.928-06,
7.515.750.928-07,
7.515.750.928-08,
7.515.750.928,
7.515.751.557,
7.515.751.083,
7.515.751.087,
7.515.751.089,
7.515.751.854,
7.515.751.861,
7.515.751.926,
7.515.752.035,
7.515.752.041,
7.515.751.925,
7.515.752.056,
7.515.752.057,
7.515.752.245,
7.515.752.250,
7.515.752.255,
7.515.752.735,
7.515.752.744,
7.515.752.745,
7.515.753.207,
7.515.753.329</t>
  </si>
  <si>
    <t>7.515.753.351-01</t>
  </si>
  <si>
    <t>7.515.753.352-01</t>
  </si>
  <si>
    <t>[wzr2hi, 03.12.2025] Added 7.515.753.352-01 for TSB12.PgP1 (new DDR4)</t>
  </si>
  <si>
    <t>[wzr2hi, 03.12.2025] Added 7.515.753.353-01 for TSB12.PgP1 (new DDR4)</t>
  </si>
  <si>
    <t>7.515.753.353-01</t>
  </si>
  <si>
    <t>7.515.753.354-01</t>
  </si>
  <si>
    <t>[wzr2hi, 03.12.2025] Added 7.515.753.354-01 for TSB12.PgP1 (new DDR4)</t>
  </si>
  <si>
    <t>[wzr2hi, 03.12.2025] Added 7.515.753.351-01 for TSB12.PgP1 (H61P) (HD disabled in VM, PD, CD) (new DDR4)</t>
  </si>
  <si>
    <r>
      <t xml:space="preserve">7.515.752.452-01,
7.515.752.452,
</t>
    </r>
    <r>
      <rPr>
        <b/>
        <sz val="10"/>
        <color rgb="FFFF0000"/>
        <rFont val="Arial"/>
        <family val="2"/>
      </rPr>
      <t>7.515.752.481,</t>
    </r>
    <r>
      <rPr>
        <sz val="10"/>
        <color theme="1"/>
        <rFont val="Arial"/>
        <family val="2"/>
      </rPr>
      <t xml:space="preserve">
7.515.752.884,
7.515.752.885,
7.515.753.046,
7.515.753.047</t>
    </r>
  </si>
  <si>
    <r>
      <t xml:space="preserve">[wzr2hi, 09.02.2022] Added 7.515.752.452-01 for TSB1.PgP1 (PZ1A)
[wzr2hi, 09.02.2022] Added 7.515.752.452 for MP.PgP1 (PZ1A)
</t>
    </r>
    <r>
      <rPr>
        <b/>
        <sz val="10"/>
        <color rgb="FFFF0000"/>
        <rFont val="Arial"/>
        <family val="2"/>
      </rPr>
      <t xml:space="preserve">[wzr2hi, 09.02.2022] Added 7.515.752.481 for MP.PgP1 (PZ1A) =&gt; [wzr2hi, 13.12.2023] Actually configured as HD by PD, VM changed to HD too!!! =&gt; VM was reverted.
</t>
    </r>
    <r>
      <rPr>
        <sz val="10"/>
        <rFont val="Arial"/>
        <family val="2"/>
      </rPr>
      <t>[wzr2hi, 12.06.2023] Added 7.515.752.884 for QLU3.1.PgP1 (L42P)
[wzr2hi, 12.06.2023] Added 7.515.752.885 for QLU3.1.PgP1 (L42P)
[wzr2hi, 05.12.2025] Added 7.515.753.046 for SOP.PgP1 (PZ1A)
[wzr2hi, 05.12.2025] Added 7.515.753.047 for SOP.PgP1 (PZ1A)</t>
    </r>
  </si>
  <si>
    <t>7.510.751.623-01,
7.515.752.453-01,
7.515.752.453,
7.515.752.489,
7.515.752.498,
7.515.752.790,
7.515.752.794,
7.515.752.842,
7.513.752.758,
7.515.752.869,
7.513.752.761,
7.515.752.876,
7.515.752.889,
7.515.752.898,
7.515.752.914,
7.515.752.915,
7.515.752.921,
7.515.752.923,
7.515.752.975-01,
7.515.752.975,
7.515.753.001,
7.515.753.072,
7.515.753.080,
7.515.753.134,
7.515.753.228,
7.515.753.124</t>
  </si>
  <si>
    <t>[wzr2hi, 03.12.2021] Added 7.510.751.623-01 for DSB.Hi (TBD)
[wzr2hi, 09.02.2022] Added 7.515.752.453-01 for TSB1.PgP1 (PZ1A)
[wzr2hi, 09.02.2022] Added 7.515.752.453 for MP.PgP1 (PZ1A)
[wzr2hi, 09.02.2022] Added 7.515.752.489 for MP.PgP1 (P33A)
[wzr2hi, 09.02.2022] Added 7.515.752.498 for MP.PgP1 (P33A)
[wzr2hi, 09.12.2022] Added 7.515.752.790 for PreProd5.PgP1 (PZ1A)
[wzr2hi, 22.12.2022] Added 7.515.752.794 for MP.PgP1 (PZ1A)
[wzr2hi, 21.02.2023] Added 7.515.752.842 for SOP.PgP1 (P33A)
[wzr2hi, 24.04.2023] Added 7.513.752.758 for QLU4.BrgP (P33B)
[wzr2hi, 24.04.2023] Added 7.515.752.869 for SOP.PgP1 (PZ1A)
[wzr2hi, 26.04.2023] Added 7.513.752.761 for SOP.BrgP (P33B)
[wzr2hi, 22.05.2023] Added 7.515.752.876 for QLU3.1.PgP1 (PZ1A)
[wzr2hi, 22.06.2023] Added 7.515.752.889 for SOP.PgP1 (P33A)
[wzr2hi, 19.09.2023] Added 7.515.752.898 for SOP.PgP1 (P33A)
[wzr2hi, 26.09.2023] Added 7.515.752.914 for SOP.PgP1 (PZ1A)
[wzr2hi, 26.09.2023] Added 7.515.752.915 for SOP.PgP1 (P33A)
[wzr2hi, 21.11.2023] Added 7.515.752.921 for QLU4.PgP1 (PZ1A)
[wzr2hi, 08.01.2024] Added 7.515.752.923 for SOP.PgP1 (PZ1A)
[wzr2hi, 26.04.2024] Added 7.515.752.975-01 for TSB10.PgP1 (PZ1A)(CRQ319)
[wzr2hi, 26.04.2024] Added 7.515.752.975 for PreProd6.PgP1 (PZ1A)(CRQ319)
[wzr2hi, 06.05.2024] Added 7.515.753.001 for PreProd6.PgP1 (P33A)(CRQ319)
[wzr2hi, 21.08.2024] Added 7.515.753.072 for PreProd8.PgP1 (PZ1A)
[wzr2hi, 23.08.2024] Added 7.515.753.080 for SOP.PgP1 (PZ1A)
[wzr2hi, 08.04.2025] Added 7.515.753.134 for PreProd6.PgP1 (P33A)(CRQ319)
[wzr2hi, 11.06.2025] Added 7.515.753.228 for SOP.PgP1 (PZ1A)
[wzr2hi, 05.12.2025] Added 7.515.753.124 for SOP.PgP1 (PZ1A)</t>
  </si>
  <si>
    <t>7.510.751.022-01,
7.510.751.022-02,
7.510.751.026-01,
7.515.751.233-02,
7.510.751.605-01,
7.515.751.233-03,
7.515.751.233,
7.510.751.605-02,
7.510.751.609-02,
7.515.751.775-01,
7.515.751.776-01,
7.515.751.775,
7.515.751.776,
7.515.751.954-01,
7.515.751.804-01,
7.515.751.971-01,
7.515.751.969,
7.515.751.970,
7.515.751.988,
7.515.751.989,
7.515.751.990,
7.515.751.991,
7.515.752.118,
7.515.752.119,
7.515.751.954-02,
7.515.752.120,
7.515.752.121,
7.515.752.355,
7.515.752.356,
7.515.752.122,
7.515.752.123,
7.515.752.357,
7.515.752.358,
7.515.751.954-03,
7.515.751.804,
7.515.752.345,
7.515.751.954,
7.515.752.287,
7.515.752.124,
7.515.752.128,
7.515.752.346,
7.515.752.347,
7.515.752.421,
7.515.752.422,
7.515.752.504,
7.515.752.505,
7.515.752.573,
7.515.752.574,
7.515.752.575,
7.515.752.576,
7.515.752.524,
7.515.752.525,
7.515.752.432,
7.515.752.697,
7.515.752.753,
7.515.752.759,
7.515.752.787-01,
7.515.752.577,
7.515.752.578,
7.515.752.840,
7.515.752.841,
7.515.752.848,
7.515.752.528,
7.515.752.529,
7.515.752.874,
7.515.752.532,
7.515.752.787-02,
7.515.753.060,
7.515.753.067,
7.515.753.068,
7.515.752.894,
7.515.752.895,
7.515.752.787,
7.515.753.246,
7.515.753.319,
7.515.753.321</t>
  </si>
  <si>
    <t>[wzr2hi, 01.06.2018] Added 7.510.751.022-01 for DSB1.MFI1-COSE
[wzr2hi, 17.10.2018] Added 7.510.751.022-02 for DSB2.1.Hi (P33A)
[wzr2hi, 17.10.2018] Added 7.510.751.026-01 for DSB2.1.Hi (P33A)
[wzr2hi, 24.04.2019] Added 7.515.751.233-02 for TSB1.2.PgP1 (P33A)
[wzr2hi, 06.05.2019] Added 7.510.751.605-01 for DSB4.MFI1-COSE (B13B JPN)
[wzr2hi, 06.05.2019] Added 7.515.751.233-03 for TSB2.PgP1 (P33A)
[wzr2hi, 27.08.2019] Added 7.515.751.233 for PreProd1.PgP1 (P33A)
[wzr2hi, 25.09.2019] Added 7.510.751.605-02 for DSB6b.MFI1-COSE (B13B JPN)
[wzr2hi, 25.09.2019] Added 7.510.751.609-02 for DSB6b.MFI1-COSE (B13B JPN)
[wzr2hi, 03.06.2020] Added 7.515.751.775-01 for TSB4.PgP1 (B13B JPN)
[wzr2hi, 03.06.2020] Added 7.515.751.776-01 for TSB4.PgP1 (B13B JPN)
[wzr2hi, 28.07.2020] Added 7.515.751.775 for PP4.PgP1 (B13B JPN)
[wzr2hi, 28.07.2020] Added 7.515.751.776 for PP4.PgP1 (B13B JPN)
[wzr2hi, 29.07.2020] Added 7.515.751.954-01 for TSB8.PgP1 (C53L)
[wzr2hi, 04.09.2020] Added 7.515.751.804-01 for TSB6.PgP1 (XC2C)
[wzr2hi, 04.09.2020] Added 7.515.751.971-01 for TSB6.PgP1 (XC2C)
[wzr2hi, 14.10.2020] Added 7.515.751.969 for SOP.PgP1 (B13B JPN)
[wzr2hi, 14.10.2020] Added 7.515.751.970 for SOP.PgP1 (B13B JPN)
[mkr2hi, 22.10.2020] Added 7.515.751.988 for SOP.PgP1 (B13B JPN)
[mkr2hi, 22.10.2020] Added 7.515.751.989 for SOP.PgP1 (B13B JPN)
[wzr2hi, 26.11.2020] Added 7.515.751.990 for SOP.PgP1 (B13B JPN)
[wzr2hi, 26.11.2020] Added 7.515.751.991 for SOP.PgP1 (B13B JPN)
[wzr2hi, 13.01.2021] Added 7.515.752.118 for SOP-UPD.PgP1 (B13B JPN)
[wzr2hi, 13.01.2021] Added 7.515.752.119 for SOP-UPD.PgP1 (B13B JPN)
[wzr2hi, 05.03.2021] Added 7.515.751.954-02 for TSB10.PgP1 (C53L)
[wzr2hi, 26.03.2021] Added 7.515.752.120 for QLU2.PgP1 (B13B JPN)
[wzr2hi, 26.03.2021] Added 7.515.752.121 for QLU2.PgP1 (B13B JPN)
[wzr2hi, 09.07.2021] Added 7.515.752.355 for Artwork.QLU2.PgP1 (B13B JPN)
[wzr2hi, 09.07.2021] Added 7.515.752.356 for Artwork.QLU2.PgP1 (B13B JPN)
[wzr2hi, 09.07.2021] Added 7.515.752.122 for QLU3.PgP1 (B13B JPN)
[wzr2hi, 09.07.2021] Added 7.515.752.123 for QLU3.PgP1 (B13B JPN)
[wzr2hi, 14.07.2021] Added 7.515.752.357 for QLU2.PgP1 (B13B JPN)
[wzr2hi, 14.07.2021] Added 7.515.752.358 for QLU2.PgP1 (B13B JPN)
[wzr2hi, 22.07.2021] Added 7.515.751.954-03 for TSB10.PgP1 (C53L)
[wzr2hi, 04.08.2021] Added 7.515.751.804 for PreProd1.PgP1 (XC2C)
[wzr2hi, 04.08.2021] Added 7.515.752.345 for PreProd1.PgP1 (XC2C)
[wzr2hi, 13.09.2021] Added 7.515.751.954 for PreProd1.PgP1 (C53L)
[wzr2hi, 13.09.2021] Added 7.515.752.287 for PreProd2.PgP1 (C53L)
[wzr2hi, 23.09.2021] Added 7.515.752.124 for QLU3.PgP1 (B13B JPN)
[wzr2hi, 23.09.2021] Added 7.515.752.128 for QLU3.PgP1 (B13B JPN)
[wzr2hi, 01.11.2021] Added 7.515.752.346 for PreProd2.PgP1 (XC2C)
[wzr2hi, 01.11.2021] Added 7.515.752.347 for PreProd2.PgP1 (XC2C)
[wzr2hi, 29.11.2021] Added 7.515.752.421 for PreProd2.1.PgP1 (XC2C)
[wzr2hi, 29.11.2021] Added 7.515.752.422 for PreProd2.1.PgP1 (XC2C)
[wzr2hi, 25.02.2022] Added 7.515.752.504 for PreProd2.1.PgP1 (XC2C)
[wzr2hi, 25.02.2022] Added 7.515.752.505 for PreProd2.1.PgP1 (XC2C)
[wzr2hi, 22.03.2022] Added 7.515.752.573 for QLU5.1.PgP1 (B13B JPN)
[wzr2hi, 22.03.2022] Added 7.515.752.574 for QLU5.1.PgP1 (B13B JPN)
[wzr2hi, 17.06.2022] Added 7.515.752.575 for QLU5.2.PgP1 (B13B JPN)
[wzr2hi, 17.06.2022] Added 7.515.752.576 for QLU5.2.PgP1 (B13B JPN)
[wzr2hi, 17.06.2022] Added 7.515.752.524 for QLU.PgP1 (XC2C)
[wzr2hi, 17.06.2022] Added 7.515.752.525 for QLU.PgP1 (XC2C)
[wzr2hi, 11.07.2022] Added 7.515.752.432 for PreProd3.PgP1 (C53L)
[wzr2hi, 13.09.2022] Added 7.515.752.697 for PreProd1.PgP1(B13B JPN)
[wzr2hi, 07.10.2022] Added 7.515.752.753 for PreProd4.PgP1 (C53L)
[wzr2hi, 21.10.2022] Added 7.515.752.759 for PreProd5.PgP1 (C53L)
[wzr2hi, 25.11.2022] Added 7.515.752.787-01 for TSB1.PgP1 (B13B JPN)(new DTV)
[wzr2hi, 30.01.2023] Added 7.515.752.577 for QLU5.2.PgP1 (B13B JPN)
[wzr2hi, 30.01.2023] Added 7.515.752.578 for QLU5.2.PgP1 (B13B JPN)
[wzr2hi, 17.02.2023] Added 7.515.752.840 for QLU1.1.PgP1 (XC2C)
[wzr2hi, 17.02.2023] Added 7.515.752.841 for QLU1.1.PgP1 (XC2C)
[wzr2hi, 27.02.2023] Added 7.515.752.848 for PreProd6.PgP1 (C53L)
[wzr2hi, 17.04.2023] Added 7.515.752.528 for QLU2.PgP1 (XC2C)
[wzr2hi, 17.04.2023] Added 7.515.752.529 for QLU2.PgP1 (XC2C)
[wzr2hi, 21.04.2023] Added 7.515.752.874 for PreProd7.PgP1 (C53L)
[wzr2hi, 14.06.2023] Added 7.515.752.532 for QLU2.PgP1 (XC2C)
[wzr2hi, 20.06.2024] Added 7.515.752.787-02 for TSB2.PgP1 (B13B JPN)(new DTV)
[wzr2hi, 23.07.2023] Added 7.515.753.060 for MP.PgP1 (B13B JPN)
[wzr2hi, 15.08.2024] Added 7.515.753.067 for QLU7.MP.PgP1 (B13B JPN)
[wzr2hi, 15.08.2024] Added 7.515.753.068 for QLU7.MP.PgP1 (B13B JPN)
[wzr2hi, 21.08.2024] Added 7.515.752.894 for QLU7.MP.PgP1 (B13B JPN)
[wzr2hi, 21.08.2024] Added 7.515.752.895 for QLU7.MP.PgP1 (B13B JPN)
[wzr2hi, 20.06.2025] Added 7.515.752.787 for QLU.PgP1 (B13B JPN)(new DTV)
[wzr2hi, 20.06.2025] Added 7.515.753.246 for QLU.PgP1 (B13B JPN)(new DTV)
[wzr2hi, 11.12.2025] Added 7.515.753.319 for SOP11.PgP1 (C53L)
[wzr2hi, 11.12.2025] Added 7.515.753.321 for QLU3.PgP1 (XC2C)</t>
  </si>
  <si>
    <t>7.510.751.312-01,
7.515.751.605-01,
7.515.751.605-02,
7.515.751.805-01,
7.515.751.605,
7.515.751.805,
7.515.752.091,
7.515.751.946-01,
7.515.751.980-01,
7.515.751.995,
7.515.752.066,
7.515.752.017,
7.515.752.194,
7.515.752.205,
7.515.751.946-02,
7.515.751.980-02,
7.515.752.319,
7.515.751.946,
7.515.751.980,
7.515.752.323,
7.515.752.502,
7.515.752.503,
7.515.752.423,
7.515.752.506,
7.515.752.507,
7.515.752.543,
7.515.752.699,
7.515.752.708,
7.515.752.770,
7.515.752.771,
7.515.752.838,
7.515.752.839,
7.515.752.682,
7.515.752.526,
7.515.752.527,
7.515.752.530,
7.515.752.945,
7.515.752.946,
7.515.753.061,
7.515.753.062,
7.515.753.169,
7.515.753.170,
7.515.753.208,
7.515.753.209,
7.515.753.270,
7.515.753.320</t>
  </si>
  <si>
    <t>[wzr2hi, 08.03.2019] Added 7.510.751.312-01 for DSB5.X.Hi (P33C)
[wzr2hi, 23.08.2019] Added 7.515.751.605-01 for TSB5.1.PgP1 (P33C)
[wzr2hi, 12.11.2019] Added 7.515.751.605-02 for TSB5.3.PgP1 (P33C)
[wzr2hi, 29.01.2020] Added 7.515.751.805-01 for TSB5.5.PgP1 (P33C)
[wzr2hi, 20.07.2020] Added 7.515.751.605 for PreProd5.1.PgP1 (P33C)
[wzr2hi, 17.09.2020] Added 7.515.751.805 for PreProd5.2.PgP1 (P33C)
[wzr2hi, 28.10.2020] Added 7.515.752.091 for PreProd5.2.PgP1 (P33C)
[wzr2hi, 11.11.2020] Added 7.515.751.946-01 for TSB7.PgP1 (PNE)
[wzr2hi, 11.11.2020] Added 7.515.751.980-01 for TSB7.PgP1 (PNE)
[wzr2hi, 17.12.2020] Added 7.515.751.995 for PreProd5.4.PgP1 (P33C)
[wzr2hi, 14.01.2021] Added 7.515.752.066 for SOP.PgP1 (P33C)
[wzr2hi, 09.02.2021] Added 7.515.752.017 for SOP.PgP1 (P33C)
[wzr2hi, 17.05.2021] Added 7.515.752.194 for SOP3.2.PgP1 (P33C)
[wzr2hi, 08.07.2021] Added 7.515.752.205 for SOP4.PgP1 (P33C)
[wzr2hi, 06.08.2021] Added 7.515.751.946-02 for TSB7.PgP1 (PNE)
[wzr2hi, 06.08.2021] Added 7.515.751.980-02 for TSB7.PgP1 (PNE)
[wzr2hi, 11.10.2021] Added 7.515.752.319 for SOP4.2.PgP1 (P33C)
[wzr2hi, 01.11.2021] Added 7.515.751.946 for PreProd1.PgP1 (PNE)
[wzr2hi, 01.11.2021] Added 7.515.751.980 for PreProd1.PgP1 (PNE)
[wzr2hi, 23.11.2021] Added 7.515.752.323 for SOP4.3.PgP1 (P33C)
[wzr2hi, 25.02.2022] Added 7.515.752.502 for PreProd2.1.PgP1 (PNE)
[wzr2hi, 25.02.2022] Added 7.515.752.503 for PreProd2.1.PgP1 (PNE)
[wrz2hi, 09.03.2022] Added 7.515.752.423 for SOP4.4.PgP1 (P33C)
[wzr2hi, 17.06.2022] Added 7.515.752.506 for QLU.PgP1 (PNE)
[wzr2hi, 17.06.2022] Added 7.515.752.507 for QLU.PgP1 (PNE)
[wzr2hi, 04.08.2022] Added 7.515.752.543 for SOP4.6.PgP1 (P33C)
[wzr2hi, 08.09.2022] Added 7.515.752.699 for SOP7.PgP1 (P33C)
[wzr2hi, 08.09.2022] Added 7.515.752.708 for SOP7.1.PgP1 (P33C
[wzr2hi, 04.11.2022] Added 7.515.752.770 for PreProd1.1.PgP1 (Triton)
[wzr2hi, 04.11.2022] Added 7.515.752.771 for PreProd1.2.PgP1 (Triton)
[wzr2hi, 17.02.2023] Added 7.515.752.838 for QLU1.1.PgP1 (PNE)
[wzr2hi, 17.02.2023] Added 7.515.752.839 for QLU1.1.PgP1 (PNE)
[wzr2hi, 16.03.2023] Added 7.515.752.682 for SOP4.7.PgP1 (P33C)
[wzr2hi, 17.04.2023] Added 7.515.752.526 for QLU2.PgP1 (PNE)
[wzr2hi, 17.04.2023] Added 7.515.752.527 for QLU2.PgP1 (PNE)
[wzr2hi, 14.06.2023] Added 7.515.752.530 for QLU2.PgP1 (PNE)
[wzr2hi, 27.02.2024] Added 7.515.752.945 for PreProd5.PgP1 (Triton)
[wzr2hi, 27.02.2024] Added 7.515.752.946 for PreProd5.PgP1 (Triton)
[wzr2hi, 09.08.2024] Added 7.515.753.061 for SOP8.1.PgP1 (P33C)
[wzr2hi, 09.08.2024] Added 7.515.753.062 for SOP8.2.PgP1 (P33C)
[wzr2hi, 15.01.2025] Added 7.515.753.169 for SOP1.PgP1 (Triton)
[wzr2hi, 15.01.2025] Added 7.515.753.170 for SOP1.PgP1 (Triton)
[wzr2hi, 09.05.2025] Added 7.515.753.208 for SOP8.3.PgP1 (P33C)(new DTV)
[wzr2hi, 13.05.2025] Added 7.515.753.209 for SOP8.3.PgP1 (P33C)
[wzr2hi, 28.08.2025] Added 7.515.753.270 for SOP1.PgP1 (Triton)
[wzr2hi, 11.12.2025] Added 7.515.753.320 for QLU3.PgP1 (PNE)</t>
  </si>
  <si>
    <t>7.515.752.777-02,
7.515.752.777-03,
7.515.752.777-04,
7.515.752.777,
7.515.752.970,
7.515.752.972,
7.515.752.974,
7.515.753.194,
7.515.753.088,
7.515.753.286,
7.515.753.287,
7.515.753.335</t>
  </si>
  <si>
    <t>7.515.752.716-03,
7.515.752.789-02,
7.515.752.716-04,
7.515.752.789-03,
7.515.752.716-05,
7.515.752.789-04,
7.515.752.716-06,
7.515.752.716,
7.515.752.789,
7.515.753.091,
7.515.753.093,
7.515.753.092,
7.515.753.094,
7.515.753.144,
7.515.753.146,
7.515.753.145,
7.515.753.147,
7.515.753.230,
7.515.753.231,
7.515.753.251,
7.515.753.252,
7.515.753.288,
7.515.753.289,
7.515.753.290,
7.515.753.291,
7.515.753.332,
7.515.753.333</t>
  </si>
  <si>
    <t>7.505.752.011-01,
7.505.752.012-01,
7.505.752.011-02,
7.505.752.012-02,
7.505.752.082,
7.505.752.083,
7.505.752.082-01,
7.505.752.083-01,
7.505.752.143,
7.505.752.145,
7.505.752.144,
7.505.752.146,
7.505.752.158,
7.505.752.160,
7.505.752.159,
7.505.752.161,
7.505.752.178,
7.505.752.179,
7.505.752.197,
7.505.752.198,
7.505.752.202,
7.505.752.203,
7.505.752.204,
7.505.752.205,
7.505.752.215,
7.505.752.216</t>
  </si>
  <si>
    <t>7.505.752.013-01,
7.505.752.013-02,
7.505.752.084,
7.505.752.084-01,
7.505.752.155,
7.505.752.217</t>
  </si>
  <si>
    <t>7.515.752.781-02,
7.515.752.781-03,
7.515.752.781,
7.515.753.139,
7.515.753.338</t>
  </si>
  <si>
    <t>7.505.752.015-01,
7.505.752.086,
7.505.752.086-01,
7.505.752.157,
7.505.752.181,
7.505.752.219</t>
  </si>
  <si>
    <t>7.515.752.779-02,
7.515.752.779-03,
7.515.752.779,
7.515.753.137,
7.515.753.336</t>
  </si>
  <si>
    <t>7.515.752.731-03,
7.515.752.731-04,
7.515.752.731-05,
7.515.752.731,
7.515.753.090,
7.515.753.135,
7.515.753.143,
7.515.753.089,
7.515.753.193,
7.515.753.222,
7.515.753.343,
7.515.753.344</t>
  </si>
  <si>
    <t>[wzr2hi, 29.11.2022] Added 7.515.752.780-02 for TSB1.2.PgP1
[wzr2hi, 06.03.2024] Added 7.515.752.780-03 for TSB3.PgP1
[wzr2hi, 15.05.2024] Added 7.515.752.780 for PreProd1.PgP1
[wzr2hi, 11.12.2024] Added 7.515.753.138 for PreProd2.8.PgP1
[wzr2hi, 16.12.2025] Added 7.515.753.337 for PreProd7.PgP1 (CRQ0077 FM2 ETH1 DAB Removal)</t>
  </si>
  <si>
    <t>7.515.752.780-02,
7.515.752.780-03,
7.515.752.780,
7.515.753.138,
7.515.753.337</t>
  </si>
  <si>
    <t>7.515.752.778-02,
7.515.752.778-03,
7.515.752.778,
7.515.753.136,
7.515.753.239,
7.515.753.334</t>
  </si>
  <si>
    <t>7.515.752.782-02,
7.515.752.782-03,
7.515.752.782-04,
7.515.752.782,
7.515.753.140,
7.515.753.339</t>
  </si>
  <si>
    <t>7.515.752.783-02,
7.515.752.783-03,
7.515.752.783,
7.515.753.141,
7.515.753.340</t>
  </si>
  <si>
    <t>7.515.752.784-02,
7.515.752.784-03,
7.515.752.784,
7.515.753.142,
7.515.753.341</t>
  </si>
  <si>
    <t>[wzr2hi, 29.11.2022] Added 7.515.752.731-03 for TSB1.2.PgP1
[wzr2hi, 07.06.2023] Added 7.515.752.731-04 for TSB2.PgP1
[wzr2hi, 06.03.2024] Added 7.515.752.731-05 for TSB3.PgP1
[wzr2hi, 15.05.2024] Added 7.515.752.731 for PreProd1.PgP1
[wzr2hi, 11.12.2024] Added 7.515.753.090 for PreProd2.5.PgP1
[wzr2hi, 11.12.2024] Added 7.515.753.135 for PreProd2.8.PgP1
[wzr2hi, 11.12.2024] Added 7.515.753.143 for PreProd2.9.PgP1
[wzr2hi, 12.02.2025] Added 7.515.753.089 for PreProd2.4.PgP1
[wzr2hi, 31.03.2025] Added 7.515.753.193 for PreProd3.1.PgP1
[wzr2hi, 05.09.2025] Added 7.515.753.222 for PreProd3.3.PgP1
[wzr2hi, 16.12.2025] Added 7.515.753.343 for PreProd7.PgP1 (CRQ0077 FM2 ETH2 DAB Removal)
[wzr2hi, 16.12.2025] Added 7.515.753.344 for PreProd7.PgP1 (CRQ0077 FM2 ETH2 DAB Removal)</t>
  </si>
  <si>
    <t>[wzr2hi, 29.11.2022] Added 7.515.752.778-02 for TSB1.2.PgP1
[wzr2hi, 06.03.2024] Added 7.515.752.778-03 for TSB3.PgP1
[wzr2hi, 15.05.2024] Added 7.515.752.778 for PreProd1.PgP1
[wzr2hi, 11.12.2024] Added 7.515.753.136 for PreProd2.8.PgP1
[wzr2hi, 20.06.2024] Added 7.515.753.239 for PreProd3.5.PgP1
[wzr2hi, 16.12.2025] Added 7.515.753.334 for PreProd7.PgP1 (CRQ0077 FM2 ETH2 DAB Removal)</t>
  </si>
  <si>
    <t>[wzr2hi, 29.11.2022] Added 7.515.752.777-02 for TSB1.2.PgP1
[wzr2hi, 07.06.2023] Added 7.515.752.777-03 for TSB2.PgP1
[wzr2hi, 06.03.2024] Added 7.515.752.777-04 for TSB3.PgP1
[wzr2hi, 06.03.2024] Added 7.515.752.777 for PreProd1.PgP1
[wzr2hi, 24.04.2024] Added 7.515.752.970 for PreProd2.PgP1
[wzr2hi, 24.09.2024] Added 7.515.752.972 for PreProd2.1.PgP1
[wzr2hi, 14.11.2024] Added 7.515.752.974 for PreProd2.2.PgP1
[wzr2hi, 31.03.2025] Added 7.515.753.194 for PreProd3.2.PgP1
[wzr2hi, 03.04.2025] Added 7.515.753.088 for PreProd2.3.PgP1
[mkr2hi, 18.09.2025] Added 7.515.753.286 for PreProd2.3.PgP1, SOP recovery
[wzr2hi, 24.10.2025] Added 7.515.753.287 for PreProd5.2.PgP1
[wzr2hi, 16.12.2025] Added 7.515.753.335 for PreProd7.PgP1 (CRQ0077 FM2 ETH2 DAB Removal)</t>
  </si>
  <si>
    <t>[wzr2hi, 29.11.2022] Added 7.515.752.779-02 for TSB1.2.PgP1
[wzr2hi, 06.03.2024] Added 7.515.752.779-03 for TSB3.PgP1
[wzr2hi, 15.05.2024] Added 7.515.752.779 for PreProd1.PgP1
[wzr2hi, 11.12.2024] Added 7.515.753.137 for PreProd2.8.PgP1
[wzr2hi, 16.12.2025] Added 7.515.753.336 for PreProd7.PgP1 (CRQ0077 FM2 ETH2 DAB Removal)</t>
  </si>
  <si>
    <t>[wzr2hi, 29.11.2022] Added 7.515.752.781-02 for TSB1.2.PgP1
[wzr2hi, 06.03.2024] Added 7.515.752.781-03 for TSB3.PgP1
[wzr2hi, 15.05.2024] Added 7.515.752.781 for PreProd1.PgP1
[wzr2hi, 11.12.2024] Added 7.515.753.139 for PreProd2.8.PgP1
[wzr2hi, 16.12.2025] Added 7.515.753.338 for PreProd7.PgP1 (CRQ0077 FM2 ETH2 DAB Removal)</t>
  </si>
  <si>
    <t>[wzr2hi, 29.11.2022] Added 7.515.752.782-02 for TSB1.2.PgP1
[wzr2hi, 20.10.2023] Added 7.515.752.782-03 for TSB2.PgP1
[wzr2hi, 06.03.2024] Added 7.515.752.782-04 for TSB3.PgP1
[wzr2hi, 15.05.2024] Added 7.515.752.782 for PreProd1.PgP1
[wzr2hi, 11.12.2024] Added 7.515.753.140 for PreProd2.8.PgP1
[wzr2hi, 16.12.2025] Added 7.515.753.339 for PreProd7.PgP1 (CRQ0077 FM2 ETH2 DAB Removal)</t>
  </si>
  <si>
    <t>[wzr2hi, 29.11.2022] Added 7.515.752.783-02 for TSB1.2.PgP1
[wzr2hi, 06.03.2024] Added 7.515.752.783-03 for TSB3.PgP1
[wzr2hi, 15.05.2024] Added 7.515.752.783 for PreProd1.PgP1
[wzr2hi, 11.12.2024] Added 7.515.753.141 for PreProd2.8.PgP1
[wzr2hi, 16.12.2025] Added 7.515.753.340 for PreProd7.PgP1 (CRQ0077 FM2 ETH2 DAB Removal)</t>
  </si>
  <si>
    <t>[wzr2hi, 29.11.2022] Added 7.515.752.784-02 for TSB1.2.PgP1
[wzr2hi, 06.03.2024] Added 7.515.752.784-03 for TSB3.PgP1
[wzr2hi, 15.05.2024] Added 7.515.752.784 for PreProd1.PgP1
[wzr2hi, 11.12.2024] Added 7.515.753.142 for PreProd2.8.PgP1
[wzr2hi, 16.12.2025] Added 7.515.753.341 for PreProd7.PgP1 (CRQ0077 FM2 ETH2 DAB Removal)</t>
  </si>
  <si>
    <t>[wzr2hi, 03.04.2023] Added 7.505.752.011-01 for TSB1.4.PgP1
[wzr2hi, 03.04.2023] Added 7.505.752.012-01 for TSB1.4.PgP1
[wzr2hi, 07.06.2023] Added 7.505.752.011-02 for TSB2.PgP1
[wzr2hi, 07.06.2023] Added 7.505.752.012-02 for TSB2.PgP1
[wzr2hi, 31.01.2024] Added 7.505.752.082 for PreProd1.PgP1 (with Gyro)
[wzr2hi, 31.01.2024] Added 7.505.752.083 for PreProd1.PgP1 (with Gyro)
[wzr2hi, 06.03.2024] Added 7.505.752.082-01 for TSB4.PgP1
[wzr2hi, 06.03.2024] Added 7.505.752.083-01 for TSB4.PgP1
[wzr2hi, 24.09.2024] Added 7.505.752.143 for PreProd2.4.PgP1 (with Gyro)
[wzr2hi, 24.09.2024] Added 7.505.752.145 for PreProd2.4.PgP1 (with Gyro)
[wzr2hi, 08.11.2024] Added 7.505.752.144 for PreProd2.5.PgP1
[wzr2hi, 08.11.2024] Added 7.505.752.146 for PreProd2.5.PgP1
[wzr2hi, 11.12.2024] Added 7.505.752.158 for PreProd2.10.PgP1
[wzr2hi, 11.12.2024] Added 7.505.752.160 for PreProd2.10.PgP1
[wzr2hi, 11.12.2024] Added 7.505.752.159 for PreProd2.11.PgP1
[wzr2hi, 11.12.2024] Added 7.505.752.161 for PreProd2.11.PgP1
[wzr2hi, 20.06.2025] Added 7.505.752.178 for PreProd3.4.PgP1
[wzr2hi, 20.06.2025] Added 7.505.752.179 for PreProd3.4.PgP1
[wzr2hi, 05.09.2025] Added 7.505.752.197 for PreProd3.6.PgP1
[wzr2hi, 05.09.2025] Added 7.505.752.198 for PreProd3.6.PgP1
[mkr2hi, 24.09.2025] Added 7.505.752.202 for PreProd6.1.PgP1
[mkr2hi, 24.09.2025] Added 7.505.752.203 for PreProd6.1.PgP1
[wzr2hi, 21.11.2025] Added 7.505.752.204 for PreProd6.2.PgP1
[wzr2hi, 21.11.2025] Added 7.505.752.205 for PreProd6.2.PgP1
[wzr2hi, 16.12.2025] Added 7.505.752.215 for PreProd7.PgP1 (CRQ0077 FM2 ETH2 DAB Removal)
[wzr2hi, 16.12.2025] Added 7.505.752.216 for PreProd7.PgP1 (CRQ0077 FM2 ETH2 DAB Removal)</t>
  </si>
  <si>
    <t>[wzr2hi, 03.04.2023] Added 7.505.752.015-01 for TSB1.4.PgP1
[wzr2hi, 31.01.2024] Added 7.505.752.086 for PreProd1.PgP1 (with Gyro)
[wzr2hi, 06.03.2024] Added 7.505.752.086-01 for TSB4.PgP1
[wzr2hi, 11.12.2024] Added 7.505.752.157 for PreProd2.8.PgP1
[wzr2hi, 10.11.2025] Added 7.505.752.181 for PreProd3.4.PgP1
[wzr2hi, 16.12.2025] Added 7.505.752.219 for PreProd7.PgP1 (CRQ0077 FM2 ETH2 DAB Removal)</t>
  </si>
  <si>
    <t>[wzr2hi, 03.04.2023] Added 7.505.752.013-01 for TSB1.4.PgP1
[wzr2hi, 20.10.2023] Added 7.505.752.013-02 for TSB2.PgP1
[wzr2hi, 31.01.2024] Added 7.505.752.084 for PreProd1.PgP1 (with Gyro)
[wzr2hi, 06.03.2024] Added 7.505.752.084-01 for TSB4.PgP1
[wzr2hi, 11.12.2024] Added 7.505.752.155 for PreProd2.8.PgP1
[wzr2hi, 16.12.2025] Added 7.505.752.217 for PreProd7.PgP1 (CRQ0077 FM2 ETH2 DAB Removal)</t>
  </si>
  <si>
    <t>[wzr2hi, 01.12.2022] Added 7.515.752.716-03 for TSB1.2.PgP1
[wzr2hi, 01.12.2022] Added 7.515.752.789-02 for TSB1.2.PgP1
[wzr2hi, 07.06.2023] Added 7.515.752.716-04 for TSB2.PgP1
[wzr2hi, 07.06.2023] Added 7.515.752.789-03 for TSB2.PgP1
[wzr2hi, 20.10.2023] Added 7.515.752.716-05 for TSB2.PgP1
[wzr2hi, 06.03.2024] Added 7.515.752.789-04 for TSB3.PgP1
[wzr2hi, 06.03.2024] Added 7.515.752.716-06 for TSB3.PgP1
[wzr2hi, 15.05.2024] Added 7.515.752.716 for PreProd1.PgP1
[wzr2hi, 15.05.2024] Added 7.515.752.789 for PreProd1.PgP1
[wzr2hi, 24.09.2024] Added 7.515.753.091 for PreProd2.4.PgP1
[wzr2hi, 24.09.2024] Added 7.515.753.093 for PreProd2.4.PgP1
[wzr2hi, 08.11.2024] Added 7.515.753.092 for PreProd2.5.PgP1
[wzr2hi, 08.11.2024] Added 7.515.753.094 for PreProd2.5.PgP1
[wzr2hi, 11.12.2024] Added 7.515.753.144 for PreProd2.10.PgP1
[wzr2hi, 11.12.2024] Added 7.515.753.146 for PreProd2.10.PgP1
[wzr2hi, 11.12.2024] Added 7.515.753.145 for PreProd2.11.PgP1
[wzr2hi, 11.12.2024] Added 7.515.753.147 for PreProd2.11.PgP1
[wzr2hi, 20.06.2025] Added 7.515.753.230 for PreProd3.4.PgP1
[wzr2hi, 20.06.2025] Added 7.515.753.231 for PreProd3.4.PgP1
[wzr2hi, 05.09.2025] Added 7.515.753.251 for PreProd3.6.PgP1
[wzr2hi, 05.09.2025] Added 7.515.753.252 for PreProd3.6.PgP1
[mkr2hi, 24.09.2025] Added 7.515.753.288 for PreProd6.1.PgP1
[mkr2hi, 24.09.2025] Added 7.515.753.289 for PreProd6.1.PgP1
[wzr2hi, 21.11.2025] Added 7.515.753.290 for PreProd6.2.PgP1
[wzr2hi, 21.11.2025] Added 7.515.753.291 for PreProd6.2.PgP1
[wzr2hi, 16.12.2025] Added 7.515.753.332 for PreProd7.PgP1 (CRQ0077 FM2 ETH2 DAB Removal)
[wzr2hi, 16.12.2025] Added 7.515.753.333 for PreProd7.PgP1 (CRQ0077 FM2 ETH2 DAB Removal)</t>
  </si>
  <si>
    <t>Mitsubishi Scope 3.1 Gen4 NAV-Mid PRC(APAC) (SBR DAB and AM/FM)</t>
  </si>
  <si>
    <t>Mitsubishi Scope 3.1 Gen4 NAV-Mid NAM(MEX) (SBR DAB and AM/FM)</t>
  </si>
  <si>
    <t>Mitsubishi Scope 3.1 Gen4 NAV-Mid AFR(AFR/SAF) (SBR DAB and AM/FM)</t>
  </si>
  <si>
    <t>Mitsubishi Scope 3.1 Gen4 NAV-Mid GOM(MAR) (SBR DAB and AM/FM)</t>
  </si>
  <si>
    <t>Mitsubishi Scope 3.1 Gen4 NAV-Mid CAS(ISR) (SBR DAB and AM/FM)</t>
  </si>
  <si>
    <t>Mitsubishi Scope 3.1 Gen4 NAV-Mid LAC(SAM-CHL) (SBR DAB and AM/FM)</t>
  </si>
  <si>
    <t>Mitsubishi Scope 3.1 Gen4 NAV-Mid LAC(SAM-ARG) (SBR DAB and AM/FM)</t>
  </si>
  <si>
    <t>Mitsubishi Scope 3.1 Gen4 DA-Mid EUR/UKR(NO) (SBR DAB and AM/FM)</t>
  </si>
  <si>
    <t>7.515.752.717-01,
7.515.752.786-01,
7.515.752.717-02,
7.515.752.786-02,
7.515.752.786-03,
7.515.752.786,
7.515.752.969,
7.515.753.058,
7.515.752.971,
7.515.752.973,
7.515.753.087,
7.515.753.096,
7.515.753.097,
7.515.753.234,
7.515.753.263,
7.515.753.342,
7.515.753.345,
7.515.753.264</t>
  </si>
  <si>
    <t>[wzr2hi, 29.09.2022] Added 7.515.752.717-01 for TSB1.PgP1
[wzr2hi, 23.11.2022] Added 7.515.752.786-01 for TSB1.1.PgP1 (new DTV)
[wzr2hi, 28.03.2023] Added 7.515.752.717-02 for TSB1.PgP1
[wzr2hi, 07.06.2023] Added 7.515.752.786-02 for TSB2.PgP1 (new DTV)
[wzr2hi, 06.03.2024] Added 7.515.752.786-03 for TSB3.PgP1
[wzr2hi, 06.03.2024] Added 7.515.752.786 for PreProd1.PgP1
[wzr2hi, 24.04.2024] Added 7.515.752.969 for PreProd2.PgP1
[wzr2hi, 12.07.2024] Added 7.515.753.058 for PreProd3.PgP1 (new DTV)
[wzr2hi, 24.07.2024] Added 7.515.752.971 for PreProd2.1.PgP1
[wzr2hi, 24.07.2024] Added 7.515.752.973 for PreProd2.2.PgP1
[wzr2hi, 03.04.2025] Added 7.515.753.087 for PreProd2.3.PgP1
[wzr2hi, 03.04.2025] Added 7.515.753.096 for PreProd2.6.PgP1
[wzr2hi, 03.04.2025] Added 7.515.753.097 for PreProd2.7.PgP1
[wzr2hi, 19.08.2025] Added 7.515.753.234 for PreProd3.5.PgP1
[wzr2hi, 19.12.2025] Added 7.515.753.263 for PreProd3.8.PgP1
[wzr2hi, 16.12.2025] Added 7.515.753.342 for PreProd7.PgP1 (CRQ0077 FM2 ETH2 DAB Removal)
[wzr2hi, 16.12.2025] Added 7.515.753.345 for PreProd7.PgP1 (CRQ0077 FM2 ETH2 DAB Removal)
[wzr2hi, 20.01.2026] Added 7.515.753.264 for PreProd3.9.PgP1</t>
  </si>
  <si>
    <t>7.505.752.014-01,
7.505.752.014-02,
7.505.752.085,
7.505.752.085-01,
7.505.752.156,
7.505.752.180,
7.505.752.218,
7.505.752.194</t>
  </si>
  <si>
    <t>[wzr2hi, 03.04.2023] Added 7.505.752.014-01 for TSB1.4.PgP1
[wzr2hi, 07.06.2023] Added 7.505.752.014-02 for TSB2.PgP1
[wzr2hi, 31.01.2024] Added 7.505.752.085 for PreProd1.PgP1 (with Gyro)
[wzr2hi, 06.03.2024] Added 7.505.752.085-01 for TSB4.PgP1
[wzr2hi, 11.12.2024] Added 7.505.752.156 for PreProd2.8.PgP1
[wzr2hi, 10.11.2025] Added 7.505.752.180 for PreProd3.4.PgP1
[wzr2hi, 16.12.2025] Added 7.505.752.218 for PreProd7.PgP1 (CRQ0077 FM2 ETH2 DAB Removal)
[wzr2hi, 19.02.2026] Added 7.505.752.194 for PreProd3.5.PgP1</t>
  </si>
  <si>
    <t>0.000.000.000-62</t>
  </si>
  <si>
    <t>[wzr2hi, 02.10.2025] Added 7.505.752.209-01 for TSB12.PgP1 (H61P) (HD disabled in VM, PD, CD) (new DDR4)
[wzr2hi, 26.02.2026] Added 7.518.000.00M for MP.PgP1 (H61P) (HD disabled in VM, PD, CD) (new DDR4)
[wzr2hi, 26.02.2026] Added 7.518.000.00N for MP.PgP1 (H61P) (HD disabled in VM, PD, CD) (new DDR4)</t>
  </si>
  <si>
    <t>7.505.752.209-01,
7.518.000.00M,
7.518.000.00N</t>
  </si>
  <si>
    <t>7.505.752.207-01,
7.518.000.00P,
7.518.000.00R</t>
  </si>
  <si>
    <t>[wzr2hi, 02.10.2025] Added 7.505.752.207-01 for TSB12.PgP1 (H60E) (HD disabled in VM, PD, CD) (new DDR4)
[wzr2hi, 26.02.2026] Added 7.518.000.00P for MP.PgP1 (H60P) (HD disabled in VM, PD, CD) (new DDR4)
[wzr2hi, 26.02.2026] Added 7.518.000.00R for MP.PgP1 (H60E) (HD disabled in VM, PD, CD) (new DDR4)</t>
  </si>
  <si>
    <t>7.518.000.00S</t>
  </si>
  <si>
    <t>7.505.752.196-01,
7.505.752.210-01,
7.518.000.00T</t>
  </si>
  <si>
    <t>7.518.000.00V</t>
  </si>
  <si>
    <t>7.505.752.206-01,
7.518.000.00U,
7.518.000.00W</t>
  </si>
  <si>
    <t>[wzr2hi, 18.06.2025] Added 7.505.752.196-01 for TSB10.PgP1 (L42P) (new DDR4)
[wzr2hi, 02.10.2025] Added 7.505.752.210-01 for TSB12.PgP1 (L42P) (new DDR4)
[wzr2hi, 26.02.2026] Added 7.518.000.00T for PreProd9.PgP1 (L42P) (new DDR4)</t>
  </si>
  <si>
    <t>[wzr2hi, 02.10.2025] Added 7.515.753.298-01 for TSB12.PgP1 (PZ1A) (new DDR4)</t>
  </si>
  <si>
    <t>[wzr2hi, 02.10.2025] Added 7.515.753.299-01 for TSB12.PgP1 (J32V) (new DDR4)
[wzr2hi, 02.10.2025] Added 7.515.753.301-01 for TSB12.PgP1 (J32V) (new DDR4)</t>
  </si>
  <si>
    <t>[wzr2hi, 02.10.2025] Added 7.505.752.206-01 for TSB12.PgP1 (P02H) (new DDR4)
[wzr2hi, 26.02.2026] Added 7.518.000.00U for PreProd9.PgP1 (L02G) (new DDR4)
[wzr2hi, 03.04.2025] Added 7.518.000.00W for PreProd9.PgP1 (P02H) (new DDR4)</t>
  </si>
  <si>
    <t>[wzr2hi, 02.10.2025] Added 7.505.752.208-01 for TSB12.PgP1 (P33B) (new DDR4)</t>
  </si>
  <si>
    <t>[wzr2hi, 07.05.2025] Added 7.515.753.212-01 for TSB10.PgP1 (P33A) (new DDR4)
[wzr2hi, 02.10.2025] Added 7.515.753.300-01 for TSB12.PgP1 (P33A) (new DDR4)</t>
  </si>
  <si>
    <t>[wzr2hi, 26.02.2026] Added 7.518.000.00S for MP.PgP1 (H60E) (new DDR4)</t>
  </si>
  <si>
    <t>[wzr2hi, 26.02.2026] Added 7.518.000.00V for PreProd9.PgP1 (L02G) (new DDR4)</t>
  </si>
  <si>
    <t>7.515.753.377-01</t>
  </si>
  <si>
    <t>[wzr2hi, 27.02.2026] Added 7.515.753.377-01 for TSB5.F10.PgP1 (5F00)</t>
  </si>
  <si>
    <t>7.515.753.350-01,
7.515.753.378-01</t>
  </si>
  <si>
    <t>[wzr2hi, 26.02.2026] Added 7.515.753.350-01 for TSB12.PgP1 (new DDR4)
[wzr2hi, 27.02.2026] Added 7.515.753.378-01 for TSB5.F10.PgP1 (5F00)</t>
  </si>
  <si>
    <t>[wzr2hi, 27.02.2026] Added 7.515.753.379-01 for TSB5.F10.PgP1 (5F00)</t>
  </si>
  <si>
    <t>7.515.753.379-01</t>
  </si>
  <si>
    <t>0.000.000.000-171</t>
  </si>
  <si>
    <t>Mitsubishi Scope 3.1 Gen4 NAV-Mid PRC(THA) (SBR DAB and AM/FM)</t>
  </si>
  <si>
    <t>7.505.751.377-02,
7.505.751.377,
7.505.751.627,
7.505.751.643,
7.505.751.689,
7.505.751.746,
7.505.751.813,
7.505.752.000,
7.505.751.926,
7.505.752.070,
7.505.752.101,
7.505.752.132,
7.505.752.150,
7.505.752.169,
7.505.752.169-01,
7.505.752.222</t>
  </si>
  <si>
    <t>7.505.751.379-02,
7.505.751.379,
7.505.751.630,
7.505.751.646,
7.505.751.749,
7.505.751.830,
7.505.752.173,
7.505.752.223</t>
  </si>
  <si>
    <t>[wzr2hi, 19.03.2019] Added 7.505.751.379-02 for TSB3.PgP1 (TBD)
[wzr2hi, 22.07.2020] Added 7.505.751.379 for PreProd2.PgP1 (TBD)
[wzr2hi, 09.12.2020] Added 7.505.751.630 for MP.PgP1 (TBD)
[wzr2hi, 15.01.2021] Added 7.505.751.646 for PreProd2-UPD.PgP1 (P42Q)
[wzr2hi, 14.07.2021] Added 7.505.751.749 for PreProd3.PgP1 (TBD)
[wzr2hi, 08.07.2024] Added 7.505.751.830 for MY25.QLU.PgP1 (P61G)
[wzr2hi, 04.04.2025] Added 7.505.752.173 for MP1.PrgP (H60E)
[wzr2hi, 09.03.2026] Added 7.505.752.223 for MP1.PrgP (H60E)</t>
  </si>
  <si>
    <t>7.505.752.221-01,
7.518.000.00X,
7.518.000.00Y</t>
  </si>
  <si>
    <t>[wzr2hi, 03.12.2025] Added 7.505.752.221-01 for TSB12.PgP1 (new DDR4)
[wzr2hi, 09.03.2026] Added 7.518.000.00X for PreProd8.PgP1 (CRQ0077 FM2 ETH2 DAB Removal) (new DDR4)
[wzr2hi, 09.03.2026] Added 7.518.000.00Y for PreProd8.PgP1 (CRQ0077 FM2 ETH2 DAB Removal) (new DDR4)</t>
  </si>
  <si>
    <t>7.518.000.00Z</t>
  </si>
  <si>
    <t>[wzr2hi, 09.03.2026] Added 7.518.000.00Z for PreProd8.PgP1 (CRQ0077 FM2 ETH2 DAB Removal) (new DDR4)</t>
  </si>
  <si>
    <t>[wzr2hi, 09.03.2026] Added 7.518.000.010 for PreProd8.PgP1 (CRQ0077 FM2 ETH2 DAB Removal) (new DDR4)</t>
  </si>
  <si>
    <t>[wzr2hi, 03.12.2025] Added 7.505.752.220-01 for TSB12.PgP1 (new DDR4)
[wzr2hi, 09.03.2026] Added 7.518.000.011 for PreProd8.PgP1 (CRQ0077 FM2 ETH2 DAB Removal) (new DDR4)</t>
  </si>
  <si>
    <t>7.505.752.220-01,
7.518.000.011</t>
  </si>
  <si>
    <t>7.518.000.010</t>
  </si>
  <si>
    <t>[wzr2hi, 19.03.2019] Added 7.505.751.377-02 for TSB3.PgP1 (TBD)
[wzr2hi, 22.07.2020] Added 7.505.751.377 for PreProd2.PgP1 (TBD)
[wzr2hi, 09.12.2020] Added 7.505.751.627 for MP.PgP1 (TBD)
[wzr2hi, 15.01.2021] Added 7.505.751.643 for PreProd2-UPD.PgP1 (P42Q)
[wzr2hi, 18.03.2021] Added 7.505.751.689 for PreProd3.PgP1 (P42Q)
[wzr2hi, 22.04.2021] Added 7.505.751.746 for PreProd3.PgP1 (P42Q) (N61G)
[wzr2hi, 22.12.2022] Added 7.505.751.813 for QLU4.PgP1 (TBD)
[wzr2hi, 18.01.2023] Added 7.505.752.000 for MY25.MP.PgP1 (H61P)
[wzr2hi, 03.05.2023] Added 7.505.751.926 for QLU4.1.PgP1 (TBD)
[wzr2hi, 04.01.2024] Added 7.505.752.070 for MY25.QLU.PgP1 (H61P)
[wzr2hi, 11.03.2024] Added 7.505.752.101 for MP.PgP1 (H61P)(HD disabled in VM, PD, CD)
[wzr2hi, 09.07.2024] Added 7.505.752.132 for MY25.MP.PgP1 (H61P)(HD disabled in VM, PD, CD)
[wzr2hi, 21.02.2025] Added 7.505.752.150 for MY26.QLU.PgP1 (H61P) (HD disabled in VM, PD, CD)
[wzr2hi, 27.03.2025] Added 7.505.752.169 for MP1.PgP1 (H60E) (HD disabled in VM, PD, CD)
[wzr2hi, 02.06.2025] Added 7.505.752.169-01 for TSB1.PgP1 (H60E)(GNSS change) (HD disabled in VM, PD, CD)
[wzr2hi, 09.03.2026] Added 7.505.752.222 for MP1.PgP1 (H60E) (HD disabled in VM, PD, 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</si>
</sst>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 _€_-;\-* #,##0\ _€_-;_-* &quot;-&quot;\ _€_-;_-@_-"/>
    <numFmt numFmtId="165" formatCode="_-* #,##0.00\ _€_-;\-* #,##0.00\ _€_-;_-* &quot;-&quot;??\ _€_-;_-@_-"/>
    <numFmt numFmtId="166" formatCode="0000"/>
  </numFmts>
  <fonts count="45">
    <font>
      <sz val="10"/>
      <color theme="1"/>
      <name val="Arial"/>
      <family val="2"/>
    </font>
    <font>
      <b/>
      <sz val="10"/>
      <color theme="1"/>
      <name val="Arial"/>
      <family val="2"/>
    </font>
    <font>
      <sz val="10"/>
      <name val="Arial"/>
      <family val="2"/>
    </font>
    <font>
      <b/>
      <sz val="10"/>
      <name val="Arial"/>
      <family val="2"/>
    </font>
    <font>
      <sz val="10"/>
      <color rgb="FFFF0000"/>
      <name val="Arial"/>
      <family val="2"/>
    </font>
    <font>
      <u/>
      <sz val="10"/>
      <color theme="10"/>
      <name val="Arial"/>
      <family val="2"/>
    </font>
    <font>
      <sz val="10"/>
      <color rgb="FF00B050"/>
      <name val="Arial"/>
      <family val="2"/>
    </font>
    <font>
      <b/>
      <sz val="10"/>
      <color rgb="FFFF0000"/>
      <name val="Arial"/>
      <family val="2"/>
    </font>
    <font>
      <strike/>
      <sz val="10"/>
      <color theme="1"/>
      <name val="Arial"/>
      <family val="2"/>
    </font>
    <font>
      <strike/>
      <sz val="10"/>
      <name val="Arial"/>
      <family val="2"/>
    </font>
    <font>
      <strike/>
      <sz val="10"/>
      <color rgb="FFFF0000"/>
      <name val="Arial"/>
      <family val="2"/>
    </font>
    <font>
      <sz val="10"/>
      <color rgb="FF000000"/>
      <name val="Arial"/>
      <family val="2"/>
    </font>
    <font>
      <sz val="10"/>
      <color theme="1"/>
      <name val="Arial"/>
      <family val="2"/>
    </font>
    <font>
      <sz val="10"/>
      <color theme="0" tint="-0.499984740745262"/>
      <name val="Arial"/>
      <family val="2"/>
    </font>
    <font>
      <strike/>
      <sz val="10"/>
      <color theme="0" tint="-0.499984740745262"/>
      <name val="Arial"/>
      <family val="2"/>
    </font>
    <font>
      <sz val="11"/>
      <name val="ＭＳ Ｐゴシック"/>
      <family val="3"/>
      <charset val="128"/>
    </font>
    <font>
      <sz val="11"/>
      <color indexed="8"/>
      <name val="맑은 고딕"/>
      <family val="2"/>
      <charset val="129"/>
    </font>
    <font>
      <sz val="11"/>
      <color indexed="9"/>
      <name val="宋体"/>
      <family val="1"/>
      <charset val="255"/>
    </font>
    <font>
      <sz val="11"/>
      <color theme="1"/>
      <name val="Calibri"/>
      <family val="2"/>
      <scheme val="minor"/>
    </font>
    <font>
      <sz val="11"/>
      <color theme="0"/>
      <name val="Calibri"/>
      <family val="2"/>
      <scheme val="minor"/>
    </font>
    <font>
      <sz val="9"/>
      <color theme="1"/>
      <name val="Arial"/>
      <family val="2"/>
    </font>
    <font>
      <sz val="10"/>
      <name val="Arial"/>
      <family val="2"/>
      <charset val="238"/>
    </font>
    <font>
      <sz val="9"/>
      <color theme="1"/>
      <name val="Verdana"/>
      <family val="2"/>
    </font>
    <font>
      <u/>
      <sz val="10"/>
      <color rgb="FF0563C1"/>
      <name val="Arial"/>
      <family val="2"/>
    </font>
    <font>
      <sz val="10"/>
      <color rgb="FF006100"/>
      <name val="Arial"/>
      <family val="2"/>
    </font>
    <font>
      <sz val="8"/>
      <color indexed="81"/>
      <name val="Segoe UI"/>
      <family val="2"/>
    </font>
    <font>
      <b/>
      <sz val="8"/>
      <color indexed="81"/>
      <name val="Segoe UI"/>
      <family val="2"/>
    </font>
    <font>
      <sz val="11"/>
      <name val="?? ?????"/>
      <family val="3"/>
      <charset val="128"/>
    </font>
    <font>
      <sz val="11"/>
      <color indexed="8"/>
      <name val="?? ??"/>
      <family val="2"/>
      <charset val="129"/>
    </font>
    <font>
      <sz val="11"/>
      <color indexed="8"/>
      <name val="Calibri"/>
      <family val="2"/>
    </font>
    <font>
      <sz val="10"/>
      <color theme="1"/>
      <name val="Symbol"/>
      <family val="1"/>
      <charset val="2"/>
    </font>
    <font>
      <sz val="7"/>
      <color theme="1"/>
      <name val="Times New Roman"/>
      <family val="1"/>
    </font>
    <font>
      <b/>
      <sz val="10"/>
      <color rgb="FF000000"/>
      <name val="Arial"/>
      <family val="2"/>
    </font>
    <font>
      <sz val="10"/>
      <color theme="1"/>
      <name val="Wingdings"/>
      <charset val="2"/>
    </font>
    <font>
      <b/>
      <sz val="9"/>
      <color indexed="81"/>
      <name val="Segoe UI"/>
      <family val="2"/>
    </font>
    <font>
      <sz val="9"/>
      <color indexed="81"/>
      <name val="Segoe UI"/>
      <family val="2"/>
    </font>
    <font>
      <b/>
      <sz val="10"/>
      <color theme="0" tint="-0.34998626667073579"/>
      <name val="Arial"/>
      <family val="2"/>
    </font>
    <font>
      <sz val="10"/>
      <color theme="0" tint="-0.34998626667073579"/>
      <name val="Arial"/>
      <family val="2"/>
    </font>
    <font>
      <sz val="10"/>
      <color rgb="FFC00000"/>
      <name val="Arial"/>
      <family val="2"/>
    </font>
    <font>
      <sz val="10"/>
      <color indexed="8"/>
      <name val="Arial"/>
      <family val="2"/>
    </font>
    <font>
      <sz val="10"/>
      <color rgb="FFFFC000"/>
      <name val="Arial"/>
      <family val="2"/>
    </font>
    <font>
      <sz val="10"/>
      <color theme="0" tint="-0.249977111117893"/>
      <name val="Arial"/>
      <family val="2"/>
    </font>
    <font>
      <sz val="8"/>
      <name val="Arial"/>
      <family val="2"/>
    </font>
    <font>
      <b/>
      <sz val="10"/>
      <color rgb="FF7030A0"/>
      <name val="Arial"/>
      <family val="2"/>
    </font>
    <font>
      <sz val="10"/>
      <color theme="2"/>
      <name val="Arial"/>
      <family val="2"/>
    </font>
  </fonts>
  <fills count="40">
    <fill>
      <patternFill patternType="none"/>
    </fill>
    <fill>
      <patternFill patternType="gray125"/>
    </fill>
    <fill>
      <patternFill patternType="solid">
        <fgColor rgb="FF00B0F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FF00"/>
        <bgColor indexed="64"/>
      </patternFill>
    </fill>
    <fill>
      <patternFill patternType="solid">
        <fgColor theme="5"/>
      </patternFill>
    </fill>
    <fill>
      <patternFill patternType="solid">
        <fgColor indexed="29"/>
      </patternFill>
    </fill>
    <fill>
      <patternFill patternType="solid">
        <fgColor rgb="FFC6EFCE"/>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39997558519241921"/>
        <bgColor indexed="64"/>
      </patternFill>
    </fill>
    <fill>
      <patternFill patternType="solid">
        <fgColor theme="6"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39997558519241921"/>
        <bgColor indexed="64"/>
      </patternFill>
    </fill>
    <fill>
      <patternFill patternType="solid">
        <fgColor theme="6" tint="-0.249977111117893"/>
        <bgColor indexed="64"/>
      </patternFill>
    </fill>
    <fill>
      <patternFill patternType="solid">
        <fgColor theme="8"/>
        <bgColor indexed="64"/>
      </patternFill>
    </fill>
    <fill>
      <patternFill patternType="solid">
        <fgColor theme="7" tint="0.59999389629810485"/>
        <bgColor indexed="64"/>
      </patternFill>
    </fill>
    <fill>
      <patternFill patternType="solid">
        <fgColor theme="7"/>
        <bgColor indexed="64"/>
      </patternFill>
    </fill>
    <fill>
      <patternFill patternType="solid">
        <fgColor rgb="FFFFFF99"/>
        <bgColor indexed="64"/>
      </patternFill>
    </fill>
    <fill>
      <patternFill patternType="solid">
        <fgColor rgb="FFCCFF66"/>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rgb="FFFF0000"/>
        <bgColor indexed="64"/>
      </patternFill>
    </fill>
    <fill>
      <patternFill patternType="solid">
        <fgColor indexed="13"/>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0070C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rgb="FFFF66FF"/>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diagonal/>
    </border>
  </borders>
  <cellStyleXfs count="58">
    <xf numFmtId="0" fontId="0" fillId="0" borderId="0"/>
    <xf numFmtId="0" fontId="5" fillId="0" borderId="0" applyNumberFormat="0" applyFill="0" applyBorder="0" applyAlignment="0" applyProtection="0"/>
    <xf numFmtId="0" fontId="15" fillId="0" borderId="0">
      <alignment vertical="center"/>
    </xf>
    <xf numFmtId="38" fontId="15" fillId="0" borderId="0" applyFont="0" applyFill="0" applyBorder="0" applyAlignment="0" applyProtection="0">
      <alignment vertical="center"/>
    </xf>
    <xf numFmtId="0" fontId="16" fillId="0" borderId="0"/>
    <xf numFmtId="0" fontId="17" fillId="8" borderId="0" applyNumberFormat="0" applyBorder="0" applyAlignment="0" applyProtection="0">
      <alignment vertical="center"/>
    </xf>
    <xf numFmtId="164" fontId="12" fillId="0" borderId="0" applyFont="0" applyFill="0" applyBorder="0" applyAlignment="0" applyProtection="0"/>
    <xf numFmtId="0" fontId="2" fillId="0" borderId="0"/>
    <xf numFmtId="0" fontId="18" fillId="0" borderId="0"/>
    <xf numFmtId="0" fontId="2" fillId="0" borderId="0"/>
    <xf numFmtId="0" fontId="19" fillId="7" borderId="0" applyNumberFormat="0" applyBorder="0" applyAlignment="0" applyProtection="0"/>
    <xf numFmtId="0" fontId="15" fillId="0" borderId="0">
      <alignment vertical="center"/>
    </xf>
    <xf numFmtId="1" fontId="2" fillId="0" borderId="0" applyNumberFormat="0" applyFill="0" applyBorder="0" applyAlignment="0" applyProtection="0"/>
    <xf numFmtId="0" fontId="2" fillId="0" borderId="0"/>
    <xf numFmtId="0" fontId="2" fillId="0" borderId="0"/>
    <xf numFmtId="0" fontId="21" fillId="0" borderId="0"/>
    <xf numFmtId="0" fontId="22" fillId="0" borderId="0"/>
    <xf numFmtId="0" fontId="23" fillId="0" borderId="0" applyNumberForma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8" fillId="0" borderId="0"/>
    <xf numFmtId="164" fontId="12" fillId="0" borderId="0" applyFont="0" applyFill="0" applyBorder="0" applyAlignment="0" applyProtection="0"/>
    <xf numFmtId="0" fontId="2" fillId="0" borderId="0"/>
    <xf numFmtId="0" fontId="20" fillId="0" borderId="0">
      <alignment vertical="center"/>
    </xf>
    <xf numFmtId="0" fontId="2" fillId="0" borderId="0"/>
    <xf numFmtId="0" fontId="5" fillId="0" borderId="0" applyNumberFormat="0" applyFill="0" applyBorder="0" applyAlignment="0" applyProtection="0">
      <alignment vertical="top"/>
      <protection locked="0"/>
    </xf>
    <xf numFmtId="0" fontId="2" fillId="0" borderId="0"/>
    <xf numFmtId="165" fontId="12" fillId="0" borderId="0" applyFont="0" applyFill="0" applyBorder="0" applyAlignment="0" applyProtection="0"/>
    <xf numFmtId="0" fontId="24" fillId="9" borderId="0" applyNumberFormat="0" applyBorder="0" applyAlignment="0" applyProtection="0"/>
    <xf numFmtId="0" fontId="27" fillId="0" borderId="0">
      <alignment vertical="center"/>
    </xf>
    <xf numFmtId="1" fontId="2" fillId="0" borderId="0" applyNumberFormat="0" applyFill="0" applyBorder="0" applyAlignment="0" applyProtection="0"/>
    <xf numFmtId="0" fontId="28" fillId="0" borderId="0"/>
    <xf numFmtId="0" fontId="29" fillId="0" borderId="0"/>
    <xf numFmtId="0" fontId="27" fillId="0" borderId="0">
      <alignment vertical="center"/>
    </xf>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0" fontId="39"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cellStyleXfs>
  <cellXfs count="461">
    <xf numFmtId="0" fontId="0" fillId="0" borderId="0" xfId="0"/>
    <xf numFmtId="0" fontId="0" fillId="0" borderId="0" xfId="0" applyAlignment="1">
      <alignment horizontal="left"/>
    </xf>
    <xf numFmtId="0" fontId="1" fillId="2" borderId="0" xfId="0" applyFont="1" applyFill="1" applyAlignment="1">
      <alignment horizontal="left" vertical="top"/>
    </xf>
    <xf numFmtId="0" fontId="0" fillId="0" borderId="0" xfId="0" applyAlignment="1"/>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0" fillId="4" borderId="0" xfId="0" applyFill="1" applyAlignment="1">
      <alignment horizontal="left"/>
    </xf>
    <xf numFmtId="0" fontId="5" fillId="0" borderId="0" xfId="1"/>
    <xf numFmtId="0" fontId="0" fillId="5" borderId="0" xfId="0" applyFill="1" applyAlignment="1">
      <alignment horizontal="left"/>
    </xf>
    <xf numFmtId="0" fontId="0" fillId="10" borderId="0" xfId="0" applyFont="1" applyFill="1" applyAlignment="1">
      <alignment vertical="center"/>
    </xf>
    <xf numFmtId="0" fontId="30" fillId="4" borderId="0" xfId="0" applyFont="1" applyFill="1" applyAlignment="1">
      <alignment vertical="center"/>
    </xf>
    <xf numFmtId="0" fontId="0" fillId="6" borderId="0" xfId="0" applyFont="1" applyFill="1" applyAlignment="1">
      <alignment vertical="center"/>
    </xf>
    <xf numFmtId="0" fontId="0" fillId="12" borderId="0" xfId="0" applyFont="1" applyFill="1" applyAlignment="1">
      <alignment vertical="center"/>
    </xf>
    <xf numFmtId="0" fontId="11" fillId="0" borderId="1" xfId="0" applyFont="1" applyBorder="1" applyAlignment="1">
      <alignment vertical="center"/>
    </xf>
    <xf numFmtId="0" fontId="32" fillId="0" borderId="2" xfId="0" applyFont="1" applyBorder="1" applyAlignment="1">
      <alignment vertical="center"/>
    </xf>
    <xf numFmtId="0" fontId="32" fillId="0" borderId="3" xfId="0" applyFont="1" applyBorder="1" applyAlignment="1">
      <alignment vertical="center"/>
    </xf>
    <xf numFmtId="0" fontId="11" fillId="0" borderId="4" xfId="0" applyFont="1" applyBorder="1" applyAlignment="1">
      <alignment vertical="center"/>
    </xf>
    <xf numFmtId="0" fontId="11" fillId="10" borderId="4" xfId="0" applyFont="1" applyFill="1" applyBorder="1" applyAlignment="1">
      <alignment vertical="center"/>
    </xf>
    <xf numFmtId="0" fontId="11" fillId="6" borderId="4" xfId="0" applyFont="1" applyFill="1" applyBorder="1" applyAlignment="1">
      <alignment vertical="center"/>
    </xf>
    <xf numFmtId="0" fontId="7" fillId="10" borderId="4" xfId="0" applyFont="1" applyFill="1" applyBorder="1" applyAlignment="1">
      <alignment vertical="center"/>
    </xf>
    <xf numFmtId="0" fontId="12" fillId="0" borderId="0" xfId="0" applyFont="1" applyAlignment="1">
      <alignment vertical="center"/>
    </xf>
    <xf numFmtId="0" fontId="1" fillId="0" borderId="0" xfId="0" applyFont="1"/>
    <xf numFmtId="0" fontId="0" fillId="0" borderId="0" xfId="0" applyBorder="1" applyAlignment="1">
      <alignment horizontal="center"/>
    </xf>
    <xf numFmtId="0" fontId="0" fillId="0" borderId="0" xfId="0" applyBorder="1" applyAlignment="1">
      <alignment horizontal="left" wrapText="1"/>
    </xf>
    <xf numFmtId="0" fontId="0" fillId="0" borderId="0" xfId="0" applyBorder="1" applyAlignment="1">
      <alignment horizontal="center" vertical="center" wrapText="1"/>
    </xf>
    <xf numFmtId="0" fontId="2" fillId="0" borderId="0" xfId="0" applyFont="1" applyBorder="1" applyAlignment="1">
      <alignment horizontal="left"/>
    </xf>
    <xf numFmtId="0" fontId="0" fillId="0" borderId="0" xfId="0" applyFont="1" applyBorder="1" applyAlignment="1">
      <alignment horizontal="left"/>
    </xf>
    <xf numFmtId="0" fontId="8" fillId="0" borderId="0" xfId="0" applyFont="1" applyBorder="1" applyAlignment="1">
      <alignment horizontal="left"/>
    </xf>
    <xf numFmtId="49" fontId="0" fillId="0" borderId="0" xfId="0" applyNumberFormat="1" applyBorder="1" applyAlignment="1">
      <alignment horizontal="left"/>
    </xf>
    <xf numFmtId="49" fontId="0" fillId="0" borderId="0" xfId="0" applyNumberFormat="1" applyFont="1"/>
    <xf numFmtId="49" fontId="0" fillId="0" borderId="0" xfId="0" applyNumberFormat="1"/>
    <xf numFmtId="49" fontId="2" fillId="0" borderId="0" xfId="0" applyNumberFormat="1" applyFont="1" applyBorder="1" applyAlignment="1">
      <alignment horizontal="left"/>
    </xf>
    <xf numFmtId="49" fontId="0" fillId="0" borderId="0" xfId="0" applyNumberFormat="1" applyFont="1" applyFill="1" applyBorder="1" applyAlignment="1">
      <alignment horizontal="left"/>
    </xf>
    <xf numFmtId="49" fontId="0" fillId="0" borderId="0" xfId="0" applyNumberFormat="1" applyFill="1" applyBorder="1" applyAlignment="1">
      <alignment horizontal="left"/>
    </xf>
    <xf numFmtId="0" fontId="0" fillId="0" borderId="0" xfId="0" applyBorder="1" applyAlignment="1">
      <alignment horizontal="left"/>
    </xf>
    <xf numFmtId="0" fontId="0" fillId="0" borderId="0" xfId="0" applyFill="1" applyBorder="1" applyAlignment="1">
      <alignment horizontal="left"/>
    </xf>
    <xf numFmtId="0" fontId="0" fillId="0" borderId="5" xfId="0" applyBorder="1" applyAlignment="1">
      <alignment horizontal="center"/>
    </xf>
    <xf numFmtId="49" fontId="0" fillId="0" borderId="5" xfId="0" applyNumberFormat="1" applyBorder="1" applyAlignment="1">
      <alignment horizontal="center"/>
    </xf>
    <xf numFmtId="0" fontId="0" fillId="0" borderId="5" xfId="0" applyBorder="1" applyAlignment="1"/>
    <xf numFmtId="0" fontId="2" fillId="0" borderId="5" xfId="0" applyFont="1" applyBorder="1" applyAlignment="1"/>
    <xf numFmtId="0" fontId="0" fillId="0" borderId="5" xfId="0" applyBorder="1" applyAlignment="1">
      <alignment horizontal="center" wrapText="1"/>
    </xf>
    <xf numFmtId="0" fontId="0" fillId="0" borderId="5" xfId="0" applyFont="1" applyBorder="1" applyAlignment="1">
      <alignment horizontal="center"/>
    </xf>
    <xf numFmtId="0" fontId="0" fillId="0" borderId="5" xfId="0" applyBorder="1" applyAlignment="1">
      <alignment horizontal="left"/>
    </xf>
    <xf numFmtId="0" fontId="2" fillId="0" borderId="5" xfId="0" applyFont="1" applyBorder="1" applyAlignment="1">
      <alignment horizontal="left" wrapText="1"/>
    </xf>
    <xf numFmtId="0" fontId="0" fillId="0" borderId="5" xfId="0" applyBorder="1" applyAlignment="1">
      <alignment horizontal="left" wrapText="1"/>
    </xf>
    <xf numFmtId="0" fontId="1" fillId="2" borderId="5" xfId="0" applyFont="1" applyFill="1" applyBorder="1" applyAlignment="1">
      <alignment horizontal="center" vertical="center" wrapText="1"/>
    </xf>
    <xf numFmtId="49" fontId="1" fillId="2" borderId="5" xfId="0" applyNumberFormat="1" applyFont="1" applyFill="1" applyBorder="1" applyAlignment="1">
      <alignment horizontal="center" vertical="center" wrapText="1"/>
    </xf>
    <xf numFmtId="0" fontId="1" fillId="3"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0" fillId="10" borderId="5" xfId="0" applyFill="1" applyBorder="1" applyAlignment="1">
      <alignment horizontal="left"/>
    </xf>
    <xf numFmtId="0" fontId="0" fillId="10" borderId="5" xfId="0" applyNumberFormat="1" applyFill="1" applyBorder="1" applyAlignment="1">
      <alignment horizontal="left"/>
    </xf>
    <xf numFmtId="166" fontId="0" fillId="0" borderId="5" xfId="0" applyNumberFormat="1" applyFill="1" applyBorder="1" applyAlignment="1">
      <alignment horizontal="left"/>
    </xf>
    <xf numFmtId="166" fontId="2" fillId="0" borderId="5" xfId="0" applyNumberFormat="1" applyFont="1" applyFill="1" applyBorder="1" applyAlignment="1">
      <alignment horizontal="left"/>
    </xf>
    <xf numFmtId="166" fontId="2" fillId="6" borderId="5" xfId="0" applyNumberFormat="1" applyFont="1" applyFill="1" applyBorder="1" applyAlignment="1">
      <alignment horizontal="left"/>
    </xf>
    <xf numFmtId="166" fontId="0" fillId="0" borderId="5" xfId="0" applyNumberFormat="1" applyBorder="1" applyAlignment="1">
      <alignment horizontal="left"/>
    </xf>
    <xf numFmtId="166" fontId="2" fillId="0" borderId="5" xfId="0" applyNumberFormat="1" applyFont="1" applyBorder="1" applyAlignment="1">
      <alignment horizontal="left"/>
    </xf>
    <xf numFmtId="0" fontId="2" fillId="0" borderId="5" xfId="0" applyFont="1" applyFill="1" applyBorder="1" applyAlignment="1">
      <alignment horizontal="left"/>
    </xf>
    <xf numFmtId="0" fontId="2" fillId="0" borderId="5" xfId="0" applyFont="1" applyBorder="1" applyAlignment="1">
      <alignment horizontal="left"/>
    </xf>
    <xf numFmtId="0" fontId="13" fillId="0" borderId="5" xfId="0" applyFont="1" applyFill="1" applyBorder="1" applyAlignment="1">
      <alignment horizontal="left"/>
    </xf>
    <xf numFmtId="0" fontId="0" fillId="6" borderId="5" xfId="0" applyFill="1" applyBorder="1"/>
    <xf numFmtId="0" fontId="4" fillId="0" borderId="5" xfId="0" applyFont="1" applyFill="1" applyBorder="1" applyAlignment="1">
      <alignment horizontal="left"/>
    </xf>
    <xf numFmtId="0" fontId="0" fillId="0" borderId="5" xfId="0" applyFont="1" applyBorder="1" applyAlignment="1">
      <alignment horizontal="left"/>
    </xf>
    <xf numFmtId="0" fontId="2" fillId="6" borderId="5" xfId="0" applyFont="1" applyFill="1" applyBorder="1" applyAlignment="1">
      <alignment horizontal="left"/>
    </xf>
    <xf numFmtId="0" fontId="0" fillId="11" borderId="5" xfId="0" applyFill="1" applyBorder="1" applyAlignment="1">
      <alignment horizontal="center" wrapText="1"/>
    </xf>
    <xf numFmtId="0" fontId="2" fillId="0" borderId="5" xfId="0" applyFont="1" applyFill="1" applyBorder="1" applyAlignment="1">
      <alignment horizontal="left" wrapText="1"/>
    </xf>
    <xf numFmtId="0" fontId="2" fillId="6" borderId="5" xfId="0" applyFont="1" applyFill="1" applyBorder="1" applyAlignment="1">
      <alignment horizontal="left" wrapText="1"/>
    </xf>
    <xf numFmtId="0" fontId="6" fillId="4" borderId="5" xfId="0" applyFont="1" applyFill="1" applyBorder="1" applyAlignment="1">
      <alignment horizontal="left" wrapText="1"/>
    </xf>
    <xf numFmtId="0" fontId="0" fillId="0" borderId="5" xfId="0" applyFont="1" applyFill="1" applyBorder="1" applyAlignment="1">
      <alignment horizontal="left"/>
    </xf>
    <xf numFmtId="0" fontId="0" fillId="11" borderId="5" xfId="0" applyFill="1" applyBorder="1" applyAlignment="1">
      <alignment horizontal="center"/>
    </xf>
    <xf numFmtId="0" fontId="0" fillId="0" borderId="5" xfId="0" applyFill="1" applyBorder="1" applyAlignment="1">
      <alignment horizontal="left"/>
    </xf>
    <xf numFmtId="0" fontId="0" fillId="6" borderId="5" xfId="0" applyFill="1" applyBorder="1" applyAlignment="1">
      <alignment horizontal="left" wrapText="1"/>
    </xf>
    <xf numFmtId="0" fontId="0" fillId="0" borderId="5" xfId="0" applyFill="1" applyBorder="1" applyAlignment="1">
      <alignment horizontal="left" wrapText="1"/>
    </xf>
    <xf numFmtId="0" fontId="13" fillId="0" borderId="5" xfId="0" applyFont="1" applyBorder="1" applyAlignment="1">
      <alignment horizontal="left" wrapText="1"/>
    </xf>
    <xf numFmtId="0" fontId="2" fillId="0" borderId="5" xfId="0" applyFont="1" applyBorder="1" applyAlignment="1">
      <alignment wrapText="1"/>
    </xf>
    <xf numFmtId="0" fontId="0" fillId="6" borderId="5" xfId="0" applyFont="1" applyFill="1" applyBorder="1" applyAlignment="1">
      <alignment horizontal="left"/>
    </xf>
    <xf numFmtId="0" fontId="2" fillId="0" borderId="5" xfId="0" applyFont="1" applyFill="1" applyBorder="1" applyAlignment="1"/>
    <xf numFmtId="166" fontId="2" fillId="16" borderId="5" xfId="0" applyNumberFormat="1" applyFont="1" applyFill="1" applyBorder="1" applyAlignment="1">
      <alignment horizontal="left"/>
    </xf>
    <xf numFmtId="0" fontId="2" fillId="6" borderId="5" xfId="30" applyFont="1" applyFill="1" applyBorder="1" applyAlignment="1">
      <alignment horizontal="left"/>
    </xf>
    <xf numFmtId="166" fontId="0" fillId="0" borderId="5" xfId="0" applyNumberFormat="1" applyFont="1" applyFill="1" applyBorder="1" applyAlignment="1">
      <alignment horizontal="left"/>
    </xf>
    <xf numFmtId="49" fontId="0" fillId="10" borderId="5" xfId="0" applyNumberFormat="1" applyFill="1" applyBorder="1" applyAlignment="1">
      <alignment horizontal="left"/>
    </xf>
    <xf numFmtId="0" fontId="8" fillId="10" borderId="5" xfId="0" applyFont="1" applyFill="1" applyBorder="1" applyAlignment="1">
      <alignment horizontal="left"/>
    </xf>
    <xf numFmtId="49" fontId="8" fillId="10" borderId="5" xfId="0" applyNumberFormat="1" applyFont="1" applyFill="1" applyBorder="1" applyAlignment="1">
      <alignment horizontal="left"/>
    </xf>
    <xf numFmtId="166" fontId="8" fillId="12" borderId="5" xfId="0" applyNumberFormat="1" applyFont="1" applyFill="1" applyBorder="1" applyAlignment="1">
      <alignment horizontal="left"/>
    </xf>
    <xf numFmtId="166" fontId="9" fillId="12" borderId="5" xfId="0" applyNumberFormat="1" applyFont="1" applyFill="1" applyBorder="1" applyAlignment="1">
      <alignment horizontal="left"/>
    </xf>
    <xf numFmtId="0" fontId="8" fillId="12" borderId="5" xfId="0" applyFont="1" applyFill="1" applyBorder="1" applyAlignment="1">
      <alignment horizontal="left"/>
    </xf>
    <xf numFmtId="0" fontId="9" fillId="12" borderId="5" xfId="0" applyFont="1" applyFill="1" applyBorder="1" applyAlignment="1">
      <alignment horizontal="left"/>
    </xf>
    <xf numFmtId="0" fontId="9" fillId="12" borderId="5" xfId="0" applyFont="1" applyFill="1" applyBorder="1" applyAlignment="1">
      <alignment wrapText="1"/>
    </xf>
    <xf numFmtId="0" fontId="9" fillId="12" borderId="5" xfId="0" applyFont="1" applyFill="1" applyBorder="1" applyAlignment="1">
      <alignment horizontal="left" wrapText="1"/>
    </xf>
    <xf numFmtId="0" fontId="10" fillId="12" borderId="5" xfId="0" applyFont="1" applyFill="1" applyBorder="1" applyAlignment="1">
      <alignment horizontal="left"/>
    </xf>
    <xf numFmtId="0" fontId="8" fillId="12" borderId="5" xfId="0" applyFont="1" applyFill="1" applyBorder="1" applyAlignment="1">
      <alignment horizontal="center"/>
    </xf>
    <xf numFmtId="0" fontId="0" fillId="0" borderId="5" xfId="0" applyBorder="1" applyAlignment="1">
      <alignment vertical="center"/>
    </xf>
    <xf numFmtId="0" fontId="0" fillId="11" borderId="5" xfId="0" applyFill="1" applyBorder="1" applyAlignment="1">
      <alignment horizontal="center" vertical="center" wrapText="1"/>
    </xf>
    <xf numFmtId="0" fontId="0" fillId="6" borderId="5" xfId="0" applyFill="1" applyBorder="1" applyAlignment="1">
      <alignment horizontal="left"/>
    </xf>
    <xf numFmtId="0" fontId="9" fillId="12" borderId="5" xfId="0" applyFont="1" applyFill="1" applyBorder="1" applyAlignment="1"/>
    <xf numFmtId="0" fontId="0" fillId="0" borderId="5" xfId="0" applyFill="1" applyBorder="1" applyAlignment="1">
      <alignment horizontal="center"/>
    </xf>
    <xf numFmtId="0" fontId="0" fillId="6" borderId="5" xfId="0" applyFont="1" applyFill="1" applyBorder="1" applyAlignment="1">
      <alignment horizontal="left" wrapText="1"/>
    </xf>
    <xf numFmtId="0" fontId="8" fillId="12" borderId="5" xfId="0" applyFont="1" applyFill="1" applyBorder="1" applyAlignment="1">
      <alignment horizontal="center" wrapText="1"/>
    </xf>
    <xf numFmtId="0" fontId="9" fillId="12" borderId="5" xfId="30" applyFont="1" applyFill="1" applyBorder="1" applyAlignment="1">
      <alignment horizontal="left"/>
    </xf>
    <xf numFmtId="0" fontId="2" fillId="6" borderId="5" xfId="0" applyFont="1" applyFill="1" applyBorder="1" applyAlignment="1"/>
    <xf numFmtId="0" fontId="6" fillId="6" borderId="5" xfId="30" applyFont="1" applyFill="1" applyBorder="1" applyAlignment="1">
      <alignment horizontal="left" wrapText="1"/>
    </xf>
    <xf numFmtId="0" fontId="2" fillId="6" borderId="5" xfId="0" applyFont="1" applyFill="1" applyBorder="1" applyAlignment="1">
      <alignment wrapText="1"/>
    </xf>
    <xf numFmtId="0" fontId="13" fillId="6" borderId="5" xfId="0" applyFont="1" applyFill="1" applyBorder="1" applyAlignment="1">
      <alignment horizontal="left" wrapText="1"/>
    </xf>
    <xf numFmtId="0" fontId="4" fillId="6" borderId="5" xfId="0" applyFont="1" applyFill="1" applyBorder="1" applyAlignment="1">
      <alignment horizontal="left"/>
    </xf>
    <xf numFmtId="0" fontId="0" fillId="6" borderId="5" xfId="0" applyFill="1" applyBorder="1" applyAlignment="1">
      <alignment horizontal="center" wrapText="1"/>
    </xf>
    <xf numFmtId="0" fontId="14" fillId="12" borderId="5" xfId="0" applyFont="1" applyFill="1" applyBorder="1" applyAlignment="1">
      <alignment horizontal="left" wrapText="1"/>
    </xf>
    <xf numFmtId="0" fontId="0" fillId="12" borderId="5" xfId="0" applyFill="1" applyBorder="1" applyAlignment="1">
      <alignment horizontal="center"/>
    </xf>
    <xf numFmtId="0" fontId="13" fillId="0" borderId="5" xfId="0" applyFont="1" applyBorder="1" applyAlignment="1">
      <alignment horizontal="left"/>
    </xf>
    <xf numFmtId="0" fontId="4" fillId="0" borderId="5" xfId="0" applyFont="1" applyBorder="1" applyAlignment="1">
      <alignment horizontal="left"/>
    </xf>
    <xf numFmtId="0" fontId="2" fillId="0" borderId="5" xfId="0" applyFont="1" applyFill="1" applyBorder="1" applyAlignment="1">
      <alignment wrapText="1"/>
    </xf>
    <xf numFmtId="0" fontId="13" fillId="0" borderId="5" xfId="0" applyFont="1" applyFill="1" applyBorder="1" applyAlignment="1">
      <alignment horizontal="left" wrapText="1"/>
    </xf>
    <xf numFmtId="166" fontId="0" fillId="6" borderId="5" xfId="0" applyNumberFormat="1" applyFill="1" applyBorder="1" applyAlignment="1">
      <alignment horizontal="left"/>
    </xf>
    <xf numFmtId="0" fontId="11" fillId="0" borderId="5" xfId="0" applyFont="1" applyFill="1" applyBorder="1"/>
    <xf numFmtId="0" fontId="0" fillId="0" borderId="5" xfId="0" applyFill="1" applyBorder="1"/>
    <xf numFmtId="166" fontId="2" fillId="15" borderId="5" xfId="0" applyNumberFormat="1" applyFont="1" applyFill="1" applyBorder="1" applyAlignment="1">
      <alignment horizontal="left"/>
    </xf>
    <xf numFmtId="0" fontId="2" fillId="0" borderId="5" xfId="30" applyFont="1" applyFill="1" applyBorder="1" applyAlignment="1">
      <alignment horizontal="left"/>
    </xf>
    <xf numFmtId="166" fontId="2" fillId="0" borderId="5" xfId="30" applyNumberFormat="1" applyFont="1" applyFill="1" applyBorder="1" applyAlignment="1">
      <alignment horizontal="left"/>
    </xf>
    <xf numFmtId="0" fontId="2" fillId="18" borderId="5" xfId="30" applyFont="1" applyFill="1" applyBorder="1" applyAlignment="1">
      <alignment horizontal="left"/>
    </xf>
    <xf numFmtId="0" fontId="2" fillId="0" borderId="5" xfId="30" applyFont="1" applyFill="1" applyBorder="1" applyAlignment="1"/>
    <xf numFmtId="0" fontId="2" fillId="0" borderId="5" xfId="30" applyFont="1" applyFill="1" applyBorder="1" applyAlignment="1">
      <alignment horizontal="left" wrapText="1"/>
    </xf>
    <xf numFmtId="0" fontId="13" fillId="0" borderId="5" xfId="30" applyFont="1" applyFill="1" applyBorder="1" applyAlignment="1">
      <alignment horizontal="left" wrapText="1"/>
    </xf>
    <xf numFmtId="0" fontId="0" fillId="4" borderId="5" xfId="0" applyFill="1" applyBorder="1" applyAlignment="1">
      <alignment horizontal="left" wrapText="1"/>
    </xf>
    <xf numFmtId="0" fontId="2" fillId="0" borderId="5" xfId="30" applyFont="1" applyFill="1" applyBorder="1" applyAlignment="1">
      <alignment wrapText="1"/>
    </xf>
    <xf numFmtId="0" fontId="0" fillId="0" borderId="5" xfId="30" applyFont="1" applyFill="1" applyBorder="1" applyAlignment="1">
      <alignment horizontal="left"/>
    </xf>
    <xf numFmtId="0" fontId="2" fillId="0" borderId="5" xfId="0" applyFont="1" applyFill="1" applyBorder="1" applyAlignment="1">
      <alignment horizontal="center"/>
    </xf>
    <xf numFmtId="0" fontId="2" fillId="11" borderId="5" xfId="0" applyFont="1" applyFill="1" applyBorder="1" applyAlignment="1">
      <alignment horizontal="center"/>
    </xf>
    <xf numFmtId="166" fontId="2" fillId="6" borderId="5" xfId="30" applyNumberFormat="1" applyFont="1" applyFill="1" applyBorder="1" applyAlignment="1">
      <alignment horizontal="left"/>
    </xf>
    <xf numFmtId="0" fontId="2" fillId="11" borderId="5" xfId="0" applyFont="1" applyFill="1" applyBorder="1" applyAlignment="1">
      <alignment horizontal="center" wrapText="1"/>
    </xf>
    <xf numFmtId="0" fontId="0" fillId="6" borderId="5" xfId="30" applyFont="1" applyFill="1" applyBorder="1" applyAlignment="1">
      <alignment horizontal="left"/>
    </xf>
    <xf numFmtId="0" fontId="2" fillId="0" borderId="5" xfId="0" applyFont="1" applyFill="1" applyBorder="1"/>
    <xf numFmtId="0" fontId="2" fillId="6" borderId="5" xfId="0" applyFont="1" applyFill="1" applyBorder="1" applyAlignment="1">
      <alignment horizontal="center" wrapText="1"/>
    </xf>
    <xf numFmtId="0" fontId="2" fillId="13" borderId="5" xfId="30" applyFont="1" applyFill="1" applyBorder="1" applyAlignment="1">
      <alignment horizontal="left"/>
    </xf>
    <xf numFmtId="0" fontId="0" fillId="13" borderId="5" xfId="0" applyFill="1" applyBorder="1" applyAlignment="1">
      <alignment horizontal="left" wrapText="1"/>
    </xf>
    <xf numFmtId="0" fontId="0" fillId="6" borderId="5" xfId="0" applyFill="1" applyBorder="1" applyAlignment="1">
      <alignment horizontal="center"/>
    </xf>
    <xf numFmtId="0" fontId="2" fillId="6" borderId="5" xfId="30" applyFont="1" applyFill="1" applyBorder="1" applyAlignment="1">
      <alignment horizontal="left" wrapText="1"/>
    </xf>
    <xf numFmtId="0" fontId="4" fillId="0" borderId="5" xfId="0" applyFont="1" applyFill="1" applyBorder="1" applyAlignment="1">
      <alignment horizontal="left" wrapText="1"/>
    </xf>
    <xf numFmtId="0" fontId="0" fillId="0" borderId="5" xfId="0" applyFill="1" applyBorder="1" applyAlignment="1">
      <alignment horizontal="center" wrapText="1"/>
    </xf>
    <xf numFmtId="166" fontId="9" fillId="12" borderId="5" xfId="30" applyNumberFormat="1" applyFont="1" applyFill="1" applyBorder="1" applyAlignment="1">
      <alignment horizontal="left"/>
    </xf>
    <xf numFmtId="0" fontId="10" fillId="12" borderId="5" xfId="0" applyFont="1" applyFill="1" applyBorder="1" applyAlignment="1">
      <alignment horizontal="left" wrapText="1"/>
    </xf>
    <xf numFmtId="0" fontId="8" fillId="12" borderId="5" xfId="30" applyFont="1" applyFill="1" applyBorder="1" applyAlignment="1">
      <alignment horizontal="left"/>
    </xf>
    <xf numFmtId="0" fontId="0" fillId="13" borderId="5" xfId="0" applyFill="1" applyBorder="1" applyAlignment="1">
      <alignment horizontal="left"/>
    </xf>
    <xf numFmtId="166" fontId="2" fillId="13" borderId="5" xfId="0" applyNumberFormat="1" applyFont="1" applyFill="1" applyBorder="1" applyAlignment="1">
      <alignment horizontal="left"/>
    </xf>
    <xf numFmtId="166" fontId="2" fillId="13" borderId="5" xfId="30" applyNumberFormat="1" applyFont="1" applyFill="1" applyBorder="1" applyAlignment="1">
      <alignment horizontal="left"/>
    </xf>
    <xf numFmtId="0" fontId="2" fillId="13" borderId="5" xfId="0" applyFont="1" applyFill="1" applyBorder="1" applyAlignment="1"/>
    <xf numFmtId="0" fontId="2" fillId="13" borderId="5" xfId="0" applyFont="1" applyFill="1" applyBorder="1" applyAlignment="1">
      <alignment horizontal="left"/>
    </xf>
    <xf numFmtId="0" fontId="0" fillId="13" borderId="5" xfId="30" applyFont="1" applyFill="1" applyBorder="1" applyAlignment="1">
      <alignment horizontal="left"/>
    </xf>
    <xf numFmtId="0" fontId="9" fillId="12" borderId="5" xfId="30" applyFont="1" applyFill="1" applyBorder="1" applyAlignment="1"/>
    <xf numFmtId="0" fontId="9" fillId="12" borderId="5" xfId="30" applyFont="1" applyFill="1" applyBorder="1" applyAlignment="1">
      <alignment horizontal="left" wrapText="1"/>
    </xf>
    <xf numFmtId="0" fontId="2" fillId="13" borderId="5" xfId="30" applyFont="1" applyFill="1" applyBorder="1" applyAlignment="1"/>
    <xf numFmtId="0" fontId="2" fillId="13" borderId="5" xfId="0" applyFont="1" applyFill="1" applyBorder="1" applyAlignment="1">
      <alignment horizontal="left" wrapText="1"/>
    </xf>
    <xf numFmtId="166" fontId="0" fillId="13" borderId="5" xfId="0" applyNumberFormat="1" applyFill="1" applyBorder="1" applyAlignment="1">
      <alignment horizontal="left"/>
    </xf>
    <xf numFmtId="0" fontId="0" fillId="13" borderId="5" xfId="0" applyFont="1" applyFill="1" applyBorder="1" applyAlignment="1">
      <alignment horizontal="left"/>
    </xf>
    <xf numFmtId="0" fontId="2" fillId="13" borderId="5" xfId="30" applyFont="1" applyFill="1" applyBorder="1" applyAlignment="1">
      <alignment wrapText="1"/>
    </xf>
    <xf numFmtId="0" fontId="2" fillId="6" borderId="5" xfId="0" applyFont="1" applyFill="1" applyBorder="1" applyAlignment="1">
      <alignment horizontal="center"/>
    </xf>
    <xf numFmtId="0" fontId="2" fillId="6" borderId="5" xfId="0" applyFont="1" applyFill="1" applyBorder="1"/>
    <xf numFmtId="0" fontId="2" fillId="4" borderId="5" xfId="0" applyFont="1" applyFill="1" applyBorder="1" applyAlignment="1">
      <alignment horizontal="left"/>
    </xf>
    <xf numFmtId="0" fontId="13" fillId="6" borderId="5" xfId="30" applyFont="1" applyFill="1" applyBorder="1" applyAlignment="1">
      <alignment horizontal="left" wrapText="1"/>
    </xf>
    <xf numFmtId="0" fontId="2" fillId="6" borderId="5" xfId="30" applyFont="1" applyFill="1" applyBorder="1" applyAlignment="1"/>
    <xf numFmtId="0" fontId="4" fillId="6" borderId="5" xfId="0" applyFont="1" applyFill="1" applyBorder="1" applyAlignment="1">
      <alignment horizontal="left" wrapText="1"/>
    </xf>
    <xf numFmtId="0" fontId="0" fillId="10" borderId="5" xfId="0" applyFont="1" applyFill="1" applyBorder="1" applyAlignment="1">
      <alignment horizontal="left"/>
    </xf>
    <xf numFmtId="0" fontId="0" fillId="4" borderId="5" xfId="0" applyFont="1" applyFill="1" applyBorder="1" applyAlignment="1">
      <alignment horizontal="left" wrapText="1"/>
    </xf>
    <xf numFmtId="0" fontId="2" fillId="4" borderId="5" xfId="0" applyFont="1" applyFill="1" applyBorder="1" applyAlignment="1">
      <alignment horizontal="left" wrapText="1"/>
    </xf>
    <xf numFmtId="0" fontId="2" fillId="4" borderId="5" xfId="30" applyFont="1" applyFill="1" applyBorder="1" applyAlignment="1">
      <alignment horizontal="left"/>
    </xf>
    <xf numFmtId="0" fontId="12" fillId="4" borderId="5" xfId="30" applyFont="1" applyFill="1" applyBorder="1" applyAlignment="1">
      <alignment horizontal="left"/>
    </xf>
    <xf numFmtId="0" fontId="2" fillId="6" borderId="5" xfId="30" applyFont="1" applyFill="1" applyBorder="1" applyAlignment="1">
      <alignment wrapText="1"/>
    </xf>
    <xf numFmtId="166" fontId="2" fillId="4" borderId="5" xfId="0" applyNumberFormat="1" applyFont="1" applyFill="1" applyBorder="1" applyAlignment="1">
      <alignment horizontal="left"/>
    </xf>
    <xf numFmtId="166" fontId="2" fillId="19" borderId="5" xfId="0" applyNumberFormat="1" applyFont="1" applyFill="1" applyBorder="1" applyAlignment="1">
      <alignment horizontal="left"/>
    </xf>
    <xf numFmtId="166" fontId="0" fillId="6" borderId="5" xfId="0" applyNumberFormat="1" applyFont="1" applyFill="1" applyBorder="1" applyAlignment="1">
      <alignment horizontal="left"/>
    </xf>
    <xf numFmtId="166" fontId="2" fillId="20" borderId="5" xfId="0" applyNumberFormat="1" applyFont="1" applyFill="1" applyBorder="1" applyAlignment="1">
      <alignment horizontal="left"/>
    </xf>
    <xf numFmtId="0" fontId="11" fillId="6" borderId="5" xfId="0" applyFont="1" applyFill="1" applyBorder="1" applyAlignment="1">
      <alignment horizontal="left"/>
    </xf>
    <xf numFmtId="0" fontId="0" fillId="6" borderId="5" xfId="0" applyFont="1" applyFill="1" applyBorder="1" applyAlignment="1" applyProtection="1">
      <alignment horizontal="left" wrapText="1"/>
      <protection locked="0"/>
    </xf>
    <xf numFmtId="0" fontId="6" fillId="6" borderId="5" xfId="0" applyFont="1" applyFill="1" applyBorder="1" applyAlignment="1">
      <alignment horizontal="left" wrapText="1"/>
    </xf>
    <xf numFmtId="0" fontId="6" fillId="6" borderId="5" xfId="0" applyFont="1" applyFill="1" applyBorder="1" applyAlignment="1">
      <alignment wrapText="1"/>
    </xf>
    <xf numFmtId="0" fontId="6" fillId="6" borderId="5" xfId="30" applyFont="1" applyFill="1" applyBorder="1" applyAlignment="1">
      <alignment wrapText="1"/>
    </xf>
    <xf numFmtId="0" fontId="6" fillId="6" borderId="5" xfId="0" applyFont="1" applyFill="1" applyBorder="1" applyAlignment="1"/>
    <xf numFmtId="0" fontId="0" fillId="4" borderId="5" xfId="0" applyFill="1" applyBorder="1" applyAlignment="1">
      <alignment horizontal="left"/>
    </xf>
    <xf numFmtId="166" fontId="2" fillId="21" borderId="5" xfId="0" applyNumberFormat="1" applyFont="1" applyFill="1" applyBorder="1" applyAlignment="1">
      <alignment horizontal="left"/>
    </xf>
    <xf numFmtId="166" fontId="2" fillId="22" borderId="5" xfId="0" applyNumberFormat="1" applyFont="1" applyFill="1" applyBorder="1" applyAlignment="1">
      <alignment horizontal="left"/>
    </xf>
    <xf numFmtId="0" fontId="3" fillId="12" borderId="5" xfId="0" applyFont="1" applyFill="1" applyBorder="1" applyAlignment="1">
      <alignment horizontal="center" vertical="center" wrapText="1"/>
    </xf>
    <xf numFmtId="0" fontId="0" fillId="11" borderId="0" xfId="0" applyFill="1" applyAlignment="1">
      <alignment horizontal="center" wrapText="1"/>
    </xf>
    <xf numFmtId="0" fontId="1" fillId="14" borderId="5" xfId="0" applyFont="1" applyFill="1" applyBorder="1" applyAlignment="1">
      <alignment horizontal="center" vertical="center" wrapText="1"/>
    </xf>
    <xf numFmtId="0" fontId="2" fillId="4" borderId="5" xfId="0" applyFont="1" applyFill="1" applyBorder="1"/>
    <xf numFmtId="0" fontId="0" fillId="23" borderId="0" xfId="0" applyFill="1" applyAlignment="1">
      <alignment horizontal="center"/>
    </xf>
    <xf numFmtId="0" fontId="3" fillId="0" borderId="0" xfId="0" applyFont="1" applyBorder="1" applyAlignment="1">
      <alignment horizontal="left"/>
    </xf>
    <xf numFmtId="0" fontId="0" fillId="24" borderId="0" xfId="0" applyFill="1" applyAlignment="1">
      <alignment horizontal="center" wrapText="1"/>
    </xf>
    <xf numFmtId="0" fontId="3" fillId="2" borderId="5" xfId="0" applyFont="1" applyFill="1" applyBorder="1" applyAlignment="1">
      <alignment horizontal="left" vertical="center" wrapText="1"/>
    </xf>
    <xf numFmtId="0" fontId="36" fillId="3" borderId="5" xfId="0" applyFont="1" applyFill="1" applyBorder="1" applyAlignment="1">
      <alignment horizontal="center" vertical="center" wrapText="1"/>
    </xf>
    <xf numFmtId="0" fontId="37" fillId="0" borderId="0" xfId="0" applyFont="1" applyAlignment="1">
      <alignment horizontal="center"/>
    </xf>
    <xf numFmtId="0" fontId="37" fillId="4" borderId="0" xfId="0" applyFont="1" applyFill="1" applyAlignment="1">
      <alignment horizontal="center"/>
    </xf>
    <xf numFmtId="0" fontId="2" fillId="4" borderId="5" xfId="30" applyFont="1" applyFill="1" applyBorder="1" applyAlignment="1"/>
    <xf numFmtId="166" fontId="0" fillId="4" borderId="5" xfId="0" applyNumberFormat="1" applyFill="1" applyBorder="1" applyAlignment="1">
      <alignment horizontal="left"/>
    </xf>
    <xf numFmtId="0" fontId="2" fillId="25" borderId="5" xfId="30" applyFont="1" applyFill="1" applyBorder="1" applyAlignment="1">
      <alignment horizontal="left"/>
    </xf>
    <xf numFmtId="0" fontId="0" fillId="12" borderId="5" xfId="0" applyFont="1" applyFill="1" applyBorder="1" applyAlignment="1">
      <alignment horizontal="left"/>
    </xf>
    <xf numFmtId="14" fontId="2" fillId="6" borderId="5" xfId="0" applyNumberFormat="1" applyFont="1" applyFill="1" applyBorder="1" applyAlignment="1">
      <alignment horizontal="left" wrapText="1"/>
    </xf>
    <xf numFmtId="166" fontId="0" fillId="26" borderId="5" xfId="0" applyNumberFormat="1" applyFont="1" applyFill="1" applyBorder="1" applyAlignment="1">
      <alignment horizontal="left"/>
    </xf>
    <xf numFmtId="166" fontId="2" fillId="26" borderId="5" xfId="0" applyNumberFormat="1" applyFont="1" applyFill="1" applyBorder="1" applyAlignment="1">
      <alignment horizontal="left"/>
    </xf>
    <xf numFmtId="166" fontId="2" fillId="26" borderId="5" xfId="0" applyNumberFormat="1" applyFont="1" applyFill="1" applyBorder="1" applyAlignment="1">
      <alignment horizontal="left" wrapText="1"/>
    </xf>
    <xf numFmtId="0" fontId="2" fillId="26" borderId="5" xfId="0" applyFont="1" applyFill="1" applyBorder="1" applyAlignment="1">
      <alignment horizontal="left"/>
    </xf>
    <xf numFmtId="0" fontId="0" fillId="26" borderId="5" xfId="0" applyFill="1" applyBorder="1" applyAlignment="1">
      <alignment horizontal="left"/>
    </xf>
    <xf numFmtId="0" fontId="2" fillId="26" borderId="5" xfId="0" applyFont="1" applyFill="1" applyBorder="1" applyAlignment="1">
      <alignment wrapText="1"/>
    </xf>
    <xf numFmtId="0" fontId="13" fillId="26" borderId="5" xfId="0" applyFont="1" applyFill="1" applyBorder="1" applyAlignment="1">
      <alignment horizontal="left" wrapText="1"/>
    </xf>
    <xf numFmtId="0" fontId="4" fillId="26" borderId="5" xfId="0" applyFont="1" applyFill="1" applyBorder="1" applyAlignment="1">
      <alignment horizontal="left"/>
    </xf>
    <xf numFmtId="0" fontId="0" fillId="26" borderId="5" xfId="0" applyFont="1" applyFill="1" applyBorder="1" applyAlignment="1">
      <alignment horizontal="left"/>
    </xf>
    <xf numFmtId="0" fontId="0" fillId="26" borderId="5" xfId="0" applyFont="1" applyFill="1" applyBorder="1" applyAlignment="1">
      <alignment horizontal="left" wrapText="1"/>
    </xf>
    <xf numFmtId="0" fontId="6" fillId="26" borderId="5" xfId="30" applyFont="1" applyFill="1" applyBorder="1" applyAlignment="1">
      <alignment horizontal="left" wrapText="1"/>
    </xf>
    <xf numFmtId="0" fontId="0" fillId="26" borderId="5" xfId="0" applyFill="1" applyBorder="1" applyAlignment="1">
      <alignment horizontal="center"/>
    </xf>
    <xf numFmtId="0" fontId="2" fillId="26" borderId="5" xfId="0" applyFont="1" applyFill="1" applyBorder="1" applyAlignment="1">
      <alignment horizontal="left" wrapText="1"/>
    </xf>
    <xf numFmtId="0" fontId="0" fillId="26" borderId="5" xfId="0" applyFill="1" applyBorder="1" applyAlignment="1">
      <alignment horizontal="center" vertical="center" wrapText="1"/>
    </xf>
    <xf numFmtId="0" fontId="0" fillId="26" borderId="5" xfId="0" applyFill="1" applyBorder="1" applyAlignment="1">
      <alignment horizontal="left" wrapText="1"/>
    </xf>
    <xf numFmtId="0" fontId="0" fillId="26" borderId="0" xfId="0" applyFill="1"/>
    <xf numFmtId="0" fontId="0" fillId="27" borderId="0" xfId="0" applyFill="1"/>
    <xf numFmtId="49" fontId="0" fillId="0" borderId="5" xfId="0" applyNumberFormat="1" applyBorder="1" applyAlignment="1">
      <alignment horizontal="left"/>
    </xf>
    <xf numFmtId="49" fontId="1" fillId="3" borderId="5" xfId="0" applyNumberFormat="1" applyFont="1" applyFill="1" applyBorder="1" applyAlignment="1">
      <alignment horizontal="center" vertical="center" wrapText="1"/>
    </xf>
    <xf numFmtId="49" fontId="2" fillId="0" borderId="5" xfId="0" applyNumberFormat="1" applyFont="1" applyFill="1" applyBorder="1" applyAlignment="1">
      <alignment horizontal="left" wrapText="1"/>
    </xf>
    <xf numFmtId="49" fontId="0" fillId="0" borderId="5" xfId="0" applyNumberFormat="1" applyFont="1" applyFill="1" applyBorder="1" applyAlignment="1">
      <alignment horizontal="left" wrapText="1"/>
    </xf>
    <xf numFmtId="49" fontId="0" fillId="0" borderId="5" xfId="0" applyNumberFormat="1" applyFill="1" applyBorder="1" applyAlignment="1">
      <alignment horizontal="left"/>
    </xf>
    <xf numFmtId="49" fontId="0" fillId="0" borderId="5" xfId="0" applyNumberFormat="1" applyFill="1" applyBorder="1" applyAlignment="1">
      <alignment horizontal="left" wrapText="1"/>
    </xf>
    <xf numFmtId="49" fontId="0" fillId="0" borderId="5" xfId="0" applyNumberFormat="1" applyBorder="1" applyAlignment="1">
      <alignment horizontal="left" wrapText="1"/>
    </xf>
    <xf numFmtId="49" fontId="2" fillId="26" borderId="5" xfId="0" applyNumberFormat="1" applyFont="1" applyFill="1" applyBorder="1" applyAlignment="1">
      <alignment horizontal="left" wrapText="1"/>
    </xf>
    <xf numFmtId="49" fontId="0" fillId="26" borderId="5" xfId="0" applyNumberFormat="1" applyFont="1" applyFill="1" applyBorder="1" applyAlignment="1">
      <alignment horizontal="left" wrapText="1"/>
    </xf>
    <xf numFmtId="49" fontId="8" fillId="12" borderId="5" xfId="0" applyNumberFormat="1" applyFont="1" applyFill="1" applyBorder="1" applyAlignment="1">
      <alignment horizontal="left"/>
    </xf>
    <xf numFmtId="49" fontId="0" fillId="26" borderId="5" xfId="0" applyNumberFormat="1" applyFill="1" applyBorder="1" applyAlignment="1">
      <alignment horizontal="left" wrapText="1"/>
    </xf>
    <xf numFmtId="49" fontId="8" fillId="12" borderId="5" xfId="0" applyNumberFormat="1" applyFont="1" applyFill="1" applyBorder="1" applyAlignment="1">
      <alignment horizontal="left" wrapText="1"/>
    </xf>
    <xf numFmtId="49" fontId="0" fillId="6" borderId="5" xfId="0" applyNumberFormat="1" applyFill="1" applyBorder="1" applyAlignment="1">
      <alignment horizontal="left" wrapText="1"/>
    </xf>
    <xf numFmtId="49" fontId="2" fillId="0" borderId="5" xfId="0" applyNumberFormat="1" applyFont="1" applyFill="1" applyBorder="1" applyAlignment="1">
      <alignment horizontal="left"/>
    </xf>
    <xf numFmtId="49" fontId="2" fillId="6" borderId="5" xfId="0" applyNumberFormat="1" applyFont="1" applyFill="1" applyBorder="1" applyAlignment="1">
      <alignment horizontal="left" wrapText="1"/>
    </xf>
    <xf numFmtId="49" fontId="0" fillId="0" borderId="5" xfId="0" applyNumberFormat="1" applyFill="1" applyBorder="1"/>
    <xf numFmtId="49" fontId="0" fillId="13" borderId="5" xfId="0" applyNumberFormat="1" applyFont="1" applyFill="1" applyBorder="1" applyAlignment="1">
      <alignment horizontal="left" wrapText="1"/>
    </xf>
    <xf numFmtId="49" fontId="0" fillId="6" borderId="5" xfId="0" applyNumberFormat="1" applyFont="1" applyFill="1" applyBorder="1" applyAlignment="1">
      <alignment horizontal="left" wrapText="1"/>
    </xf>
    <xf numFmtId="49" fontId="0" fillId="0" borderId="5" xfId="0" applyNumberFormat="1" applyFont="1" applyFill="1" applyBorder="1" applyAlignment="1">
      <alignment horizontal="left"/>
    </xf>
    <xf numFmtId="49" fontId="0" fillId="13" borderId="5" xfId="0" applyNumberFormat="1" applyFont="1" applyFill="1" applyBorder="1" applyAlignment="1">
      <alignment horizontal="left"/>
    </xf>
    <xf numFmtId="49" fontId="8" fillId="12" borderId="5" xfId="0" applyNumberFormat="1" applyFont="1" applyFill="1" applyBorder="1" applyAlignment="1">
      <alignment wrapText="1"/>
    </xf>
    <xf numFmtId="49" fontId="0" fillId="6" borderId="5" xfId="0" applyNumberFormat="1" applyFont="1" applyFill="1" applyBorder="1" applyAlignment="1">
      <alignment wrapText="1"/>
    </xf>
    <xf numFmtId="49" fontId="0" fillId="6" borderId="5" xfId="0" applyNumberFormat="1" applyFont="1" applyFill="1" applyBorder="1"/>
    <xf numFmtId="49" fontId="0" fillId="6" borderId="5" xfId="0" applyNumberFormat="1" applyFont="1" applyFill="1" applyBorder="1" applyAlignment="1">
      <alignment horizontal="left"/>
    </xf>
    <xf numFmtId="49" fontId="6" fillId="6" borderId="5" xfId="0" applyNumberFormat="1" applyFont="1" applyFill="1" applyBorder="1" applyAlignment="1">
      <alignment horizontal="left"/>
    </xf>
    <xf numFmtId="0" fontId="4" fillId="6" borderId="5" xfId="30" applyFont="1" applyFill="1" applyBorder="1" applyAlignment="1">
      <alignment horizontal="left"/>
    </xf>
    <xf numFmtId="0" fontId="6" fillId="6" borderId="5" xfId="0" applyFont="1" applyFill="1" applyBorder="1" applyAlignment="1">
      <alignment horizontal="left"/>
    </xf>
    <xf numFmtId="0" fontId="6" fillId="6" borderId="5" xfId="30" applyFont="1" applyFill="1" applyBorder="1" applyAlignment="1">
      <alignment horizontal="left"/>
    </xf>
    <xf numFmtId="0" fontId="4" fillId="26" borderId="5" xfId="30" applyFont="1" applyFill="1" applyBorder="1" applyAlignment="1">
      <alignment horizontal="left"/>
    </xf>
    <xf numFmtId="166" fontId="4" fillId="26" borderId="5" xfId="0" applyNumberFormat="1" applyFont="1" applyFill="1" applyBorder="1" applyAlignment="1">
      <alignment horizontal="left"/>
    </xf>
    <xf numFmtId="0" fontId="2" fillId="12" borderId="5" xfId="0" applyFont="1" applyFill="1" applyBorder="1" applyAlignment="1">
      <alignment horizontal="left" wrapText="1"/>
    </xf>
    <xf numFmtId="0" fontId="2" fillId="12" borderId="5" xfId="30" applyFont="1" applyFill="1" applyBorder="1" applyAlignment="1">
      <alignment horizontal="left" wrapText="1"/>
    </xf>
    <xf numFmtId="0" fontId="0" fillId="12" borderId="5" xfId="0" applyFont="1" applyFill="1" applyBorder="1" applyAlignment="1">
      <alignment horizontal="left" wrapText="1"/>
    </xf>
    <xf numFmtId="0" fontId="0" fillId="12" borderId="5" xfId="0" applyFill="1" applyBorder="1" applyAlignment="1">
      <alignment horizontal="left" wrapText="1"/>
    </xf>
    <xf numFmtId="0" fontId="8" fillId="12" borderId="5" xfId="0" applyFont="1" applyFill="1" applyBorder="1" applyAlignment="1">
      <alignment horizontal="left" wrapText="1"/>
    </xf>
    <xf numFmtId="0" fontId="6" fillId="4" borderId="5" xfId="30" applyFont="1" applyFill="1" applyBorder="1" applyAlignment="1">
      <alignment horizontal="left" wrapText="1"/>
    </xf>
    <xf numFmtId="166" fontId="38" fillId="16" borderId="5" xfId="0" applyNumberFormat="1" applyFont="1" applyFill="1" applyBorder="1" applyAlignment="1">
      <alignment horizontal="left"/>
    </xf>
    <xf numFmtId="0" fontId="6" fillId="4" borderId="5" xfId="0" applyFont="1" applyFill="1" applyBorder="1" applyAlignment="1">
      <alignment horizontal="left"/>
    </xf>
    <xf numFmtId="0" fontId="0" fillId="0" borderId="0" xfId="0" applyFill="1" applyAlignment="1">
      <alignment horizontal="center" wrapText="1"/>
    </xf>
    <xf numFmtId="166" fontId="2" fillId="28" borderId="5" xfId="0" applyNumberFormat="1" applyFont="1" applyFill="1" applyBorder="1" applyAlignment="1">
      <alignment horizontal="left"/>
    </xf>
    <xf numFmtId="166" fontId="2" fillId="29" borderId="5" xfId="0" applyNumberFormat="1" applyFont="1" applyFill="1" applyBorder="1" applyAlignment="1">
      <alignment horizontal="left"/>
    </xf>
    <xf numFmtId="166" fontId="0" fillId="26" borderId="5" xfId="0" applyNumberFormat="1" applyFill="1" applyBorder="1" applyAlignment="1">
      <alignment horizontal="left"/>
    </xf>
    <xf numFmtId="0" fontId="2" fillId="26" borderId="5" xfId="0" applyFont="1" applyFill="1" applyBorder="1" applyAlignment="1"/>
    <xf numFmtId="0" fontId="6" fillId="26" borderId="5" xfId="0" applyFont="1" applyFill="1" applyBorder="1" applyAlignment="1">
      <alignment horizontal="left"/>
    </xf>
    <xf numFmtId="0" fontId="6" fillId="26" borderId="5" xfId="0" applyFont="1" applyFill="1" applyBorder="1" applyAlignment="1">
      <alignment wrapText="1"/>
    </xf>
    <xf numFmtId="49" fontId="0" fillId="26" borderId="5" xfId="0" applyNumberFormat="1" applyFill="1" applyBorder="1" applyAlignment="1">
      <alignment horizontal="left"/>
    </xf>
    <xf numFmtId="0" fontId="2" fillId="26" borderId="5" xfId="30" applyFont="1" applyFill="1" applyBorder="1" applyAlignment="1">
      <alignment horizontal="left" wrapText="1"/>
    </xf>
    <xf numFmtId="0" fontId="4" fillId="26" borderId="5" xfId="0" applyFont="1" applyFill="1" applyBorder="1" applyAlignment="1">
      <alignment horizontal="left" wrapText="1"/>
    </xf>
    <xf numFmtId="0" fontId="2" fillId="26" borderId="5" xfId="0" applyFont="1" applyFill="1" applyBorder="1" applyAlignment="1">
      <alignment horizontal="center" wrapText="1"/>
    </xf>
    <xf numFmtId="166" fontId="2" fillId="6" borderId="5" xfId="0" applyNumberFormat="1" applyFont="1" applyFill="1" applyBorder="1" applyAlignment="1">
      <alignment horizontal="left" wrapText="1"/>
    </xf>
    <xf numFmtId="0" fontId="2" fillId="4" borderId="5" xfId="30" applyFont="1" applyFill="1" applyBorder="1" applyAlignment="1">
      <alignment wrapText="1"/>
    </xf>
    <xf numFmtId="49" fontId="0" fillId="6" borderId="5" xfId="0" applyNumberFormat="1" applyFill="1" applyBorder="1" applyAlignment="1">
      <alignment horizontal="left"/>
    </xf>
    <xf numFmtId="0" fontId="0" fillId="6" borderId="0" xfId="0" applyFont="1" applyFill="1" applyBorder="1" applyAlignment="1">
      <alignment horizontal="left"/>
    </xf>
    <xf numFmtId="0" fontId="4" fillId="0" borderId="0" xfId="0" applyFont="1" applyAlignment="1">
      <alignment horizontal="center" wrapText="1"/>
    </xf>
    <xf numFmtId="0" fontId="6" fillId="0" borderId="0" xfId="0" applyFont="1" applyAlignment="1">
      <alignment horizontal="center" wrapText="1"/>
    </xf>
    <xf numFmtId="166" fontId="0" fillId="29" borderId="5" xfId="0" applyNumberFormat="1" applyFont="1" applyFill="1" applyBorder="1" applyAlignment="1">
      <alignment horizontal="left"/>
    </xf>
    <xf numFmtId="0" fontId="2" fillId="31" borderId="6" xfId="43" applyFont="1" applyFill="1" applyBorder="1" applyAlignment="1">
      <alignment horizontal="left"/>
    </xf>
    <xf numFmtId="0" fontId="2" fillId="26" borderId="5" xfId="30" applyFont="1" applyFill="1" applyBorder="1" applyAlignment="1">
      <alignment horizontal="left"/>
    </xf>
    <xf numFmtId="0" fontId="0" fillId="26" borderId="0" xfId="0" applyFill="1" applyAlignment="1">
      <alignment horizontal="center" wrapText="1"/>
    </xf>
    <xf numFmtId="0" fontId="0" fillId="10" borderId="0" xfId="0" applyFill="1" applyAlignment="1">
      <alignment horizontal="center" wrapText="1"/>
    </xf>
    <xf numFmtId="0" fontId="2" fillId="26" borderId="5" xfId="30" applyFont="1" applyFill="1" applyBorder="1" applyAlignment="1"/>
    <xf numFmtId="166" fontId="2" fillId="26" borderId="5" xfId="30" applyNumberFormat="1" applyFont="1" applyFill="1" applyBorder="1" applyAlignment="1">
      <alignment horizontal="left"/>
    </xf>
    <xf numFmtId="0" fontId="6" fillId="26" borderId="5" xfId="30" applyFont="1" applyFill="1" applyBorder="1" applyAlignment="1">
      <alignment horizontal="left"/>
    </xf>
    <xf numFmtId="0" fontId="13" fillId="26" borderId="5" xfId="30" applyFont="1" applyFill="1" applyBorder="1" applyAlignment="1">
      <alignment horizontal="left" wrapText="1"/>
    </xf>
    <xf numFmtId="0" fontId="0" fillId="26" borderId="5" xfId="30" applyFont="1" applyFill="1" applyBorder="1" applyAlignment="1">
      <alignment horizontal="left"/>
    </xf>
    <xf numFmtId="0" fontId="0" fillId="26" borderId="5" xfId="0" applyFill="1" applyBorder="1" applyAlignment="1">
      <alignment horizontal="center" wrapText="1"/>
    </xf>
    <xf numFmtId="0" fontId="0" fillId="4" borderId="5" xfId="0" applyFill="1" applyBorder="1"/>
    <xf numFmtId="166" fontId="2" fillId="0" borderId="6" xfId="0" applyNumberFormat="1" applyFont="1" applyFill="1" applyBorder="1" applyAlignment="1">
      <alignment horizontal="left"/>
    </xf>
    <xf numFmtId="166" fontId="2" fillId="26" borderId="6" xfId="0" applyNumberFormat="1" applyFont="1" applyFill="1" applyBorder="1" applyAlignment="1">
      <alignment horizontal="left"/>
    </xf>
    <xf numFmtId="166" fontId="9" fillId="12" borderId="6" xfId="0" applyNumberFormat="1" applyFont="1" applyFill="1" applyBorder="1" applyAlignment="1">
      <alignment horizontal="left"/>
    </xf>
    <xf numFmtId="166" fontId="2" fillId="6" borderId="6" xfId="0" applyNumberFormat="1" applyFont="1" applyFill="1" applyBorder="1" applyAlignment="1">
      <alignment horizontal="left"/>
    </xf>
    <xf numFmtId="166" fontId="2" fillId="4" borderId="6" xfId="0" applyNumberFormat="1" applyFont="1" applyFill="1" applyBorder="1" applyAlignment="1">
      <alignment horizontal="left"/>
    </xf>
    <xf numFmtId="0" fontId="0" fillId="0" borderId="6" xfId="0" applyBorder="1" applyAlignment="1">
      <alignment horizontal="center"/>
    </xf>
    <xf numFmtId="49" fontId="0" fillId="0" borderId="6" xfId="0" applyNumberFormat="1" applyBorder="1" applyAlignment="1">
      <alignment horizontal="center"/>
    </xf>
    <xf numFmtId="0" fontId="0" fillId="0" borderId="6" xfId="0" applyBorder="1" applyAlignment="1">
      <alignment horizontal="left"/>
    </xf>
    <xf numFmtId="0" fontId="0" fillId="0" borderId="6" xfId="0" applyBorder="1" applyAlignment="1"/>
    <xf numFmtId="0" fontId="2" fillId="0" borderId="6" xfId="0" applyFont="1" applyBorder="1" applyAlignment="1"/>
    <xf numFmtId="0" fontId="4" fillId="0" borderId="6" xfId="0" applyFont="1" applyBorder="1" applyAlignment="1">
      <alignment horizontal="center"/>
    </xf>
    <xf numFmtId="0" fontId="0" fillId="0" borderId="6" xfId="0" applyBorder="1" applyAlignment="1">
      <alignment horizontal="center" wrapText="1"/>
    </xf>
    <xf numFmtId="0" fontId="0" fillId="0" borderId="6" xfId="0" applyFont="1" applyBorder="1" applyAlignment="1">
      <alignment horizontal="center"/>
    </xf>
    <xf numFmtId="49" fontId="0" fillId="0" borderId="6" xfId="0" applyNumberFormat="1" applyBorder="1" applyAlignment="1">
      <alignment horizontal="left"/>
    </xf>
    <xf numFmtId="0" fontId="0" fillId="0" borderId="6" xfId="0" applyBorder="1" applyAlignment="1">
      <alignment horizontal="left" wrapText="1"/>
    </xf>
    <xf numFmtId="0" fontId="2" fillId="4" borderId="6" xfId="30" applyFont="1" applyFill="1" applyBorder="1" applyAlignment="1">
      <alignment horizontal="left"/>
    </xf>
    <xf numFmtId="0" fontId="2" fillId="6" borderId="6" xfId="30" applyFont="1" applyFill="1" applyBorder="1" applyAlignment="1">
      <alignment horizontal="left"/>
    </xf>
    <xf numFmtId="0" fontId="6" fillId="6" borderId="6" xfId="0" applyFont="1" applyFill="1" applyBorder="1" applyAlignment="1">
      <alignment horizontal="left"/>
    </xf>
    <xf numFmtId="0" fontId="2" fillId="6" borderId="6" xfId="0" applyFont="1" applyFill="1" applyBorder="1" applyAlignment="1">
      <alignment horizontal="left"/>
    </xf>
    <xf numFmtId="0" fontId="0" fillId="6" borderId="6" xfId="0" applyFont="1" applyFill="1" applyBorder="1" applyAlignment="1">
      <alignment horizontal="left"/>
    </xf>
    <xf numFmtId="0" fontId="0" fillId="0" borderId="6" xfId="0" applyFill="1" applyBorder="1" applyAlignment="1">
      <alignment horizontal="center"/>
    </xf>
    <xf numFmtId="0" fontId="2" fillId="6" borderId="6" xfId="0" applyFont="1" applyFill="1" applyBorder="1" applyAlignment="1">
      <alignment horizontal="center"/>
    </xf>
    <xf numFmtId="0" fontId="0" fillId="6" borderId="6" xfId="0" applyFont="1" applyFill="1" applyBorder="1" applyAlignment="1">
      <alignment horizontal="left" wrapText="1"/>
    </xf>
    <xf numFmtId="0" fontId="2" fillId="6" borderId="6" xfId="0" applyFont="1" applyFill="1" applyBorder="1" applyAlignment="1">
      <alignment horizontal="left" wrapText="1"/>
    </xf>
    <xf numFmtId="166" fontId="2" fillId="6" borderId="6" xfId="0" applyNumberFormat="1" applyFont="1" applyFill="1" applyBorder="1" applyAlignment="1">
      <alignment horizontal="left" wrapText="1"/>
    </xf>
    <xf numFmtId="0" fontId="6" fillId="6" borderId="6" xfId="30" applyFont="1" applyFill="1" applyBorder="1" applyAlignment="1">
      <alignment horizontal="left"/>
    </xf>
    <xf numFmtId="0" fontId="6" fillId="4" borderId="6" xfId="0" applyFont="1" applyFill="1" applyBorder="1" applyAlignment="1">
      <alignment horizontal="left" wrapText="1"/>
    </xf>
    <xf numFmtId="0" fontId="2" fillId="6" borderId="6" xfId="0" applyFont="1" applyFill="1" applyBorder="1" applyAlignment="1">
      <alignment horizontal="center" wrapText="1"/>
    </xf>
    <xf numFmtId="49" fontId="0" fillId="6" borderId="6" xfId="0" applyNumberFormat="1" applyFont="1" applyFill="1" applyBorder="1" applyAlignment="1">
      <alignment horizontal="left" wrapText="1"/>
    </xf>
    <xf numFmtId="0" fontId="6" fillId="6" borderId="6" xfId="0" applyFont="1" applyFill="1" applyBorder="1" applyAlignment="1">
      <alignment wrapText="1"/>
    </xf>
    <xf numFmtId="0" fontId="3" fillId="2" borderId="6" xfId="0" applyFont="1" applyFill="1" applyBorder="1" applyAlignment="1">
      <alignment horizontal="center" vertical="center" wrapText="1"/>
    </xf>
    <xf numFmtId="166" fontId="0" fillId="0" borderId="6" xfId="0" applyNumberFormat="1" applyFont="1" applyFill="1" applyBorder="1" applyAlignment="1">
      <alignment horizontal="left"/>
    </xf>
    <xf numFmtId="166" fontId="0" fillId="26" borderId="6" xfId="0" applyNumberFormat="1" applyFont="1" applyFill="1" applyBorder="1" applyAlignment="1">
      <alignment horizontal="left"/>
    </xf>
    <xf numFmtId="166" fontId="2" fillId="26" borderId="6" xfId="0" applyNumberFormat="1" applyFont="1" applyFill="1" applyBorder="1" applyAlignment="1">
      <alignment horizontal="left" wrapText="1"/>
    </xf>
    <xf numFmtId="0" fontId="8" fillId="12" borderId="6" xfId="0" applyFont="1" applyFill="1" applyBorder="1" applyAlignment="1">
      <alignment horizontal="left"/>
    </xf>
    <xf numFmtId="0" fontId="0" fillId="6" borderId="6" xfId="0" applyFill="1" applyBorder="1" applyAlignment="1">
      <alignment horizontal="left"/>
    </xf>
    <xf numFmtId="0" fontId="9" fillId="12" borderId="6" xfId="0" applyFont="1" applyFill="1" applyBorder="1" applyAlignment="1">
      <alignment horizontal="left"/>
    </xf>
    <xf numFmtId="0" fontId="0" fillId="0" borderId="6" xfId="0" applyFill="1" applyBorder="1"/>
    <xf numFmtId="166" fontId="2" fillId="0" borderId="6" xfId="30" applyNumberFormat="1" applyFont="1" applyFill="1" applyBorder="1" applyAlignment="1">
      <alignment horizontal="left"/>
    </xf>
    <xf numFmtId="166" fontId="2" fillId="6" borderId="6" xfId="30" applyNumberFormat="1" applyFont="1" applyFill="1" applyBorder="1" applyAlignment="1">
      <alignment horizontal="left"/>
    </xf>
    <xf numFmtId="0" fontId="2" fillId="0" borderId="6" xfId="30" applyFont="1" applyFill="1" applyBorder="1" applyAlignment="1">
      <alignment horizontal="left"/>
    </xf>
    <xf numFmtId="0" fontId="0" fillId="0" borderId="6" xfId="0" applyFill="1" applyBorder="1" applyAlignment="1">
      <alignment horizontal="left"/>
    </xf>
    <xf numFmtId="166" fontId="2" fillId="13" borderId="6" xfId="0" applyNumberFormat="1" applyFont="1" applyFill="1" applyBorder="1" applyAlignment="1">
      <alignment horizontal="left"/>
    </xf>
    <xf numFmtId="0" fontId="0" fillId="13" borderId="6" xfId="0" applyFill="1" applyBorder="1" applyAlignment="1">
      <alignment horizontal="left"/>
    </xf>
    <xf numFmtId="0" fontId="0" fillId="6" borderId="6" xfId="0" applyFill="1" applyBorder="1"/>
    <xf numFmtId="0" fontId="2" fillId="26" borderId="6" xfId="30" applyFont="1" applyFill="1" applyBorder="1" applyAlignment="1">
      <alignment horizontal="left"/>
    </xf>
    <xf numFmtId="0" fontId="2" fillId="6" borderId="6" xfId="30" applyFont="1" applyFill="1" applyBorder="1" applyAlignment="1">
      <alignment wrapText="1"/>
    </xf>
    <xf numFmtId="0" fontId="6" fillId="30" borderId="5" xfId="0" applyFont="1" applyFill="1" applyBorder="1" applyAlignment="1">
      <alignment horizontal="left" wrapText="1"/>
    </xf>
    <xf numFmtId="166" fontId="0" fillId="21" borderId="5" xfId="0" applyNumberFormat="1" applyFont="1" applyFill="1" applyBorder="1" applyAlignment="1">
      <alignment horizontal="left"/>
    </xf>
    <xf numFmtId="0" fontId="0" fillId="6" borderId="5" xfId="0" applyFont="1" applyFill="1" applyBorder="1" applyAlignment="1">
      <alignment wrapText="1"/>
    </xf>
    <xf numFmtId="0" fontId="0" fillId="6" borderId="5" xfId="0" applyFont="1" applyFill="1" applyBorder="1"/>
    <xf numFmtId="0" fontId="2" fillId="6" borderId="6" xfId="30" applyFont="1" applyFill="1" applyBorder="1" applyAlignment="1"/>
    <xf numFmtId="0" fontId="13" fillId="6" borderId="6" xfId="30" applyFont="1" applyFill="1" applyBorder="1" applyAlignment="1">
      <alignment horizontal="left" wrapText="1"/>
    </xf>
    <xf numFmtId="0" fontId="4" fillId="6" borderId="6" xfId="0" applyFont="1" applyFill="1" applyBorder="1" applyAlignment="1">
      <alignment horizontal="left"/>
    </xf>
    <xf numFmtId="49" fontId="0" fillId="6" borderId="6" xfId="0" applyNumberFormat="1" applyFill="1" applyBorder="1" applyAlignment="1">
      <alignment horizontal="left" wrapText="1"/>
    </xf>
    <xf numFmtId="166" fontId="0" fillId="4" borderId="6" xfId="0" applyNumberFormat="1" applyFill="1" applyBorder="1" applyAlignment="1">
      <alignment horizontal="left"/>
    </xf>
    <xf numFmtId="166" fontId="2" fillId="28" borderId="6" xfId="0" applyNumberFormat="1" applyFont="1" applyFill="1" applyBorder="1" applyAlignment="1">
      <alignment horizontal="left"/>
    </xf>
    <xf numFmtId="0" fontId="2" fillId="4" borderId="6" xfId="30" applyFont="1" applyFill="1" applyBorder="1" applyAlignment="1">
      <alignment wrapText="1"/>
    </xf>
    <xf numFmtId="0" fontId="6" fillId="6" borderId="6" xfId="30" applyFont="1" applyFill="1" applyBorder="1" applyAlignment="1">
      <alignment wrapText="1"/>
    </xf>
    <xf numFmtId="0" fontId="0" fillId="6" borderId="6" xfId="30" applyFont="1" applyFill="1" applyBorder="1" applyAlignment="1">
      <alignment horizontal="left"/>
    </xf>
    <xf numFmtId="0" fontId="0" fillId="6" borderId="6" xfId="0" applyFill="1" applyBorder="1" applyAlignment="1">
      <alignment horizontal="center" wrapText="1"/>
    </xf>
    <xf numFmtId="0" fontId="13" fillId="6" borderId="6" xfId="0" applyFont="1" applyFill="1" applyBorder="1" applyAlignment="1">
      <alignment horizontal="left" wrapText="1"/>
    </xf>
    <xf numFmtId="0" fontId="0" fillId="32" borderId="0" xfId="0" applyFill="1" applyAlignment="1">
      <alignment horizontal="center"/>
    </xf>
    <xf numFmtId="0" fontId="6" fillId="6" borderId="6" xfId="0" applyFont="1" applyFill="1" applyBorder="1" applyAlignment="1">
      <alignment horizontal="left" wrapText="1"/>
    </xf>
    <xf numFmtId="0" fontId="0" fillId="6" borderId="0" xfId="0" applyFill="1" applyBorder="1"/>
    <xf numFmtId="49" fontId="2" fillId="4" borderId="5" xfId="0" applyNumberFormat="1" applyFont="1" applyFill="1" applyBorder="1" applyAlignment="1">
      <alignment horizontal="left" wrapText="1"/>
    </xf>
    <xf numFmtId="0" fontId="2" fillId="4" borderId="6" xfId="0" applyFont="1" applyFill="1" applyBorder="1" applyAlignment="1">
      <alignment horizontal="left"/>
    </xf>
    <xf numFmtId="166" fontId="0" fillId="16" borderId="5" xfId="0" applyNumberFormat="1" applyFont="1" applyFill="1" applyBorder="1" applyAlignment="1">
      <alignment horizontal="left"/>
    </xf>
    <xf numFmtId="0" fontId="0" fillId="10" borderId="6" xfId="0" applyFill="1" applyBorder="1" applyAlignment="1">
      <alignment horizontal="left"/>
    </xf>
    <xf numFmtId="49" fontId="0" fillId="10" borderId="6" xfId="0" applyNumberFormat="1" applyFill="1" applyBorder="1" applyAlignment="1">
      <alignment horizontal="left"/>
    </xf>
    <xf numFmtId="166" fontId="2" fillId="22" borderId="6" xfId="0" applyNumberFormat="1" applyFont="1" applyFill="1" applyBorder="1" applyAlignment="1">
      <alignment horizontal="left"/>
    </xf>
    <xf numFmtId="0" fontId="2" fillId="6" borderId="6" xfId="0" applyFont="1" applyFill="1" applyBorder="1"/>
    <xf numFmtId="0" fontId="2" fillId="6" borderId="6" xfId="30" applyFont="1" applyFill="1" applyBorder="1" applyAlignment="1">
      <alignment horizontal="left" wrapText="1"/>
    </xf>
    <xf numFmtId="0" fontId="6" fillId="6" borderId="6" xfId="30" applyFont="1" applyFill="1" applyBorder="1" applyAlignment="1">
      <alignment horizontal="left" wrapText="1"/>
    </xf>
    <xf numFmtId="0" fontId="0" fillId="6" borderId="6" xfId="0" applyFill="1" applyBorder="1" applyAlignment="1">
      <alignment horizontal="left" wrapText="1"/>
    </xf>
    <xf numFmtId="166" fontId="38" fillId="29" borderId="5" xfId="0" applyNumberFormat="1" applyFont="1" applyFill="1" applyBorder="1" applyAlignment="1">
      <alignment horizontal="left"/>
    </xf>
    <xf numFmtId="166" fontId="38" fillId="21" borderId="5" xfId="0" applyNumberFormat="1" applyFont="1" applyFill="1" applyBorder="1" applyAlignment="1">
      <alignment horizontal="left"/>
    </xf>
    <xf numFmtId="49" fontId="0" fillId="10" borderId="5" xfId="0" applyNumberFormat="1" applyFont="1" applyFill="1" applyBorder="1" applyAlignment="1">
      <alignment horizontal="left"/>
    </xf>
    <xf numFmtId="0" fontId="6" fillId="4" borderId="5" xfId="0" applyFont="1" applyFill="1" applyBorder="1" applyAlignment="1">
      <alignment wrapText="1"/>
    </xf>
    <xf numFmtId="0" fontId="6" fillId="30" borderId="5" xfId="30" applyFont="1" applyFill="1" applyBorder="1" applyAlignment="1">
      <alignment horizontal="left" wrapText="1"/>
    </xf>
    <xf numFmtId="166" fontId="0" fillId="6" borderId="6" xfId="0" applyNumberFormat="1" applyFill="1" applyBorder="1" applyAlignment="1">
      <alignment horizontal="left"/>
    </xf>
    <xf numFmtId="0" fontId="2" fillId="6" borderId="6" xfId="0" applyFont="1" applyFill="1" applyBorder="1" applyAlignment="1"/>
    <xf numFmtId="14" fontId="2" fillId="6" borderId="6" xfId="0" applyNumberFormat="1" applyFont="1" applyFill="1" applyBorder="1" applyAlignment="1">
      <alignment horizontal="left" wrapText="1"/>
    </xf>
    <xf numFmtId="49" fontId="0" fillId="33" borderId="0" xfId="0" applyNumberFormat="1" applyFill="1"/>
    <xf numFmtId="49" fontId="0" fillId="34" borderId="0" xfId="0" applyNumberFormat="1" applyFill="1"/>
    <xf numFmtId="49" fontId="0" fillId="35" borderId="0" xfId="0" applyNumberFormat="1" applyFill="1"/>
    <xf numFmtId="0" fontId="4" fillId="4" borderId="6" xfId="30" applyFont="1" applyFill="1" applyBorder="1" applyAlignment="1">
      <alignment horizontal="left"/>
    </xf>
    <xf numFmtId="166" fontId="2" fillId="4" borderId="5" xfId="0" applyNumberFormat="1" applyFont="1" applyFill="1" applyBorder="1" applyAlignment="1">
      <alignment horizontal="left" wrapText="1"/>
    </xf>
    <xf numFmtId="0" fontId="12" fillId="6" borderId="6" xfId="30" applyFont="1" applyFill="1" applyBorder="1" applyAlignment="1">
      <alignment horizontal="left"/>
    </xf>
    <xf numFmtId="0" fontId="0" fillId="6" borderId="6" xfId="0" applyNumberFormat="1" applyFont="1" applyFill="1" applyBorder="1" applyAlignment="1">
      <alignment horizontal="left" wrapText="1"/>
    </xf>
    <xf numFmtId="166" fontId="0" fillId="4" borderId="6" xfId="0" applyNumberFormat="1" applyFont="1" applyFill="1" applyBorder="1" applyAlignment="1">
      <alignment horizontal="left"/>
    </xf>
    <xf numFmtId="0" fontId="37" fillId="0" borderId="0" xfId="0" applyFont="1" applyAlignment="1">
      <alignment horizontal="center" wrapText="1"/>
    </xf>
    <xf numFmtId="166" fontId="2" fillId="29" borderId="6" xfId="0" applyNumberFormat="1" applyFont="1" applyFill="1" applyBorder="1" applyAlignment="1">
      <alignment horizontal="left"/>
    </xf>
    <xf numFmtId="166" fontId="2" fillId="15" borderId="6" xfId="0" applyNumberFormat="1" applyFont="1" applyFill="1" applyBorder="1" applyAlignment="1">
      <alignment horizontal="left"/>
    </xf>
    <xf numFmtId="166" fontId="2" fillId="19" borderId="6" xfId="0" applyNumberFormat="1" applyFont="1" applyFill="1" applyBorder="1" applyAlignment="1">
      <alignment horizontal="left"/>
    </xf>
    <xf numFmtId="0" fontId="12" fillId="6" borderId="5" xfId="30" applyFont="1" applyFill="1" applyBorder="1" applyAlignment="1">
      <alignment horizontal="left"/>
    </xf>
    <xf numFmtId="0" fontId="0" fillId="4" borderId="5" xfId="0" applyFont="1" applyFill="1" applyBorder="1"/>
    <xf numFmtId="0" fontId="0" fillId="6" borderId="0" xfId="0" applyFill="1" applyBorder="1" applyAlignment="1">
      <alignment horizontal="left"/>
    </xf>
    <xf numFmtId="0" fontId="6" fillId="4" borderId="6" xfId="30" applyFont="1" applyFill="1" applyBorder="1" applyAlignment="1">
      <alignment horizontal="left"/>
    </xf>
    <xf numFmtId="0" fontId="0" fillId="36" borderId="5" xfId="0" applyFill="1" applyBorder="1"/>
    <xf numFmtId="0" fontId="0" fillId="30" borderId="5" xfId="0" applyFill="1" applyBorder="1"/>
    <xf numFmtId="166" fontId="2" fillId="30" borderId="6" xfId="0" applyNumberFormat="1" applyFont="1" applyFill="1" applyBorder="1" applyAlignment="1">
      <alignment horizontal="left"/>
    </xf>
    <xf numFmtId="0" fontId="0" fillId="0" borderId="0" xfId="0" applyFont="1" applyAlignment="1">
      <alignment vertical="center"/>
    </xf>
    <xf numFmtId="0" fontId="41" fillId="6" borderId="6" xfId="0" applyFont="1" applyFill="1" applyBorder="1" applyAlignment="1">
      <alignment horizontal="left" wrapText="1"/>
    </xf>
    <xf numFmtId="0" fontId="0" fillId="0" borderId="0" xfId="0" applyFill="1" applyBorder="1" applyAlignment="1">
      <alignment horizontal="left" wrapText="1"/>
    </xf>
    <xf numFmtId="0" fontId="0" fillId="0" borderId="0" xfId="0" applyFont="1" applyBorder="1" applyAlignment="1">
      <alignment horizontal="left" wrapText="1"/>
    </xf>
    <xf numFmtId="0" fontId="0" fillId="4" borderId="6" xfId="0" applyFont="1" applyFill="1" applyBorder="1" applyAlignment="1">
      <alignment horizontal="left"/>
    </xf>
    <xf numFmtId="49" fontId="0" fillId="6" borderId="6" xfId="0" applyNumberFormat="1" applyFill="1" applyBorder="1" applyAlignment="1">
      <alignment horizontal="left"/>
    </xf>
    <xf numFmtId="0" fontId="0" fillId="5" borderId="5" xfId="0" applyFill="1" applyBorder="1" applyAlignment="1">
      <alignment horizontal="left"/>
    </xf>
    <xf numFmtId="49" fontId="0" fillId="5" borderId="5" xfId="0" applyNumberFormat="1" applyFill="1" applyBorder="1" applyAlignment="1">
      <alignment horizontal="left"/>
    </xf>
    <xf numFmtId="0" fontId="0" fillId="6" borderId="0" xfId="0" applyFill="1" applyBorder="1" applyAlignment="1">
      <alignment horizontal="left" wrapText="1"/>
    </xf>
    <xf numFmtId="3" fontId="0" fillId="6" borderId="6" xfId="0" applyNumberFormat="1" applyFont="1" applyFill="1" applyBorder="1" applyAlignment="1">
      <alignment horizontal="left" wrapText="1"/>
    </xf>
    <xf numFmtId="0" fontId="6" fillId="4" borderId="6" xfId="0" applyFont="1" applyFill="1" applyBorder="1" applyAlignment="1">
      <alignment horizontal="left"/>
    </xf>
    <xf numFmtId="0" fontId="41" fillId="0" borderId="0" xfId="0" applyFont="1" applyFill="1" applyAlignment="1">
      <alignment horizontal="center" wrapText="1"/>
    </xf>
    <xf numFmtId="166" fontId="2" fillId="37" borderId="6" xfId="0" applyNumberFormat="1" applyFont="1" applyFill="1" applyBorder="1" applyAlignment="1">
      <alignment horizontal="left"/>
    </xf>
    <xf numFmtId="166" fontId="2" fillId="37" borderId="5" xfId="0" applyNumberFormat="1" applyFont="1" applyFill="1" applyBorder="1" applyAlignment="1">
      <alignment horizontal="left"/>
    </xf>
    <xf numFmtId="166" fontId="2" fillId="17" borderId="6" xfId="0" applyNumberFormat="1" applyFont="1" applyFill="1" applyBorder="1" applyAlignment="1">
      <alignment horizontal="left"/>
    </xf>
    <xf numFmtId="166" fontId="2" fillId="39" borderId="5" xfId="0" applyNumberFormat="1" applyFont="1" applyFill="1" applyBorder="1" applyAlignment="1">
      <alignment horizontal="left"/>
    </xf>
    <xf numFmtId="0" fontId="2" fillId="4" borderId="6" xfId="0" applyFont="1" applyFill="1" applyBorder="1" applyAlignment="1">
      <alignment horizontal="left" wrapText="1"/>
    </xf>
    <xf numFmtId="49" fontId="0" fillId="18" borderId="5" xfId="0" applyNumberFormat="1" applyFont="1" applyFill="1" applyBorder="1" applyAlignment="1">
      <alignment horizontal="left" wrapText="1"/>
    </xf>
    <xf numFmtId="49" fontId="2" fillId="18" borderId="5" xfId="0" applyNumberFormat="1" applyFont="1" applyFill="1" applyBorder="1" applyAlignment="1">
      <alignment horizontal="left" wrapText="1"/>
    </xf>
    <xf numFmtId="49" fontId="0" fillId="18" borderId="6" xfId="0" applyNumberFormat="1" applyFill="1" applyBorder="1" applyAlignment="1">
      <alignment horizontal="left" wrapText="1"/>
    </xf>
    <xf numFmtId="3" fontId="0" fillId="18" borderId="6" xfId="0" applyNumberFormat="1" applyFont="1" applyFill="1" applyBorder="1" applyAlignment="1">
      <alignment horizontal="left" wrapText="1"/>
    </xf>
    <xf numFmtId="166" fontId="2" fillId="18" borderId="5" xfId="0" applyNumberFormat="1" applyFont="1" applyFill="1" applyBorder="1" applyAlignment="1">
      <alignment horizontal="left" wrapText="1"/>
    </xf>
    <xf numFmtId="0" fontId="2" fillId="18" borderId="5" xfId="0" applyFont="1" applyFill="1" applyBorder="1" applyAlignment="1">
      <alignment horizontal="left" wrapText="1"/>
    </xf>
    <xf numFmtId="0" fontId="2" fillId="18" borderId="6" xfId="0" applyFont="1" applyFill="1" applyBorder="1" applyAlignment="1">
      <alignment horizontal="left" wrapText="1"/>
    </xf>
    <xf numFmtId="0" fontId="0" fillId="18" borderId="6" xfId="0" applyFill="1" applyBorder="1"/>
    <xf numFmtId="166" fontId="2" fillId="21" borderId="6" xfId="0" applyNumberFormat="1" applyFont="1" applyFill="1" applyBorder="1" applyAlignment="1">
      <alignment horizontal="left"/>
    </xf>
    <xf numFmtId="3" fontId="0" fillId="18" borderId="6" xfId="0" applyNumberFormat="1" applyFill="1" applyBorder="1" applyAlignment="1">
      <alignment horizontal="left" wrapText="1"/>
    </xf>
    <xf numFmtId="0" fontId="0" fillId="5" borderId="6" xfId="0" applyFill="1" applyBorder="1" applyAlignment="1">
      <alignment horizontal="left"/>
    </xf>
    <xf numFmtId="49" fontId="0" fillId="5" borderId="6" xfId="0" applyNumberFormat="1" applyFill="1" applyBorder="1" applyAlignment="1">
      <alignment horizontal="left"/>
    </xf>
    <xf numFmtId="166" fontId="2" fillId="38" borderId="6" xfId="0" applyNumberFormat="1" applyFont="1" applyFill="1" applyBorder="1" applyAlignment="1">
      <alignment horizontal="left"/>
    </xf>
    <xf numFmtId="3" fontId="0" fillId="6" borderId="6" xfId="0" applyNumberFormat="1" applyFill="1" applyBorder="1" applyAlignment="1">
      <alignment horizontal="left" wrapText="1"/>
    </xf>
    <xf numFmtId="0" fontId="0" fillId="18" borderId="5" xfId="0" applyFill="1" applyBorder="1" applyAlignment="1">
      <alignment horizontal="left"/>
    </xf>
    <xf numFmtId="0" fontId="2" fillId="18" borderId="5" xfId="30" applyFont="1" applyFill="1" applyBorder="1" applyAlignment="1">
      <alignment horizontal="left" wrapText="1"/>
    </xf>
    <xf numFmtId="0" fontId="0" fillId="18" borderId="5" xfId="0" applyFill="1" applyBorder="1" applyAlignment="1">
      <alignment horizontal="left" wrapText="1"/>
    </xf>
    <xf numFmtId="0" fontId="0" fillId="18" borderId="5" xfId="0" applyFont="1" applyFill="1" applyBorder="1" applyAlignment="1">
      <alignment horizontal="left"/>
    </xf>
    <xf numFmtId="0" fontId="0" fillId="18" borderId="5" xfId="0" applyFill="1" applyBorder="1"/>
    <xf numFmtId="0" fontId="0" fillId="18" borderId="0" xfId="0" applyFont="1" applyFill="1" applyBorder="1" applyAlignment="1">
      <alignment horizontal="left"/>
    </xf>
    <xf numFmtId="0" fontId="0" fillId="18" borderId="5" xfId="0" applyFont="1" applyFill="1" applyBorder="1"/>
    <xf numFmtId="0" fontId="0" fillId="4" borderId="6" xfId="0" applyFill="1" applyBorder="1"/>
    <xf numFmtId="0" fontId="0" fillId="6" borderId="0" xfId="0" applyFill="1" applyAlignment="1">
      <alignment horizontal="center"/>
    </xf>
    <xf numFmtId="0" fontId="0" fillId="10" borderId="8" xfId="0" applyFill="1" applyBorder="1" applyAlignment="1">
      <alignment horizontal="left"/>
    </xf>
    <xf numFmtId="49" fontId="0" fillId="10" borderId="8" xfId="0" applyNumberFormat="1" applyFill="1" applyBorder="1" applyAlignment="1">
      <alignment horizontal="left"/>
    </xf>
    <xf numFmtId="0" fontId="0" fillId="6" borderId="8" xfId="0" applyFont="1" applyFill="1" applyBorder="1"/>
    <xf numFmtId="0" fontId="2" fillId="6" borderId="8" xfId="30" applyFont="1" applyFill="1" applyBorder="1" applyAlignment="1">
      <alignment horizontal="left"/>
    </xf>
    <xf numFmtId="166" fontId="2" fillId="19" borderId="8" xfId="0" applyNumberFormat="1" applyFont="1" applyFill="1" applyBorder="1" applyAlignment="1">
      <alignment horizontal="left"/>
    </xf>
    <xf numFmtId="166" fontId="2" fillId="6" borderId="8" xfId="0" applyNumberFormat="1" applyFont="1" applyFill="1" applyBorder="1" applyAlignment="1">
      <alignment horizontal="left"/>
    </xf>
    <xf numFmtId="0" fontId="0" fillId="6" borderId="8" xfId="0" applyFill="1" applyBorder="1" applyAlignment="1">
      <alignment horizontal="left"/>
    </xf>
    <xf numFmtId="0" fontId="2" fillId="6" borderId="8" xfId="0" applyFont="1" applyFill="1" applyBorder="1" applyAlignment="1"/>
    <xf numFmtId="0" fontId="6" fillId="6" borderId="8" xfId="0" applyFont="1" applyFill="1" applyBorder="1" applyAlignment="1">
      <alignment horizontal="left"/>
    </xf>
    <xf numFmtId="0" fontId="2" fillId="6" borderId="8" xfId="0" applyFont="1" applyFill="1" applyBorder="1" applyAlignment="1">
      <alignment horizontal="left"/>
    </xf>
    <xf numFmtId="0" fontId="0" fillId="6" borderId="8" xfId="0" applyFont="1" applyFill="1" applyBorder="1" applyAlignment="1">
      <alignment horizontal="left"/>
    </xf>
    <xf numFmtId="0" fontId="13" fillId="6" borderId="8" xfId="0" applyFont="1" applyFill="1" applyBorder="1" applyAlignment="1">
      <alignment horizontal="left" wrapText="1"/>
    </xf>
    <xf numFmtId="0" fontId="4" fillId="6" borderId="8" xfId="0" applyFont="1" applyFill="1" applyBorder="1" applyAlignment="1">
      <alignment horizontal="left"/>
    </xf>
    <xf numFmtId="0" fontId="6" fillId="6" borderId="8" xfId="0" applyFont="1" applyFill="1" applyBorder="1" applyAlignment="1">
      <alignment wrapText="1"/>
    </xf>
    <xf numFmtId="0" fontId="0" fillId="0" borderId="8" xfId="0" applyFill="1" applyBorder="1" applyAlignment="1">
      <alignment horizontal="center"/>
    </xf>
    <xf numFmtId="0" fontId="2" fillId="6" borderId="8" xfId="0" applyFont="1" applyFill="1" applyBorder="1" applyAlignment="1">
      <alignment horizontal="center"/>
    </xf>
    <xf numFmtId="49" fontId="0" fillId="6" borderId="8" xfId="0" applyNumberFormat="1" applyFont="1" applyFill="1" applyBorder="1" applyAlignment="1">
      <alignment horizontal="left" wrapText="1"/>
    </xf>
    <xf numFmtId="0" fontId="2" fillId="6" borderId="8" xfId="0" applyFont="1" applyFill="1" applyBorder="1" applyAlignment="1">
      <alignment horizontal="left" wrapText="1"/>
    </xf>
    <xf numFmtId="0" fontId="0" fillId="10" borderId="7" xfId="0" applyFill="1" applyBorder="1" applyAlignment="1">
      <alignment horizontal="left"/>
    </xf>
    <xf numFmtId="49" fontId="0" fillId="10" borderId="7" xfId="0" applyNumberFormat="1" applyFill="1" applyBorder="1" applyAlignment="1">
      <alignment horizontal="left"/>
    </xf>
    <xf numFmtId="0" fontId="0" fillId="6" borderId="7" xfId="0" applyFont="1" applyFill="1" applyBorder="1"/>
    <xf numFmtId="0" fontId="2" fillId="6" borderId="7" xfId="30" applyFont="1" applyFill="1" applyBorder="1" applyAlignment="1">
      <alignment horizontal="left"/>
    </xf>
    <xf numFmtId="166" fontId="2" fillId="29" borderId="7" xfId="0" applyNumberFormat="1" applyFont="1" applyFill="1" applyBorder="1" applyAlignment="1">
      <alignment horizontal="left"/>
    </xf>
    <xf numFmtId="166" fontId="2" fillId="6" borderId="7" xfId="0" applyNumberFormat="1" applyFont="1" applyFill="1" applyBorder="1" applyAlignment="1">
      <alignment horizontal="left"/>
    </xf>
    <xf numFmtId="0" fontId="2" fillId="6" borderId="7" xfId="0" applyFont="1" applyFill="1" applyBorder="1" applyAlignment="1">
      <alignment horizontal="left"/>
    </xf>
    <xf numFmtId="0" fontId="6" fillId="6" borderId="7" xfId="0" applyFont="1" applyFill="1" applyBorder="1" applyAlignment="1">
      <alignment horizontal="left"/>
    </xf>
    <xf numFmtId="0" fontId="0" fillId="6" borderId="7" xfId="0" applyFont="1" applyFill="1" applyBorder="1" applyAlignment="1">
      <alignment horizontal="left"/>
    </xf>
    <xf numFmtId="0" fontId="13" fillId="6" borderId="7" xfId="0" applyFont="1" applyFill="1" applyBorder="1" applyAlignment="1">
      <alignment horizontal="left" wrapText="1"/>
    </xf>
    <xf numFmtId="0" fontId="12" fillId="6" borderId="7" xfId="30" applyFont="1" applyFill="1" applyBorder="1" applyAlignment="1">
      <alignment horizontal="left"/>
    </xf>
    <xf numFmtId="0" fontId="4" fillId="6" borderId="7" xfId="0" applyFont="1" applyFill="1" applyBorder="1" applyAlignment="1">
      <alignment horizontal="left"/>
    </xf>
    <xf numFmtId="0" fontId="6" fillId="6" borderId="7" xfId="0" applyFont="1" applyFill="1" applyBorder="1" applyAlignment="1">
      <alignment wrapText="1"/>
    </xf>
    <xf numFmtId="0" fontId="0" fillId="0" borderId="7" xfId="0" applyFill="1" applyBorder="1" applyAlignment="1">
      <alignment horizontal="center"/>
    </xf>
    <xf numFmtId="0" fontId="2" fillId="6" borderId="7" xfId="0" applyFont="1" applyFill="1" applyBorder="1" applyAlignment="1">
      <alignment horizontal="center"/>
    </xf>
    <xf numFmtId="3" fontId="0" fillId="18" borderId="7" xfId="0" applyNumberFormat="1" applyFill="1" applyBorder="1" applyAlignment="1">
      <alignment horizontal="left" wrapText="1"/>
    </xf>
    <xf numFmtId="0" fontId="2" fillId="6" borderId="7" xfId="0" applyFont="1" applyFill="1" applyBorder="1" applyAlignment="1">
      <alignment horizontal="left" wrapText="1"/>
    </xf>
    <xf numFmtId="166" fontId="2" fillId="18" borderId="7" xfId="0" applyNumberFormat="1" applyFont="1" applyFill="1" applyBorder="1" applyAlignment="1">
      <alignment horizontal="left" wrapText="1"/>
    </xf>
    <xf numFmtId="0" fontId="2" fillId="39" borderId="7" xfId="30" applyFont="1" applyFill="1" applyBorder="1" applyAlignment="1">
      <alignment horizontal="left"/>
    </xf>
    <xf numFmtId="0" fontId="2" fillId="39" borderId="6" xfId="30" applyFont="1" applyFill="1" applyBorder="1" applyAlignment="1">
      <alignment horizontal="left"/>
    </xf>
    <xf numFmtId="0" fontId="44" fillId="4" borderId="7" xfId="0" applyFont="1" applyFill="1" applyBorder="1" applyAlignment="1">
      <alignment horizontal="left" wrapText="1"/>
    </xf>
    <xf numFmtId="0" fontId="44" fillId="4" borderId="6" xfId="0" applyFont="1" applyFill="1" applyBorder="1" applyAlignment="1">
      <alignment horizontal="left" wrapText="1"/>
    </xf>
  </cellXfs>
  <cellStyles count="58">
    <cellStyle name="?? 2" xfId="31" xr:uid="{00000000-0005-0000-0000-000000000000}"/>
    <cellStyle name="???? 1" xfId="32" xr:uid="{00000000-0005-0000-0000-000001000000}"/>
    <cellStyle name="60 % - Akzent2 2" xfId="5" xr:uid="{00000000-0005-0000-0000-000002000000}"/>
    <cellStyle name="Accent2 2" xfId="10" xr:uid="{00000000-0005-0000-0000-000003000000}"/>
    <cellStyle name="Dezimal [0] 2" xfId="3" xr:uid="{00000000-0005-0000-0000-000004000000}"/>
    <cellStyle name="Dezimal [0] 4" xfId="6" xr:uid="{00000000-0005-0000-0000-000005000000}"/>
    <cellStyle name="Dezimal [0] 4 2" xfId="18" xr:uid="{00000000-0005-0000-0000-000006000000}"/>
    <cellStyle name="Dezimal [0] 4 2 2" xfId="23" xr:uid="{00000000-0005-0000-0000-000007000000}"/>
    <cellStyle name="Dezimal [0] 4 2 2 2" xfId="41" xr:uid="{00000000-0005-0000-0000-000008000000}"/>
    <cellStyle name="Dezimal [0] 4 2 2 2 2" xfId="56" xr:uid="{00000000-0005-0000-0000-000009000000}"/>
    <cellStyle name="Dezimal [0] 4 2 2 3" xfId="49" xr:uid="{00000000-0005-0000-0000-00000A000000}"/>
    <cellStyle name="Dezimal [0] 4 2 3" xfId="20" xr:uid="{00000000-0005-0000-0000-00000B000000}"/>
    <cellStyle name="Dezimal [0] 4 2 3 2" xfId="39" xr:uid="{00000000-0005-0000-0000-00000C000000}"/>
    <cellStyle name="Dezimal [0] 4 2 3 2 2" xfId="54" xr:uid="{00000000-0005-0000-0000-00000D000000}"/>
    <cellStyle name="Dezimal [0] 4 2 3 3" xfId="47" xr:uid="{00000000-0005-0000-0000-00000E000000}"/>
    <cellStyle name="Dezimal [0] 4 2 4" xfId="37" xr:uid="{00000000-0005-0000-0000-00000F000000}"/>
    <cellStyle name="Dezimal [0] 4 2 4 2" xfId="52" xr:uid="{00000000-0005-0000-0000-000010000000}"/>
    <cellStyle name="Dezimal [0] 4 2 5" xfId="45" xr:uid="{00000000-0005-0000-0000-000011000000}"/>
    <cellStyle name="Dezimal [0] 4 3" xfId="21" xr:uid="{00000000-0005-0000-0000-000012000000}"/>
    <cellStyle name="Dezimal [0] 4 3 2" xfId="40" xr:uid="{00000000-0005-0000-0000-000013000000}"/>
    <cellStyle name="Dezimal [0] 4 3 2 2" xfId="55" xr:uid="{00000000-0005-0000-0000-000014000000}"/>
    <cellStyle name="Dezimal [0] 4 3 3" xfId="48" xr:uid="{00000000-0005-0000-0000-000015000000}"/>
    <cellStyle name="Dezimal [0] 4 4" xfId="19" xr:uid="{00000000-0005-0000-0000-000016000000}"/>
    <cellStyle name="Dezimal [0] 4 4 2" xfId="38" xr:uid="{00000000-0005-0000-0000-000017000000}"/>
    <cellStyle name="Dezimal [0] 4 4 2 2" xfId="53" xr:uid="{00000000-0005-0000-0000-000018000000}"/>
    <cellStyle name="Dezimal [0] 4 4 3" xfId="46" xr:uid="{00000000-0005-0000-0000-000019000000}"/>
    <cellStyle name="Dezimal [0] 4 5" xfId="36" xr:uid="{00000000-0005-0000-0000-00001A000000}"/>
    <cellStyle name="Dezimal [0] 4 5 2" xfId="51" xr:uid="{00000000-0005-0000-0000-00001B000000}"/>
    <cellStyle name="Dezimal [0] 4 6" xfId="44" xr:uid="{00000000-0005-0000-0000-00001C000000}"/>
    <cellStyle name="Good" xfId="30" builtinId="26"/>
    <cellStyle name="Hyperlink" xfId="1" builtinId="8"/>
    <cellStyle name="Komma 2" xfId="29" xr:uid="{00000000-0005-0000-0000-00001E000000}"/>
    <cellStyle name="Komma 2 2" xfId="42" xr:uid="{00000000-0005-0000-0000-00001F000000}"/>
    <cellStyle name="Komma 2 2 2" xfId="57" xr:uid="{00000000-0005-0000-0000-000020000000}"/>
    <cellStyle name="Komma 2 3" xfId="50" xr:uid="{00000000-0005-0000-0000-000021000000}"/>
    <cellStyle name="Link 2" xfId="17" xr:uid="{00000000-0005-0000-0000-000023000000}"/>
    <cellStyle name="Link 3" xfId="27" xr:uid="{00000000-0005-0000-0000-000024000000}"/>
    <cellStyle name="Normal" xfId="0" builtinId="0"/>
    <cellStyle name="Normal 13" xfId="9" xr:uid="{00000000-0005-0000-0000-000025000000}"/>
    <cellStyle name="Normal 16" xfId="16" xr:uid="{00000000-0005-0000-0000-000026000000}"/>
    <cellStyle name="Normal 2" xfId="4" xr:uid="{00000000-0005-0000-0000-000027000000}"/>
    <cellStyle name="Normal 2 2" xfId="15" xr:uid="{00000000-0005-0000-0000-000028000000}"/>
    <cellStyle name="Normal 2 2 2 2" xfId="13" xr:uid="{00000000-0005-0000-0000-000029000000}"/>
    <cellStyle name="Normal 2_Variants" xfId="33" xr:uid="{00000000-0005-0000-0000-00002A000000}"/>
    <cellStyle name="Normal 3" xfId="8" xr:uid="{00000000-0005-0000-0000-00002B000000}"/>
    <cellStyle name="Normal 3 2" xfId="22" xr:uid="{00000000-0005-0000-0000-00002C000000}"/>
    <cellStyle name="Normal 3_Variants" xfId="34" xr:uid="{00000000-0005-0000-0000-00002D000000}"/>
    <cellStyle name="Normal 7 2" xfId="14" xr:uid="{00000000-0005-0000-0000-00002E000000}"/>
    <cellStyle name="Standard 2" xfId="2" xr:uid="{00000000-0005-0000-0000-000030000000}"/>
    <cellStyle name="Standard 2 2" xfId="24" xr:uid="{00000000-0005-0000-0000-000031000000}"/>
    <cellStyle name="Standard 2_Variants" xfId="35" xr:uid="{00000000-0005-0000-0000-000032000000}"/>
    <cellStyle name="Standard 3" xfId="26" xr:uid="{00000000-0005-0000-0000-000033000000}"/>
    <cellStyle name="Standard 7" xfId="7" xr:uid="{00000000-0005-0000-0000-000034000000}"/>
    <cellStyle name="Standard 8" xfId="25" xr:uid="{00000000-0005-0000-0000-000035000000}"/>
    <cellStyle name="Standard 9" xfId="28" xr:uid="{00000000-0005-0000-0000-000036000000}"/>
    <cellStyle name="Standard_Variants" xfId="43" xr:uid="{00000000-0005-0000-0000-000037000000}"/>
    <cellStyle name="スタイル 1" xfId="12" xr:uid="{00000000-0005-0000-0000-000038000000}"/>
    <cellStyle name="標準 2" xfId="11" xr:uid="{00000000-0005-0000-0000-000039000000}"/>
  </cellStyles>
  <dxfs count="33">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6" tint="0.39994506668294322"/>
        </patternFill>
      </fill>
    </dxf>
    <dxf>
      <fill>
        <patternFill>
          <bgColor theme="9" tint="0.39994506668294322"/>
        </patternFill>
      </fill>
    </dxf>
    <dxf>
      <fill>
        <patternFill>
          <bgColor theme="1" tint="0.49998474074526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s>
  <tableStyles count="0" defaultTableStyle="TableStyleMedium9" defaultPivotStyle="PivotStyleLight16"/>
  <colors>
    <mruColors>
      <color rgb="FFFF66FF"/>
      <color rgb="FFFFCC00"/>
      <color rgb="FFCC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9</xdr:col>
      <xdr:colOff>1176337</xdr:colOff>
      <xdr:row>27</xdr:row>
      <xdr:rowOff>157162</xdr:rowOff>
    </xdr:from>
    <xdr:ext cx="65" cy="172227"/>
    <xdr:sp macro="" textlink="">
      <xdr:nvSpPr>
        <xdr:cNvPr id="2" name="Textfeld 1">
          <a:extLst>
            <a:ext uri="{FF2B5EF4-FFF2-40B4-BE49-F238E27FC236}">
              <a16:creationId xmlns:a16="http://schemas.microsoft.com/office/drawing/2014/main" id="{00000000-0008-0000-0500-000002000000}"/>
            </a:ext>
          </a:extLst>
        </xdr:cNvPr>
        <xdr:cNvSpPr txBox="1"/>
      </xdr:nvSpPr>
      <xdr:spPr>
        <a:xfrm>
          <a:off x="8605837" y="39195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zr2hi/AppData/Local/Temp/Matrix%20Nissan%20Vers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_int_ivi\_prj_0426\Ralph28\SWUPD_Tooling_V3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wzr2hi/AppData/Local/Temp/Copy%20of%20P-IVI%20Variants_20180314-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_int_ivi\_prj_0426\Ralph22\Matrix_Renault_Version_filtered_Renault_SBX_Sc30.TSB2.Brg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history"/>
      <sheetName val="Software variants"/>
      <sheetName val="Feature"/>
      <sheetName val="Fascia v1.8"/>
      <sheetName val="PCB overview"/>
      <sheetName val="Map Cut"/>
      <sheetName val="VR Languages v1.5 CRQ"/>
      <sheetName val="VR Languages (OLD)"/>
      <sheetName val="Displays"/>
      <sheetName val="Mainbaord Config Overview"/>
      <sheetName val="Fascia"/>
      <sheetName val="VR Languages"/>
      <sheetName val="A-IVI Languages"/>
      <sheetName val="Map Cut Sc 2.1"/>
      <sheetName val="VR Languages for SDB CRQ"/>
    </sheetNames>
    <sheetDataSet>
      <sheetData sheetId="0"/>
      <sheetData sheetId="1"/>
      <sheetData sheetId="2"/>
      <sheetData sheetId="3"/>
      <sheetData sheetId="4"/>
      <sheetData sheetId="5">
        <row r="52">
          <cell r="G52" t="str">
            <v>NAM_ST2.0_N_EN+N_MI</v>
          </cell>
        </row>
        <row r="53">
          <cell r="G53" t="str">
            <v>MEX_ST2.0_N_EN+N_MI</v>
          </cell>
        </row>
        <row r="54">
          <cell r="G54" t="str">
            <v>SAM-ARG_ST2.0_N_EN+N_MI</v>
          </cell>
        </row>
        <row r="55">
          <cell r="G55" t="str">
            <v>SAM-CHL_ST2.0_N_EN+N_MI</v>
          </cell>
        </row>
        <row r="56">
          <cell r="G56" t="str">
            <v>MEA_ST2.0_N_EN+N_MI</v>
          </cell>
        </row>
        <row r="57">
          <cell r="G57" t="str">
            <v>AFR_ST2.0_N_EN+N_MI</v>
          </cell>
        </row>
        <row r="58">
          <cell r="G58" t="str">
            <v>MOR_ST2.0_N_EN+N_MI</v>
          </cell>
        </row>
        <row r="59">
          <cell r="G59" t="str">
            <v>EUR-W_ST2.0_N_EN+N_MI</v>
          </cell>
        </row>
        <row r="60">
          <cell r="G60" t="str">
            <v>EUR-NE_ST2.0_N_EN+N_MI</v>
          </cell>
        </row>
        <row r="61">
          <cell r="G61" t="str">
            <v>TUR-EUR_ST2.0_N_EN+N_MI</v>
          </cell>
        </row>
        <row r="62">
          <cell r="G62" t="str">
            <v>RUS-EUR_ST2.0_N_EN+N_MI</v>
          </cell>
        </row>
        <row r="63">
          <cell r="G63" t="str">
            <v>Central Asia_ST2.0_N_EN+N_MI</v>
          </cell>
        </row>
        <row r="64">
          <cell r="G64" t="str">
            <v>TWN_ST2.0_N_EN+N_MI</v>
          </cell>
        </row>
        <row r="65">
          <cell r="G65" t="str">
            <v>APAC_ST2.0_N_EN+N_MI</v>
          </cell>
        </row>
        <row r="66">
          <cell r="G66" t="str">
            <v>ISR_ST2.0_N_EN+N_MI</v>
          </cell>
        </row>
        <row r="67">
          <cell r="G67" t="str">
            <v>PRC_ST2.0_N_EN+N_MI</v>
          </cell>
        </row>
        <row r="68">
          <cell r="G68" t="str">
            <v>IND_ST2.0_N_EN+N_MI</v>
          </cell>
        </row>
        <row r="70">
          <cell r="G70" t="str">
            <v>Japan</v>
          </cell>
        </row>
        <row r="71">
          <cell r="G71" t="str">
            <v>Korea</v>
          </cell>
        </row>
        <row r="72">
          <cell r="G72" t="str">
            <v>No Map</v>
          </cell>
        </row>
      </sheetData>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nts"/>
      <sheetName val="Variability definition"/>
      <sheetName val="Sticks"/>
      <sheetName val="Review Coding"/>
      <sheetName val="Ressources"/>
      <sheetName val="SDB vs GN"/>
      <sheetName val="Legend"/>
      <sheetName val="Hints"/>
    </sheetNames>
    <sheetDataSet>
      <sheetData sheetId="0"/>
      <sheetData sheetId="1"/>
      <sheetData sheetId="2"/>
      <sheetData sheetId="3"/>
      <sheetData sheetId="4"/>
      <sheetData sheetId="5">
        <row r="16">
          <cell r="A16" t="str">
            <v>No_SDB</v>
          </cell>
          <cell r="B16" t="str">
            <v>No_Gracenote</v>
          </cell>
        </row>
        <row r="17">
          <cell r="A17" t="str">
            <v>AFR_SDB</v>
          </cell>
          <cell r="B17" t="str">
            <v>831_AUSKRJPN</v>
          </cell>
        </row>
        <row r="18">
          <cell r="A18" t="str">
            <v>CAS_SDB</v>
          </cell>
          <cell r="B18" t="str">
            <v>731_EUR</v>
          </cell>
        </row>
        <row r="19">
          <cell r="A19" t="str">
            <v>DA1_SDB</v>
          </cell>
          <cell r="B19" t="str">
            <v>734_CN_831_AUSKRJPN</v>
          </cell>
        </row>
        <row r="20">
          <cell r="A20" t="str">
            <v>DA2_SDB</v>
          </cell>
          <cell r="B20" t="str">
            <v>735_LA_831_AUSKRJPN</v>
          </cell>
        </row>
        <row r="21">
          <cell r="A21" t="str">
            <v>NAM_SDB</v>
          </cell>
          <cell r="B21" t="str">
            <v>727_NAM</v>
          </cell>
        </row>
        <row r="22">
          <cell r="A22" t="str">
            <v>LAC_SDB</v>
          </cell>
          <cell r="B22" t="str">
            <v>735_LA</v>
          </cell>
        </row>
        <row r="23">
          <cell r="A23" t="str">
            <v>ASR_SDB</v>
          </cell>
          <cell r="B23" t="str">
            <v>831_AUSKRJPN</v>
          </cell>
        </row>
        <row r="24">
          <cell r="A24" t="str">
            <v>GCC_SDB</v>
          </cell>
          <cell r="B24" t="str">
            <v>731_EUR</v>
          </cell>
        </row>
        <row r="25">
          <cell r="A25" t="str">
            <v>EUR_SDB</v>
          </cell>
          <cell r="B25" t="str">
            <v>731_EUR</v>
          </cell>
        </row>
        <row r="26">
          <cell r="A26" t="str">
            <v>EUL_SDB</v>
          </cell>
          <cell r="B26" t="str">
            <v>731_EUR</v>
          </cell>
        </row>
        <row r="27">
          <cell r="A27" t="str">
            <v>RUS_SDB</v>
          </cell>
          <cell r="B27" t="str">
            <v>731_EUR</v>
          </cell>
        </row>
        <row r="28">
          <cell r="A28" t="str">
            <v>JPN_SDB</v>
          </cell>
          <cell r="B28" t="str">
            <v>742_JPN_831_AUSKRJPN</v>
          </cell>
        </row>
        <row r="29">
          <cell r="A29" t="str">
            <v>PRC_SDB</v>
          </cell>
          <cell r="B29" t="str">
            <v>734_CN_831_AUSKRJPN</v>
          </cell>
        </row>
        <row r="30">
          <cell r="A30" t="str">
            <v>GOM_SDB</v>
          </cell>
          <cell r="B30" t="str">
            <v>734_CN_831_AUSKRJPN</v>
          </cell>
        </row>
        <row r="31">
          <cell r="A31" t="str">
            <v>Invalid</v>
          </cell>
          <cell r="B31" t="str">
            <v>Invalid</v>
          </cell>
        </row>
        <row r="33">
          <cell r="B33" t="str">
            <v>734_CN_831_AUSKRJPN_CHENC</v>
          </cell>
        </row>
        <row r="34">
          <cell r="B34" t="str">
            <v>742_JPN_831_AUSKRJPN_CDDB</v>
          </cell>
        </row>
      </sheetData>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nts as offered"/>
      <sheetName val="Variants for development"/>
      <sheetName val="Tabelle1"/>
      <sheetName val="IVI silver box Variation "/>
      <sheetName val="CRQ230 volume Summary"/>
      <sheetName val="Map Cut Sc 2.1"/>
      <sheetName val="Alliance-IVI-Languages-v1.8_CRQ"/>
      <sheetName val="Map Cuts (outdated)"/>
      <sheetName val="ST1.13 P-IVI Variation List"/>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Drawings - Reference table"/>
      <sheetName val="Variants Renault"/>
      <sheetName val="Map Cut Sc 2.1"/>
      <sheetName val="PCB overview"/>
      <sheetName val="VR Languages SDB CRQ"/>
      <sheetName val=" Sub PCB connector config"/>
      <sheetName val="TR Variant matrix review CRQ 52"/>
      <sheetName val="Renault's answer"/>
      <sheetName val="Variants Renault (2)"/>
      <sheetName val="Excerpt QAS List"/>
      <sheetName val="Variant Matrix DS-V.101"/>
      <sheetName val="Qualitative Changes "/>
      <sheetName val="Linked Documents"/>
      <sheetName val="Regions"/>
      <sheetName val="Data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hi-dms.de.bosch.com/docushare/dsweb/Get/Document-734406/A-IVI-Variant-Matrix_v01.00_d66.xlsm" TargetMode="External"/><Relationship Id="rId2" Type="http://schemas.openxmlformats.org/officeDocument/2006/relationships/hyperlink" Target="https://hi-dms.de.bosch.com/docushare/dsweb/Services/Document-454721" TargetMode="External"/><Relationship Id="rId1" Type="http://schemas.openxmlformats.org/officeDocument/2006/relationships/hyperlink" Target="https://hi-dms.de.bosch.com/docushare/dsweb/ServicesLib/Document-633905/History/"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863"/>
  <sheetViews>
    <sheetView tabSelected="1" zoomScale="85" zoomScaleNormal="85" zoomScaleSheetLayoutView="100" workbookViewId="0">
      <pane xSplit="4" ySplit="3" topLeftCell="AH633" activePane="bottomRight" state="frozen"/>
      <selection pane="topRight" activeCell="E1" sqref="E1"/>
      <selection pane="bottomLeft" activeCell="A3" sqref="A3"/>
      <selection pane="bottomRight" activeCell="D634" sqref="D634"/>
    </sheetView>
  </sheetViews>
  <sheetFormatPr defaultColWidth="20.6640625" defaultRowHeight="13.2"/>
  <cols>
    <col min="1" max="1" width="21" style="35" customWidth="1"/>
    <col min="2" max="2" width="20.88671875" style="29" customWidth="1"/>
    <col min="3" max="3" width="71" style="35" customWidth="1"/>
    <col min="4" max="4" width="28.109375" style="35" customWidth="1"/>
    <col min="5" max="5" width="17.44140625" style="35" customWidth="1"/>
    <col min="6" max="6" width="15" style="35" customWidth="1"/>
    <col min="7" max="7" width="34.6640625" style="35" customWidth="1"/>
    <col min="8" max="8" width="16.88671875" style="35" customWidth="1"/>
    <col min="9" max="9" width="19.5546875" style="35" customWidth="1"/>
    <col min="10" max="10" width="22.88671875" style="35" customWidth="1"/>
    <col min="11" max="11" width="22.88671875" style="26" customWidth="1"/>
    <col min="12" max="12" width="30.5546875" style="35" customWidth="1"/>
    <col min="13" max="13" width="51.6640625" style="35" customWidth="1"/>
    <col min="14" max="14" width="51.109375" style="35" customWidth="1"/>
    <col min="15" max="15" width="18.5546875" style="35" bestFit="1" customWidth="1"/>
    <col min="16" max="16" width="32" style="35" customWidth="1"/>
    <col min="17" max="17" width="32.109375" style="23" customWidth="1"/>
    <col min="18" max="18" width="27.109375" style="35" customWidth="1"/>
    <col min="19" max="19" width="22.88671875" style="35" customWidth="1"/>
    <col min="20" max="20" width="21" style="35" customWidth="1"/>
    <col min="21" max="21" width="14.5546875" style="35" customWidth="1"/>
    <col min="22" max="22" width="27.44140625" style="24" customWidth="1"/>
    <col min="23" max="23" width="20.109375" style="27" customWidth="1"/>
    <col min="24" max="24" width="31" style="35" customWidth="1"/>
    <col min="25" max="25" width="37.44140625" style="35" customWidth="1"/>
    <col min="26" max="26" width="28.33203125" style="35" customWidth="1"/>
    <col min="27" max="27" width="27.33203125" style="23" customWidth="1"/>
    <col min="28" max="28" width="30.5546875" style="23" customWidth="1"/>
    <col min="29" max="29" width="40.33203125" style="29" bestFit="1" customWidth="1"/>
    <col min="30" max="30" width="16.33203125" style="35" hidden="1" customWidth="1"/>
    <col min="31" max="31" width="21" style="35" hidden="1" customWidth="1"/>
    <col min="32" max="32" width="22.109375" style="35" hidden="1" customWidth="1"/>
    <col min="33" max="33" width="21.6640625" style="35" hidden="1" customWidth="1"/>
    <col min="34" max="34" width="248.88671875" style="24" bestFit="1" customWidth="1"/>
    <col min="35" max="16384" width="20.6640625" style="35"/>
  </cols>
  <sheetData>
    <row r="1" spans="1:34">
      <c r="A1" s="284" t="s">
        <v>1211</v>
      </c>
      <c r="B1" s="285"/>
      <c r="C1" s="286"/>
      <c r="D1" s="284" t="s">
        <v>1212</v>
      </c>
      <c r="E1" s="284" t="s">
        <v>1212</v>
      </c>
      <c r="F1" s="284" t="s">
        <v>1212</v>
      </c>
      <c r="G1" s="287"/>
      <c r="H1" s="284"/>
      <c r="I1" s="287" t="s">
        <v>1212</v>
      </c>
      <c r="J1" s="287"/>
      <c r="K1" s="288"/>
      <c r="L1" s="287"/>
      <c r="M1" s="284" t="s">
        <v>1212</v>
      </c>
      <c r="N1" s="291" t="s">
        <v>1212</v>
      </c>
      <c r="O1" s="284" t="s">
        <v>1212</v>
      </c>
      <c r="P1" s="284" t="s">
        <v>1212</v>
      </c>
      <c r="Q1" s="284" t="s">
        <v>1213</v>
      </c>
      <c r="R1" s="284" t="s">
        <v>1212</v>
      </c>
      <c r="S1" s="284" t="s">
        <v>1213</v>
      </c>
      <c r="T1" s="284" t="s">
        <v>1212</v>
      </c>
      <c r="U1" s="289" t="s">
        <v>1214</v>
      </c>
      <c r="V1" s="290" t="s">
        <v>1212</v>
      </c>
      <c r="W1" s="291" t="s">
        <v>1212</v>
      </c>
      <c r="X1" s="284" t="s">
        <v>1212</v>
      </c>
      <c r="Y1" s="291" t="s">
        <v>1212</v>
      </c>
      <c r="Z1" s="291" t="s">
        <v>1212</v>
      </c>
      <c r="AA1" s="284"/>
      <c r="AB1" s="284"/>
      <c r="AC1" s="292"/>
      <c r="AD1" s="286"/>
      <c r="AE1" s="286"/>
      <c r="AF1" s="286"/>
      <c r="AG1" s="286"/>
      <c r="AH1" s="293"/>
    </row>
    <row r="2" spans="1:34">
      <c r="A2" s="37">
        <v>1</v>
      </c>
      <c r="B2" s="38" t="s">
        <v>1196</v>
      </c>
      <c r="C2" s="37">
        <v>3</v>
      </c>
      <c r="D2" s="38" t="s">
        <v>1197</v>
      </c>
      <c r="E2" s="37">
        <v>5</v>
      </c>
      <c r="F2" s="38" t="s">
        <v>1198</v>
      </c>
      <c r="G2" s="37">
        <v>7</v>
      </c>
      <c r="H2" s="38" t="s">
        <v>1199</v>
      </c>
      <c r="I2" s="37">
        <v>9</v>
      </c>
      <c r="J2" s="38" t="s">
        <v>1200</v>
      </c>
      <c r="K2" s="38" t="s">
        <v>1201</v>
      </c>
      <c r="L2" s="37">
        <v>12</v>
      </c>
      <c r="M2" s="37">
        <v>13</v>
      </c>
      <c r="N2" s="38" t="s">
        <v>1202</v>
      </c>
      <c r="O2" s="37">
        <v>15</v>
      </c>
      <c r="P2" s="38" t="s">
        <v>1203</v>
      </c>
      <c r="Q2" s="37">
        <v>17</v>
      </c>
      <c r="R2" s="38" t="s">
        <v>1204</v>
      </c>
      <c r="S2" s="37">
        <v>19</v>
      </c>
      <c r="T2" s="38" t="s">
        <v>1205</v>
      </c>
      <c r="U2" s="37">
        <v>21</v>
      </c>
      <c r="V2" s="38" t="s">
        <v>1206</v>
      </c>
      <c r="W2" s="37">
        <v>23</v>
      </c>
      <c r="X2" s="38" t="s">
        <v>1207</v>
      </c>
      <c r="Y2" s="38" t="s">
        <v>1279</v>
      </c>
      <c r="Z2" s="38" t="s">
        <v>1279</v>
      </c>
      <c r="AA2" s="38" t="s">
        <v>1208</v>
      </c>
      <c r="AB2" s="38" t="s">
        <v>1280</v>
      </c>
      <c r="AC2" s="38" t="s">
        <v>1209</v>
      </c>
      <c r="AD2" s="38" t="s">
        <v>1281</v>
      </c>
      <c r="AE2" s="38" t="s">
        <v>1210</v>
      </c>
      <c r="AF2" s="38" t="s">
        <v>1282</v>
      </c>
      <c r="AG2" s="38" t="s">
        <v>1283</v>
      </c>
      <c r="AH2" s="38" t="s">
        <v>1284</v>
      </c>
    </row>
    <row r="3" spans="1:34" s="25" customFormat="1" ht="26.4">
      <c r="A3" s="46" t="s">
        <v>1740</v>
      </c>
      <c r="B3" s="47" t="s">
        <v>1741</v>
      </c>
      <c r="C3" s="48" t="s">
        <v>30</v>
      </c>
      <c r="D3" s="49" t="s">
        <v>36</v>
      </c>
      <c r="E3" s="309" t="s">
        <v>1232</v>
      </c>
      <c r="F3" s="49" t="s">
        <v>29</v>
      </c>
      <c r="G3" s="48" t="s">
        <v>352</v>
      </c>
      <c r="H3" s="49" t="s">
        <v>640</v>
      </c>
      <c r="I3" s="48" t="s">
        <v>2</v>
      </c>
      <c r="J3" s="48" t="s">
        <v>353</v>
      </c>
      <c r="K3" s="50" t="s">
        <v>354</v>
      </c>
      <c r="L3" s="48" t="s">
        <v>355</v>
      </c>
      <c r="M3" s="49" t="s">
        <v>1911</v>
      </c>
      <c r="N3" s="49" t="s">
        <v>1912</v>
      </c>
      <c r="O3" s="46" t="s">
        <v>52</v>
      </c>
      <c r="P3" s="46" t="s">
        <v>8</v>
      </c>
      <c r="Q3" s="46" t="s">
        <v>57</v>
      </c>
      <c r="R3" s="46" t="s">
        <v>67</v>
      </c>
      <c r="S3" s="48" t="s">
        <v>70</v>
      </c>
      <c r="T3" s="46" t="s">
        <v>21</v>
      </c>
      <c r="U3" s="46" t="s">
        <v>12</v>
      </c>
      <c r="V3" s="48" t="s">
        <v>58</v>
      </c>
      <c r="W3" s="181" t="s">
        <v>2183</v>
      </c>
      <c r="X3" s="181" t="s">
        <v>1291</v>
      </c>
      <c r="Y3" s="181" t="s">
        <v>1290</v>
      </c>
      <c r="Z3" s="181" t="s">
        <v>1591</v>
      </c>
      <c r="AA3" s="48" t="s">
        <v>48</v>
      </c>
      <c r="AB3" s="48" t="s">
        <v>160</v>
      </c>
      <c r="AC3" s="213" t="s">
        <v>65</v>
      </c>
      <c r="AD3" s="48" t="s">
        <v>806</v>
      </c>
      <c r="AE3" s="48" t="s">
        <v>2052</v>
      </c>
      <c r="AF3" s="48" t="s">
        <v>813</v>
      </c>
      <c r="AG3" s="48" t="s">
        <v>814</v>
      </c>
      <c r="AH3" s="48" t="s">
        <v>66</v>
      </c>
    </row>
    <row r="4" spans="1:34" ht="52.8">
      <c r="A4" s="51">
        <v>1</v>
      </c>
      <c r="B4" s="52" t="str">
        <f t="shared" ref="B4:B67" si="0">DEC2HEX(A4,4)</f>
        <v>0001</v>
      </c>
      <c r="C4" s="53" t="s">
        <v>49</v>
      </c>
      <c r="D4" s="54" t="s">
        <v>817</v>
      </c>
      <c r="E4" s="279" t="s">
        <v>1233</v>
      </c>
      <c r="F4" s="396" t="s">
        <v>1043</v>
      </c>
      <c r="G4" s="396" t="s">
        <v>351</v>
      </c>
      <c r="H4" s="55" t="s">
        <v>637</v>
      </c>
      <c r="I4" s="39" t="s">
        <v>4</v>
      </c>
      <c r="J4" s="56" t="s">
        <v>0</v>
      </c>
      <c r="K4" s="166" t="s">
        <v>110</v>
      </c>
      <c r="L4" s="39" t="s">
        <v>1272</v>
      </c>
      <c r="M4" s="54" t="s">
        <v>68</v>
      </c>
      <c r="N4" s="279" t="s">
        <v>1215</v>
      </c>
      <c r="O4" s="236" t="s">
        <v>53</v>
      </c>
      <c r="P4" s="64" t="str">
        <f ca="1">IF(AND(OR(INDIRECT("K" &amp; ROW())="NAV-Premium",INDIRECT("K" &amp; ROW())="DA-Premium"),INDIRECT("M" &amp; ROW())="PARTITION_SCHEMA128__NavPiviJpn", INDIRECT("O" &amp; ROW())="JPN_SDB"),'SDB vs GN'!$B$41, IF(INDIRECT("H" &amp; ROW())="Chenc",'SDB vs GN'!$B$40, VLOOKUP(INDIRECT("O" &amp; ROW()),'SDB vs GN'!$A$16:$B$38,2,FALSE)))</f>
        <v>No_Gracenote</v>
      </c>
      <c r="Q4" s="58" t="s">
        <v>13</v>
      </c>
      <c r="R4" s="59" t="s">
        <v>63</v>
      </c>
      <c r="S4" s="60" t="s">
        <v>9</v>
      </c>
      <c r="T4" s="59" t="s">
        <v>449</v>
      </c>
      <c r="U4" s="62" t="s">
        <v>816</v>
      </c>
      <c r="V4" s="172" t="s">
        <v>7</v>
      </c>
      <c r="W4" s="63" t="s">
        <v>2184</v>
      </c>
      <c r="X4" s="64" t="s">
        <v>521</v>
      </c>
      <c r="Y4" s="282" t="s">
        <v>1286</v>
      </c>
      <c r="Z4" s="282" t="s">
        <v>1592</v>
      </c>
      <c r="AA4" s="37"/>
      <c r="AB4" s="65" t="s">
        <v>192</v>
      </c>
      <c r="AC4" s="214" t="s">
        <v>981</v>
      </c>
      <c r="AD4" s="67" t="s">
        <v>808</v>
      </c>
      <c r="AE4" s="302"/>
      <c r="AF4" s="67"/>
      <c r="AG4" s="67"/>
      <c r="AH4" s="67" t="s">
        <v>157</v>
      </c>
    </row>
    <row r="5" spans="1:34" ht="26.4">
      <c r="A5" s="51">
        <v>2</v>
      </c>
      <c r="B5" s="52" t="str">
        <f t="shared" si="0"/>
        <v>0002</v>
      </c>
      <c r="C5" s="53" t="s">
        <v>49</v>
      </c>
      <c r="D5" s="54" t="s">
        <v>818</v>
      </c>
      <c r="E5" s="279" t="s">
        <v>1233</v>
      </c>
      <c r="F5" s="396" t="s">
        <v>1043</v>
      </c>
      <c r="G5" s="396" t="s">
        <v>351</v>
      </c>
      <c r="H5" s="55" t="s">
        <v>637</v>
      </c>
      <c r="I5" s="39" t="s">
        <v>4</v>
      </c>
      <c r="J5" s="56" t="s">
        <v>0</v>
      </c>
      <c r="K5" s="166" t="s">
        <v>110</v>
      </c>
      <c r="L5" s="39" t="s">
        <v>1272</v>
      </c>
      <c r="M5" s="54" t="s">
        <v>68</v>
      </c>
      <c r="N5" s="279" t="s">
        <v>1215</v>
      </c>
      <c r="O5" s="236" t="s">
        <v>53</v>
      </c>
      <c r="P5" s="64" t="str">
        <f ca="1">IF(AND(OR(INDIRECT("K" &amp; ROW())="NAV-Premium",INDIRECT("K" &amp; ROW())="DA-Premium"),INDIRECT("M" &amp; ROW())="PARTITION_SCHEMA128__NavPiviJpn", INDIRECT("O" &amp; ROW())="JPN_SDB"),'SDB vs GN'!$B$41, IF(INDIRECT("H" &amp; ROW())="Chenc",'SDB vs GN'!$B$40, VLOOKUP(INDIRECT("O" &amp; ROW()),'SDB vs GN'!$A$16:$B$38,2,FALSE)))</f>
        <v>No_Gracenote</v>
      </c>
      <c r="Q5" s="58" t="s">
        <v>13</v>
      </c>
      <c r="R5" s="59" t="s">
        <v>63</v>
      </c>
      <c r="S5" s="60" t="s">
        <v>9</v>
      </c>
      <c r="T5" s="59" t="s">
        <v>449</v>
      </c>
      <c r="U5" s="62" t="s">
        <v>816</v>
      </c>
      <c r="V5" s="172" t="s">
        <v>7</v>
      </c>
      <c r="W5" s="63" t="s">
        <v>2184</v>
      </c>
      <c r="X5" s="64" t="s">
        <v>521</v>
      </c>
      <c r="Y5" s="282" t="s">
        <v>1286</v>
      </c>
      <c r="Z5" s="282" t="s">
        <v>1592</v>
      </c>
      <c r="AA5" s="37"/>
      <c r="AB5" s="65" t="s">
        <v>195</v>
      </c>
      <c r="AC5" s="215" t="s">
        <v>978</v>
      </c>
      <c r="AD5" s="67" t="s">
        <v>808</v>
      </c>
      <c r="AE5" s="302"/>
      <c r="AF5" s="67"/>
      <c r="AG5" s="67"/>
      <c r="AH5" s="67" t="s">
        <v>158</v>
      </c>
    </row>
    <row r="6" spans="1:34">
      <c r="A6" s="51">
        <v>3</v>
      </c>
      <c r="B6" s="52" t="str">
        <f t="shared" si="0"/>
        <v>0003</v>
      </c>
      <c r="C6" s="53" t="s">
        <v>47</v>
      </c>
      <c r="D6" s="54" t="s">
        <v>818</v>
      </c>
      <c r="E6" s="279" t="s">
        <v>1233</v>
      </c>
      <c r="F6" s="178" t="s">
        <v>1044</v>
      </c>
      <c r="G6" s="178" t="s">
        <v>345</v>
      </c>
      <c r="H6" s="55" t="s">
        <v>637</v>
      </c>
      <c r="I6" s="43" t="s">
        <v>815</v>
      </c>
      <c r="J6" s="56" t="s">
        <v>0</v>
      </c>
      <c r="K6" s="57" t="s">
        <v>453</v>
      </c>
      <c r="L6" s="40" t="s">
        <v>1271</v>
      </c>
      <c r="M6" s="54" t="s">
        <v>254</v>
      </c>
      <c r="N6" s="279" t="s">
        <v>1215</v>
      </c>
      <c r="O6" s="237" t="s">
        <v>781</v>
      </c>
      <c r="P6" s="64" t="str">
        <f ca="1">IF(AND(OR(INDIRECT("K" &amp; ROW())="NAV-Premium",INDIRECT("K" &amp; ROW())="DA-Premium"),INDIRECT("M" &amp; ROW())="PARTITION_SCHEMA128__NavPiviJpn", INDIRECT("O" &amp; ROW())="JPN_SDB"),'SDB vs GN'!$B$41, IF(INDIRECT("H" &amp; ROW())="Chenc",'SDB vs GN'!$B$40, VLOOKUP(INDIRECT("O" &amp; ROW()),'SDB vs GN'!$A$16:$B$38,2,FALSE)))</f>
        <v>731_EUR</v>
      </c>
      <c r="Q6" s="58" t="s">
        <v>13</v>
      </c>
      <c r="R6" s="59" t="s">
        <v>63</v>
      </c>
      <c r="S6" s="60" t="s">
        <v>9</v>
      </c>
      <c r="T6" s="59" t="s">
        <v>449</v>
      </c>
      <c r="U6" s="62" t="s">
        <v>816</v>
      </c>
      <c r="V6" s="173" t="s">
        <v>1129</v>
      </c>
      <c r="W6" s="69" t="s">
        <v>2184</v>
      </c>
      <c r="X6" s="64" t="s">
        <v>521</v>
      </c>
      <c r="Y6" s="282" t="s">
        <v>1286</v>
      </c>
      <c r="Z6" s="282" t="s">
        <v>1592</v>
      </c>
      <c r="AA6" s="37"/>
      <c r="AB6" s="70"/>
      <c r="AC6" s="216"/>
      <c r="AD6" s="67" t="s">
        <v>808</v>
      </c>
      <c r="AE6" s="302"/>
      <c r="AF6" s="67"/>
      <c r="AG6" s="67"/>
      <c r="AH6" s="72" t="s">
        <v>158</v>
      </c>
    </row>
    <row r="7" spans="1:34" ht="26.4">
      <c r="A7" s="51">
        <v>4</v>
      </c>
      <c r="B7" s="52" t="str">
        <f t="shared" si="0"/>
        <v>0004</v>
      </c>
      <c r="C7" s="53" t="s">
        <v>46</v>
      </c>
      <c r="D7" s="54" t="s">
        <v>818</v>
      </c>
      <c r="E7" s="279" t="s">
        <v>1233</v>
      </c>
      <c r="F7" s="178" t="s">
        <v>1044</v>
      </c>
      <c r="G7" s="178" t="s">
        <v>345</v>
      </c>
      <c r="H7" s="55" t="s">
        <v>637</v>
      </c>
      <c r="I7" s="43" t="s">
        <v>815</v>
      </c>
      <c r="J7" s="56" t="s">
        <v>0</v>
      </c>
      <c r="K7" s="57" t="s">
        <v>453</v>
      </c>
      <c r="L7" s="40" t="s">
        <v>1271</v>
      </c>
      <c r="M7" s="54" t="s">
        <v>254</v>
      </c>
      <c r="N7" s="279" t="s">
        <v>1215</v>
      </c>
      <c r="O7" s="237" t="s">
        <v>781</v>
      </c>
      <c r="P7" s="64" t="str">
        <f ca="1">IF(AND(OR(INDIRECT("K" &amp; ROW())="NAV-Premium",INDIRECT("K" &amp; ROW())="DA-Premium"),INDIRECT("M" &amp; ROW())="PARTITION_SCHEMA128__NavPiviJpn", INDIRECT("O" &amp; ROW())="JPN_SDB"),'SDB vs GN'!$B$41, IF(INDIRECT("H" &amp; ROW())="Chenc",'SDB vs GN'!$B$40, VLOOKUP(INDIRECT("O" &amp; ROW()),'SDB vs GN'!$A$16:$B$38,2,FALSE)))</f>
        <v>731_EUR</v>
      </c>
      <c r="Q7" s="58" t="s">
        <v>13</v>
      </c>
      <c r="R7" s="59" t="s">
        <v>64</v>
      </c>
      <c r="S7" s="60" t="s">
        <v>9</v>
      </c>
      <c r="T7" s="59" t="s">
        <v>449</v>
      </c>
      <c r="U7" s="62" t="s">
        <v>816</v>
      </c>
      <c r="V7" s="173" t="s">
        <v>1129</v>
      </c>
      <c r="W7" s="69" t="s">
        <v>2184</v>
      </c>
      <c r="X7" s="64" t="s">
        <v>521</v>
      </c>
      <c r="Y7" s="282" t="s">
        <v>1286</v>
      </c>
      <c r="Z7" s="282" t="s">
        <v>1592</v>
      </c>
      <c r="AA7" s="37"/>
      <c r="AB7" s="65" t="s">
        <v>193</v>
      </c>
      <c r="AC7" s="217" t="s">
        <v>979</v>
      </c>
      <c r="AD7" s="67" t="s">
        <v>808</v>
      </c>
      <c r="AE7" s="302"/>
      <c r="AF7" s="67"/>
      <c r="AG7" s="67"/>
      <c r="AH7" s="72" t="s">
        <v>158</v>
      </c>
    </row>
    <row r="8" spans="1:34" ht="26.4">
      <c r="A8" s="51">
        <v>5</v>
      </c>
      <c r="B8" s="52" t="str">
        <f t="shared" si="0"/>
        <v>0005</v>
      </c>
      <c r="C8" s="53" t="s">
        <v>39</v>
      </c>
      <c r="D8" s="54" t="s">
        <v>818</v>
      </c>
      <c r="E8" s="279" t="s">
        <v>1233</v>
      </c>
      <c r="F8" s="178" t="s">
        <v>1044</v>
      </c>
      <c r="G8" s="178" t="s">
        <v>345</v>
      </c>
      <c r="H8" s="55" t="s">
        <v>637</v>
      </c>
      <c r="I8" s="43" t="s">
        <v>815</v>
      </c>
      <c r="J8" s="56" t="s">
        <v>0</v>
      </c>
      <c r="K8" s="57" t="s">
        <v>453</v>
      </c>
      <c r="L8" s="40" t="s">
        <v>1271</v>
      </c>
      <c r="M8" s="54" t="s">
        <v>254</v>
      </c>
      <c r="N8" s="279" t="s">
        <v>1215</v>
      </c>
      <c r="O8" s="238" t="s">
        <v>84</v>
      </c>
      <c r="P8" s="64" t="str">
        <f ca="1">IF(AND(OR(INDIRECT("K" &amp; ROW())="NAV-Premium",INDIRECT("K" &amp; ROW())="DA-Premium"),INDIRECT("M" &amp; ROW())="PARTITION_SCHEMA128__NavPiviJpn", INDIRECT("O" &amp; ROW())="JPN_SDB"),'SDB vs GN'!$B$41, IF(INDIRECT("H" &amp; ROW())="Chenc",'SDB vs GN'!$B$40, VLOOKUP(INDIRECT("O" &amp; ROW()),'SDB vs GN'!$A$16:$B$38,2,FALSE)))</f>
        <v>727_NAM</v>
      </c>
      <c r="Q8" s="58" t="s">
        <v>13</v>
      </c>
      <c r="R8" s="59" t="s">
        <v>134</v>
      </c>
      <c r="S8" s="60" t="s">
        <v>9</v>
      </c>
      <c r="T8" s="59" t="s">
        <v>450</v>
      </c>
      <c r="U8" s="62" t="s">
        <v>816</v>
      </c>
      <c r="V8" s="173" t="s">
        <v>610</v>
      </c>
      <c r="W8" s="69" t="s">
        <v>2184</v>
      </c>
      <c r="X8" s="64" t="s">
        <v>521</v>
      </c>
      <c r="Y8" s="282" t="s">
        <v>1286</v>
      </c>
      <c r="Z8" s="282" t="s">
        <v>1592</v>
      </c>
      <c r="AA8" s="37"/>
      <c r="AB8" s="65" t="s">
        <v>194</v>
      </c>
      <c r="AC8" s="214" t="s">
        <v>980</v>
      </c>
      <c r="AD8" s="67" t="s">
        <v>808</v>
      </c>
      <c r="AE8" s="302"/>
      <c r="AF8" s="67"/>
      <c r="AG8" s="67"/>
      <c r="AH8" s="72" t="s">
        <v>159</v>
      </c>
    </row>
    <row r="9" spans="1:34" ht="79.2">
      <c r="A9" s="51">
        <v>17</v>
      </c>
      <c r="B9" s="52" t="str">
        <f t="shared" si="0"/>
        <v>0011</v>
      </c>
      <c r="C9" s="53" t="s">
        <v>6</v>
      </c>
      <c r="D9" s="54" t="s">
        <v>27</v>
      </c>
      <c r="E9" s="279" t="s">
        <v>1233</v>
      </c>
      <c r="F9" s="396" t="s">
        <v>1043</v>
      </c>
      <c r="G9" s="396" t="s">
        <v>351</v>
      </c>
      <c r="H9" s="55" t="s">
        <v>637</v>
      </c>
      <c r="I9" s="39" t="s">
        <v>4</v>
      </c>
      <c r="J9" s="56" t="s">
        <v>0</v>
      </c>
      <c r="K9" s="166" t="s">
        <v>110</v>
      </c>
      <c r="L9" s="39" t="s">
        <v>1272</v>
      </c>
      <c r="M9" s="54" t="s">
        <v>68</v>
      </c>
      <c r="N9" s="279" t="s">
        <v>1215</v>
      </c>
      <c r="O9" s="238" t="s">
        <v>53</v>
      </c>
      <c r="P9" s="64" t="str">
        <f ca="1">IF(AND(OR(INDIRECT("K" &amp; ROW())="NAV-Premium",INDIRECT("K" &amp; ROW())="DA-Premium"),INDIRECT("M" &amp; ROW())="PARTITION_SCHEMA128__NavPiviJpn", INDIRECT("O" &amp; ROW())="JPN_SDB"),'SDB vs GN'!$B$41, IF(INDIRECT("H" &amp; ROW())="Chenc",'SDB vs GN'!$B$40, VLOOKUP(INDIRECT("O" &amp; ROW()),'SDB vs GN'!$A$16:$B$38,2,FALSE)))</f>
        <v>No_Gracenote</v>
      </c>
      <c r="Q9" s="58" t="s">
        <v>13</v>
      </c>
      <c r="R9" s="59" t="s">
        <v>63</v>
      </c>
      <c r="S9" s="60" t="s">
        <v>9</v>
      </c>
      <c r="T9" s="59" t="s">
        <v>449</v>
      </c>
      <c r="U9" s="62" t="s">
        <v>816</v>
      </c>
      <c r="V9" s="172" t="s">
        <v>7</v>
      </c>
      <c r="W9" s="63" t="s">
        <v>2184</v>
      </c>
      <c r="X9" s="64" t="s">
        <v>521</v>
      </c>
      <c r="Y9" s="282" t="s">
        <v>1286</v>
      </c>
      <c r="Z9" s="282" t="s">
        <v>1592</v>
      </c>
      <c r="AA9" s="37"/>
      <c r="AB9" s="65" t="s">
        <v>161</v>
      </c>
      <c r="AC9" s="218" t="s">
        <v>275</v>
      </c>
      <c r="AD9" s="67" t="s">
        <v>808</v>
      </c>
      <c r="AE9" s="302"/>
      <c r="AF9" s="67"/>
      <c r="AG9" s="67"/>
      <c r="AH9" s="45" t="s">
        <v>1108</v>
      </c>
    </row>
    <row r="10" spans="1:34">
      <c r="A10" s="51">
        <v>6</v>
      </c>
      <c r="B10" s="52" t="str">
        <f t="shared" si="0"/>
        <v>0006</v>
      </c>
      <c r="C10" s="53" t="s">
        <v>18</v>
      </c>
      <c r="D10" s="54" t="s">
        <v>17</v>
      </c>
      <c r="E10" s="279" t="s">
        <v>1233</v>
      </c>
      <c r="F10" s="396" t="s">
        <v>1043</v>
      </c>
      <c r="G10" s="396" t="s">
        <v>351</v>
      </c>
      <c r="H10" s="55" t="s">
        <v>637</v>
      </c>
      <c r="I10" s="39" t="s">
        <v>4</v>
      </c>
      <c r="J10" s="56" t="s">
        <v>0</v>
      </c>
      <c r="K10" s="166" t="s">
        <v>110</v>
      </c>
      <c r="L10" s="39" t="s">
        <v>1272</v>
      </c>
      <c r="M10" s="54" t="s">
        <v>68</v>
      </c>
      <c r="N10" s="279" t="s">
        <v>1215</v>
      </c>
      <c r="O10" s="238" t="s">
        <v>53</v>
      </c>
      <c r="P10" s="64" t="str">
        <f ca="1">IF(AND(OR(INDIRECT("K" &amp; ROW())="NAV-Premium",INDIRECT("K" &amp; ROW())="DA-Premium"),INDIRECT("M" &amp; ROW())="PARTITION_SCHEMA128__NavPiviJpn", INDIRECT("O" &amp; ROW())="JPN_SDB"),'SDB vs GN'!$B$41, IF(INDIRECT("H" &amp; ROW())="Chenc",'SDB vs GN'!$B$40, VLOOKUP(INDIRECT("O" &amp; ROW()),'SDB vs GN'!$A$16:$B$38,2,FALSE)))</f>
        <v>No_Gracenote</v>
      </c>
      <c r="Q10" s="58" t="s">
        <v>13</v>
      </c>
      <c r="R10" s="59" t="s">
        <v>63</v>
      </c>
      <c r="S10" s="60" t="s">
        <v>9</v>
      </c>
      <c r="T10" s="59" t="s">
        <v>449</v>
      </c>
      <c r="U10" s="62" t="s">
        <v>816</v>
      </c>
      <c r="V10" s="172" t="s">
        <v>7</v>
      </c>
      <c r="W10" s="63" t="s">
        <v>2184</v>
      </c>
      <c r="X10" s="64" t="s">
        <v>521</v>
      </c>
      <c r="Y10" s="282" t="s">
        <v>1286</v>
      </c>
      <c r="Z10" s="282" t="s">
        <v>1592</v>
      </c>
      <c r="AA10" s="37"/>
      <c r="AB10" s="37"/>
      <c r="AC10" s="212"/>
      <c r="AD10" s="67" t="s">
        <v>808</v>
      </c>
      <c r="AE10" s="302"/>
      <c r="AF10" s="67"/>
      <c r="AG10" s="67"/>
      <c r="AH10" s="45"/>
    </row>
    <row r="11" spans="1:34" ht="26.4">
      <c r="A11" s="51">
        <v>7</v>
      </c>
      <c r="B11" s="52" t="str">
        <f t="shared" si="0"/>
        <v>0007</v>
      </c>
      <c r="C11" s="53" t="s">
        <v>23</v>
      </c>
      <c r="D11" s="54" t="s">
        <v>15</v>
      </c>
      <c r="E11" s="279" t="s">
        <v>1233</v>
      </c>
      <c r="F11" s="178" t="s">
        <v>1044</v>
      </c>
      <c r="G11" s="178" t="s">
        <v>345</v>
      </c>
      <c r="H11" s="55" t="s">
        <v>637</v>
      </c>
      <c r="I11" s="43" t="s">
        <v>815</v>
      </c>
      <c r="J11" s="56" t="s">
        <v>0</v>
      </c>
      <c r="K11" s="57" t="s">
        <v>452</v>
      </c>
      <c r="L11" s="40" t="s">
        <v>1271</v>
      </c>
      <c r="M11" s="54" t="s">
        <v>257</v>
      </c>
      <c r="N11" s="279" t="s">
        <v>1215</v>
      </c>
      <c r="O11" s="238" t="s">
        <v>84</v>
      </c>
      <c r="P11" s="64" t="str">
        <f ca="1">IF(AND(OR(INDIRECT("K" &amp; ROW())="NAV-Premium",INDIRECT("K" &amp; ROW())="DA-Premium"),INDIRECT("M" &amp; ROW())="PARTITION_SCHEMA128__NavPiviJpn", INDIRECT("O" &amp; ROW())="JPN_SDB"),'SDB vs GN'!$B$41, IF(INDIRECT("H" &amp; ROW())="Chenc",'SDB vs GN'!$B$40, VLOOKUP(INDIRECT("O" &amp; ROW()),'SDB vs GN'!$A$16:$B$38,2,FALSE)))</f>
        <v>727_NAM</v>
      </c>
      <c r="Q11" s="59" t="s">
        <v>20</v>
      </c>
      <c r="R11" s="59" t="s">
        <v>60</v>
      </c>
      <c r="S11" s="74" t="s">
        <v>10</v>
      </c>
      <c r="T11" s="58" t="s">
        <v>450</v>
      </c>
      <c r="U11" s="62" t="s">
        <v>816</v>
      </c>
      <c r="V11" s="173" t="s">
        <v>608</v>
      </c>
      <c r="W11" s="69" t="s">
        <v>448</v>
      </c>
      <c r="X11" s="64" t="s">
        <v>521</v>
      </c>
      <c r="Y11" s="282" t="s">
        <v>1286</v>
      </c>
      <c r="Z11" s="282" t="s">
        <v>1592</v>
      </c>
      <c r="AA11" s="37"/>
      <c r="AB11" s="65" t="s">
        <v>162</v>
      </c>
      <c r="AC11" s="224" t="s">
        <v>965</v>
      </c>
      <c r="AD11" s="67" t="s">
        <v>808</v>
      </c>
      <c r="AE11" s="302"/>
      <c r="AF11" s="67"/>
      <c r="AG11" s="67"/>
      <c r="AH11" s="45"/>
    </row>
    <row r="12" spans="1:34">
      <c r="A12" s="51">
        <v>8</v>
      </c>
      <c r="B12" s="52" t="str">
        <f t="shared" si="0"/>
        <v>0008</v>
      </c>
      <c r="C12" s="53" t="s">
        <v>31</v>
      </c>
      <c r="D12" s="54" t="s">
        <v>15</v>
      </c>
      <c r="E12" s="279" t="s">
        <v>1233</v>
      </c>
      <c r="F12" s="178" t="s">
        <v>1044</v>
      </c>
      <c r="G12" s="178" t="s">
        <v>345</v>
      </c>
      <c r="H12" s="55" t="s">
        <v>637</v>
      </c>
      <c r="I12" s="43" t="s">
        <v>815</v>
      </c>
      <c r="J12" s="56" t="s">
        <v>0</v>
      </c>
      <c r="K12" s="57" t="s">
        <v>452</v>
      </c>
      <c r="L12" s="40" t="s">
        <v>1271</v>
      </c>
      <c r="M12" s="54" t="s">
        <v>257</v>
      </c>
      <c r="N12" s="279" t="s">
        <v>1215</v>
      </c>
      <c r="O12" s="238" t="s">
        <v>84</v>
      </c>
      <c r="P12" s="64" t="str">
        <f ca="1">IF(AND(OR(INDIRECT("K" &amp; ROW())="NAV-Premium",INDIRECT("K" &amp; ROW())="DA-Premium"),INDIRECT("M" &amp; ROW())="PARTITION_SCHEMA128__NavPiviJpn", INDIRECT("O" &amp; ROW())="JPN_SDB"),'SDB vs GN'!$B$41, IF(INDIRECT("H" &amp; ROW())="Chenc",'SDB vs GN'!$B$40, VLOOKUP(INDIRECT("O" &amp; ROW()),'SDB vs GN'!$A$16:$B$38,2,FALSE)))</f>
        <v>727_NAM</v>
      </c>
      <c r="Q12" s="59" t="s">
        <v>20</v>
      </c>
      <c r="R12" s="44" t="s">
        <v>59</v>
      </c>
      <c r="S12" s="74" t="s">
        <v>10</v>
      </c>
      <c r="T12" s="58" t="s">
        <v>450</v>
      </c>
      <c r="U12" s="62" t="s">
        <v>816</v>
      </c>
      <c r="V12" s="173" t="s">
        <v>608</v>
      </c>
      <c r="W12" s="69" t="s">
        <v>448</v>
      </c>
      <c r="X12" s="64" t="s">
        <v>521</v>
      </c>
      <c r="Y12" s="282" t="s">
        <v>1286</v>
      </c>
      <c r="Z12" s="282" t="s">
        <v>1592</v>
      </c>
      <c r="AA12" s="37"/>
      <c r="AB12" s="37"/>
      <c r="AC12" s="212"/>
      <c r="AD12" s="67" t="s">
        <v>808</v>
      </c>
      <c r="AE12" s="302"/>
      <c r="AF12" s="67"/>
      <c r="AG12" s="67"/>
      <c r="AH12" s="45"/>
    </row>
    <row r="13" spans="1:34">
      <c r="A13" s="51">
        <v>9</v>
      </c>
      <c r="B13" s="52" t="str">
        <f t="shared" si="0"/>
        <v>0009</v>
      </c>
      <c r="C13" s="53" t="s">
        <v>22</v>
      </c>
      <c r="D13" s="54" t="s">
        <v>15</v>
      </c>
      <c r="E13" s="279" t="s">
        <v>1233</v>
      </c>
      <c r="F13" s="178" t="s">
        <v>1044</v>
      </c>
      <c r="G13" s="178" t="s">
        <v>345</v>
      </c>
      <c r="H13" s="55" t="s">
        <v>637</v>
      </c>
      <c r="I13" s="43" t="s">
        <v>815</v>
      </c>
      <c r="J13" s="56" t="s">
        <v>0</v>
      </c>
      <c r="K13" s="57" t="s">
        <v>452</v>
      </c>
      <c r="L13" s="40" t="s">
        <v>1271</v>
      </c>
      <c r="M13" s="54" t="s">
        <v>257</v>
      </c>
      <c r="N13" s="279" t="s">
        <v>1215</v>
      </c>
      <c r="O13" s="238" t="s">
        <v>84</v>
      </c>
      <c r="P13" s="64" t="str">
        <f ca="1">IF(AND(OR(INDIRECT("K" &amp; ROW())="NAV-Premium",INDIRECT("K" &amp; ROW())="DA-Premium"),INDIRECT("M" &amp; ROW())="PARTITION_SCHEMA128__NavPiviJpn", INDIRECT("O" &amp; ROW())="JPN_SDB"),'SDB vs GN'!$B$41, IF(INDIRECT("H" &amp; ROW())="Chenc",'SDB vs GN'!$B$40, VLOOKUP(INDIRECT("O" &amp; ROW()),'SDB vs GN'!$A$16:$B$38,2,FALSE)))</f>
        <v>727_NAM</v>
      </c>
      <c r="Q13" s="59" t="s">
        <v>20</v>
      </c>
      <c r="R13" s="44" t="s">
        <v>59</v>
      </c>
      <c r="S13" s="74" t="s">
        <v>10</v>
      </c>
      <c r="T13" s="59" t="s">
        <v>449</v>
      </c>
      <c r="U13" s="62" t="s">
        <v>816</v>
      </c>
      <c r="V13" s="173" t="s">
        <v>1128</v>
      </c>
      <c r="W13" s="69" t="s">
        <v>448</v>
      </c>
      <c r="X13" s="64" t="s">
        <v>521</v>
      </c>
      <c r="Y13" s="282" t="s">
        <v>1286</v>
      </c>
      <c r="Z13" s="282" t="s">
        <v>1592</v>
      </c>
      <c r="AA13" s="37"/>
      <c r="AB13" s="37"/>
      <c r="AC13" s="212"/>
      <c r="AD13" s="67" t="s">
        <v>808</v>
      </c>
      <c r="AE13" s="302"/>
      <c r="AF13" s="67"/>
      <c r="AG13" s="67"/>
      <c r="AH13" s="45"/>
    </row>
    <row r="14" spans="1:34">
      <c r="A14" s="51">
        <v>10</v>
      </c>
      <c r="B14" s="52" t="str">
        <f t="shared" si="0"/>
        <v>000A</v>
      </c>
      <c r="C14" s="53" t="s">
        <v>80</v>
      </c>
      <c r="D14" s="54" t="s">
        <v>15</v>
      </c>
      <c r="E14" s="279" t="s">
        <v>1233</v>
      </c>
      <c r="F14" s="178" t="s">
        <v>1044</v>
      </c>
      <c r="G14" s="178" t="s">
        <v>345</v>
      </c>
      <c r="H14" s="55" t="s">
        <v>637</v>
      </c>
      <c r="I14" s="43" t="s">
        <v>815</v>
      </c>
      <c r="J14" s="56" t="s">
        <v>0</v>
      </c>
      <c r="K14" s="57" t="s">
        <v>452</v>
      </c>
      <c r="L14" s="40" t="s">
        <v>1271</v>
      </c>
      <c r="M14" s="54" t="s">
        <v>256</v>
      </c>
      <c r="N14" s="279" t="s">
        <v>1215</v>
      </c>
      <c r="O14" s="238" t="s">
        <v>54</v>
      </c>
      <c r="P14" s="64" t="str">
        <f ca="1">IF(AND(OR(INDIRECT("K" &amp; ROW())="NAV-Premium",INDIRECT("K" &amp; ROW())="DA-Premium"),INDIRECT("M" &amp; ROW())="PARTITION_SCHEMA128__NavPiviJpn", INDIRECT("O" &amp; ROW())="JPN_SDB"),'SDB vs GN'!$B$41, IF(INDIRECT("H" &amp; ROW())="Chenc",'SDB vs GN'!$B$40, VLOOKUP(INDIRECT("O" &amp; ROW()),'SDB vs GN'!$A$16:$B$38,2,FALSE)))</f>
        <v>731_EUR</v>
      </c>
      <c r="Q14" s="59" t="s">
        <v>20</v>
      </c>
      <c r="R14" s="75" t="s">
        <v>61</v>
      </c>
      <c r="S14" s="74" t="s">
        <v>10</v>
      </c>
      <c r="T14" s="59" t="s">
        <v>449</v>
      </c>
      <c r="U14" s="62" t="s">
        <v>816</v>
      </c>
      <c r="V14" s="173" t="s">
        <v>1130</v>
      </c>
      <c r="W14" s="69" t="s">
        <v>448</v>
      </c>
      <c r="X14" s="64" t="s">
        <v>521</v>
      </c>
      <c r="Y14" s="282" t="s">
        <v>1286</v>
      </c>
      <c r="Z14" s="282" t="s">
        <v>1592</v>
      </c>
      <c r="AA14" s="37"/>
      <c r="AB14" s="70" t="s">
        <v>163</v>
      </c>
      <c r="AC14" s="212" t="s">
        <v>276</v>
      </c>
      <c r="AD14" s="67" t="s">
        <v>808</v>
      </c>
      <c r="AE14" s="302"/>
      <c r="AF14" s="67"/>
      <c r="AG14" s="67"/>
      <c r="AH14" s="45"/>
    </row>
    <row r="15" spans="1:34">
      <c r="A15" s="51">
        <v>11</v>
      </c>
      <c r="B15" s="52" t="str">
        <f t="shared" si="0"/>
        <v>000B</v>
      </c>
      <c r="C15" s="253" t="s">
        <v>1439</v>
      </c>
      <c r="D15" s="196" t="s">
        <v>16</v>
      </c>
      <c r="E15" s="280" t="s">
        <v>1233</v>
      </c>
      <c r="F15" s="251" t="s">
        <v>1045</v>
      </c>
      <c r="G15" s="251" t="s">
        <v>878</v>
      </c>
      <c r="H15" s="196" t="s">
        <v>637</v>
      </c>
      <c r="I15" s="199" t="s">
        <v>5</v>
      </c>
      <c r="J15" s="253" t="s">
        <v>0</v>
      </c>
      <c r="K15" s="241" t="s">
        <v>452</v>
      </c>
      <c r="L15" s="254" t="s">
        <v>1271</v>
      </c>
      <c r="M15" s="196" t="s">
        <v>257</v>
      </c>
      <c r="N15" s="280" t="s">
        <v>1215</v>
      </c>
      <c r="O15" s="255" t="s">
        <v>55</v>
      </c>
      <c r="P15" s="203" t="str">
        <f ca="1">IF(AND(OR(INDIRECT("K" &amp; ROW())="NAV-Premium",INDIRECT("K" &amp; ROW())="DA-Premium"),INDIRECT("M" &amp; ROW())="PARTITION_SCHEMA128__NavPiviJpn", INDIRECT("O" &amp; ROW())="JPN_SDB"),'SDB vs GN'!$B$41, IF(INDIRECT("H" &amp; ROW())="Chenc",'SDB vs GN'!$B$40, VLOOKUP(INDIRECT("O" &amp; ROW()),'SDB vs GN'!$A$16:$B$38,2,FALSE)))</f>
        <v>742_JPN_831_AUSKRJPN</v>
      </c>
      <c r="Q15" s="198" t="s">
        <v>20</v>
      </c>
      <c r="R15" s="198" t="s">
        <v>133</v>
      </c>
      <c r="S15" s="201" t="s">
        <v>10</v>
      </c>
      <c r="T15" s="198" t="s">
        <v>449</v>
      </c>
      <c r="U15" s="202" t="s">
        <v>816</v>
      </c>
      <c r="V15" s="256" t="s">
        <v>602</v>
      </c>
      <c r="W15" s="203" t="s">
        <v>448</v>
      </c>
      <c r="X15" s="198" t="s">
        <v>521</v>
      </c>
      <c r="Y15" s="280" t="s">
        <v>1286</v>
      </c>
      <c r="Z15" s="280" t="s">
        <v>1592</v>
      </c>
      <c r="AA15" s="206"/>
      <c r="AB15" s="206"/>
      <c r="AC15" s="257"/>
      <c r="AD15" s="207" t="s">
        <v>824</v>
      </c>
      <c r="AE15" s="207"/>
      <c r="AF15" s="207"/>
      <c r="AG15" s="207"/>
      <c r="AH15" s="209"/>
    </row>
    <row r="16" spans="1:34">
      <c r="A16" s="51">
        <v>12</v>
      </c>
      <c r="B16" s="52" t="str">
        <f t="shared" si="0"/>
        <v>000C</v>
      </c>
      <c r="C16" s="53" t="s">
        <v>207</v>
      </c>
      <c r="D16" s="166" t="s">
        <v>819</v>
      </c>
      <c r="E16" s="282" t="s">
        <v>1233</v>
      </c>
      <c r="F16" s="177" t="s">
        <v>1046</v>
      </c>
      <c r="G16" s="177" t="s">
        <v>344</v>
      </c>
      <c r="H16" s="55" t="s">
        <v>637</v>
      </c>
      <c r="I16" s="40" t="s">
        <v>4</v>
      </c>
      <c r="J16" s="56" t="s">
        <v>0</v>
      </c>
      <c r="K16" s="57" t="s">
        <v>451</v>
      </c>
      <c r="L16" s="40" t="s">
        <v>1271</v>
      </c>
      <c r="M16" s="54" t="s">
        <v>255</v>
      </c>
      <c r="N16" s="279" t="s">
        <v>1215</v>
      </c>
      <c r="O16" s="238" t="s">
        <v>84</v>
      </c>
      <c r="P16" s="64" t="str">
        <f ca="1">IF(AND(OR(INDIRECT("K" &amp; ROW())="NAV-Premium",INDIRECT("K" &amp; ROW())="DA-Premium"),INDIRECT("M" &amp; ROW())="PARTITION_SCHEMA128__NavPiviJpn", INDIRECT("O" &amp; ROW())="JPN_SDB"),'SDB vs GN'!$B$41, IF(INDIRECT("H" &amp; ROW())="Chenc",'SDB vs GN'!$B$40, VLOOKUP(INDIRECT("O" &amp; ROW()),'SDB vs GN'!$A$16:$B$38,2,FALSE)))</f>
        <v>727_NAM</v>
      </c>
      <c r="Q16" s="59" t="s">
        <v>20</v>
      </c>
      <c r="R16" s="59" t="s">
        <v>60</v>
      </c>
      <c r="S16" s="74" t="s">
        <v>10</v>
      </c>
      <c r="T16" s="58" t="s">
        <v>450</v>
      </c>
      <c r="U16" s="62" t="s">
        <v>816</v>
      </c>
      <c r="V16" s="172" t="s">
        <v>7</v>
      </c>
      <c r="W16" s="63" t="s">
        <v>2184</v>
      </c>
      <c r="X16" s="64" t="s">
        <v>521</v>
      </c>
      <c r="Y16" s="282" t="s">
        <v>1286</v>
      </c>
      <c r="Z16" s="282" t="s">
        <v>1592</v>
      </c>
      <c r="AA16" s="37"/>
      <c r="AB16" s="37"/>
      <c r="AC16" s="212"/>
      <c r="AD16" s="67" t="s">
        <v>808</v>
      </c>
      <c r="AE16" s="302"/>
      <c r="AF16" s="67"/>
      <c r="AG16" s="67"/>
      <c r="AH16" s="45"/>
    </row>
    <row r="17" spans="1:38">
      <c r="A17" s="51">
        <v>13</v>
      </c>
      <c r="B17" s="52" t="str">
        <f t="shared" si="0"/>
        <v>000D</v>
      </c>
      <c r="C17" s="53" t="s">
        <v>81</v>
      </c>
      <c r="D17" s="54" t="s">
        <v>16</v>
      </c>
      <c r="E17" s="279" t="s">
        <v>1233</v>
      </c>
      <c r="F17" s="178" t="s">
        <v>1044</v>
      </c>
      <c r="G17" s="178" t="s">
        <v>345</v>
      </c>
      <c r="H17" s="55" t="s">
        <v>637</v>
      </c>
      <c r="I17" s="43" t="s">
        <v>815</v>
      </c>
      <c r="J17" s="56" t="s">
        <v>0</v>
      </c>
      <c r="K17" s="57" t="s">
        <v>452</v>
      </c>
      <c r="L17" s="40" t="s">
        <v>1271</v>
      </c>
      <c r="M17" s="54" t="s">
        <v>236</v>
      </c>
      <c r="N17" s="279" t="s">
        <v>1215</v>
      </c>
      <c r="O17" s="238" t="s">
        <v>54</v>
      </c>
      <c r="P17" s="64" t="str">
        <f ca="1">IF(AND(OR(INDIRECT("K" &amp; ROW())="NAV-Premium",INDIRECT("K" &amp; ROW())="DA-Premium"),INDIRECT("M" &amp; ROW())="PARTITION_SCHEMA128__NavPiviJpn", INDIRECT("O" &amp; ROW())="JPN_SDB"),'SDB vs GN'!$B$41, IF(INDIRECT("H" &amp; ROW())="Chenc",'SDB vs GN'!$B$40, VLOOKUP(INDIRECT("O" &amp; ROW()),'SDB vs GN'!$A$16:$B$38,2,FALSE)))</f>
        <v>731_EUR</v>
      </c>
      <c r="Q17" s="59" t="s">
        <v>20</v>
      </c>
      <c r="R17" s="75" t="s">
        <v>61</v>
      </c>
      <c r="S17" s="74" t="s">
        <v>10</v>
      </c>
      <c r="T17" s="59" t="s">
        <v>449</v>
      </c>
      <c r="U17" s="62" t="s">
        <v>816</v>
      </c>
      <c r="V17" s="173" t="s">
        <v>1130</v>
      </c>
      <c r="W17" s="69" t="s">
        <v>448</v>
      </c>
      <c r="X17" s="64" t="s">
        <v>521</v>
      </c>
      <c r="Y17" s="282" t="s">
        <v>1286</v>
      </c>
      <c r="Z17" s="282" t="s">
        <v>1592</v>
      </c>
      <c r="AA17" s="37"/>
      <c r="AB17" s="70">
        <v>384</v>
      </c>
      <c r="AC17" s="212" t="s">
        <v>71</v>
      </c>
      <c r="AD17" s="67" t="s">
        <v>808</v>
      </c>
      <c r="AE17" s="302"/>
      <c r="AF17" s="67" t="s">
        <v>1011</v>
      </c>
      <c r="AG17" s="67"/>
      <c r="AH17" s="45"/>
    </row>
    <row r="18" spans="1:38">
      <c r="A18" s="51">
        <v>14</v>
      </c>
      <c r="B18" s="52" t="str">
        <f t="shared" si="0"/>
        <v>000E</v>
      </c>
      <c r="C18" s="53" t="s">
        <v>620</v>
      </c>
      <c r="D18" s="166" t="s">
        <v>45</v>
      </c>
      <c r="E18" s="282" t="s">
        <v>1233</v>
      </c>
      <c r="F18" s="178" t="s">
        <v>1044</v>
      </c>
      <c r="G18" s="178" t="s">
        <v>345</v>
      </c>
      <c r="H18" s="55" t="s">
        <v>637</v>
      </c>
      <c r="I18" s="43" t="s">
        <v>815</v>
      </c>
      <c r="J18" s="57" t="s">
        <v>0</v>
      </c>
      <c r="K18" s="57" t="s">
        <v>452</v>
      </c>
      <c r="L18" s="40" t="s">
        <v>1271</v>
      </c>
      <c r="M18" s="54" t="s">
        <v>256</v>
      </c>
      <c r="N18" s="279" t="s">
        <v>1215</v>
      </c>
      <c r="O18" s="238" t="s">
        <v>54</v>
      </c>
      <c r="P18" s="64" t="str">
        <f ca="1">IF(AND(OR(INDIRECT("K" &amp; ROW())="NAV-Premium",INDIRECT("K" &amp; ROW())="DA-Premium"),INDIRECT("M" &amp; ROW())="PARTITION_SCHEMA128__NavPiviJpn", INDIRECT("O" &amp; ROW())="JPN_SDB"),'SDB vs GN'!$B$41, IF(INDIRECT("H" &amp; ROW())="Chenc",'SDB vs GN'!$B$40, VLOOKUP(INDIRECT("O" &amp; ROW()),'SDB vs GN'!$A$16:$B$38,2,FALSE)))</f>
        <v>731_EUR</v>
      </c>
      <c r="Q18" s="59" t="s">
        <v>20</v>
      </c>
      <c r="R18" s="59" t="s">
        <v>59</v>
      </c>
      <c r="S18" s="74" t="s">
        <v>10</v>
      </c>
      <c r="T18" s="59" t="s">
        <v>449</v>
      </c>
      <c r="U18" s="62" t="s">
        <v>816</v>
      </c>
      <c r="V18" s="173" t="s">
        <v>1130</v>
      </c>
      <c r="W18" s="69" t="s">
        <v>448</v>
      </c>
      <c r="X18" s="64" t="s">
        <v>521</v>
      </c>
      <c r="Y18" s="282" t="s">
        <v>1286</v>
      </c>
      <c r="Z18" s="282" t="s">
        <v>1592</v>
      </c>
      <c r="AA18" s="37"/>
      <c r="AB18" s="37"/>
      <c r="AC18" s="212"/>
      <c r="AD18" s="67" t="s">
        <v>808</v>
      </c>
      <c r="AE18" s="302"/>
      <c r="AF18" s="67"/>
      <c r="AG18" s="67"/>
      <c r="AH18" s="45" t="s">
        <v>223</v>
      </c>
    </row>
    <row r="19" spans="1:38" ht="39.6">
      <c r="A19" s="51">
        <v>15</v>
      </c>
      <c r="B19" s="52" t="str">
        <f t="shared" si="0"/>
        <v>000F</v>
      </c>
      <c r="C19" s="53" t="s">
        <v>82</v>
      </c>
      <c r="D19" s="54" t="s">
        <v>87</v>
      </c>
      <c r="E19" s="279" t="s">
        <v>1233</v>
      </c>
      <c r="F19" s="178" t="s">
        <v>1044</v>
      </c>
      <c r="G19" s="178" t="s">
        <v>345</v>
      </c>
      <c r="H19" s="55" t="s">
        <v>637</v>
      </c>
      <c r="I19" s="58" t="s">
        <v>815</v>
      </c>
      <c r="J19" s="54" t="s">
        <v>0</v>
      </c>
      <c r="K19" s="57" t="s">
        <v>452</v>
      </c>
      <c r="L19" s="40" t="s">
        <v>1271</v>
      </c>
      <c r="M19" s="54" t="s">
        <v>256</v>
      </c>
      <c r="N19" s="279" t="s">
        <v>1215</v>
      </c>
      <c r="O19" s="238" t="s">
        <v>54</v>
      </c>
      <c r="P19" s="64" t="str">
        <f ca="1">IF(AND(OR(INDIRECT("K" &amp; ROW())="NAV-Premium",INDIRECT("K" &amp; ROW())="DA-Premium"),INDIRECT("M" &amp; ROW())="PARTITION_SCHEMA128__NavPiviJpn", INDIRECT("O" &amp; ROW())="JPN_SDB"),'SDB vs GN'!$B$41, IF(INDIRECT("H" &amp; ROW())="Chenc",'SDB vs GN'!$B$40, VLOOKUP(INDIRECT("O" &amp; ROW()),'SDB vs GN'!$A$16:$B$38,2,FALSE)))</f>
        <v>731_EUR</v>
      </c>
      <c r="Q19" s="58" t="s">
        <v>20</v>
      </c>
      <c r="R19" s="75" t="s">
        <v>61</v>
      </c>
      <c r="S19" s="74" t="s">
        <v>10</v>
      </c>
      <c r="T19" s="59" t="s">
        <v>449</v>
      </c>
      <c r="U19" s="62" t="s">
        <v>816</v>
      </c>
      <c r="V19" s="173" t="s">
        <v>1130</v>
      </c>
      <c r="W19" s="69" t="s">
        <v>448</v>
      </c>
      <c r="X19" s="64" t="s">
        <v>521</v>
      </c>
      <c r="Y19" s="282" t="s">
        <v>1286</v>
      </c>
      <c r="Z19" s="282" t="s">
        <v>1592</v>
      </c>
      <c r="AA19" s="37"/>
      <c r="AB19" s="65" t="s">
        <v>164</v>
      </c>
      <c r="AC19" s="224" t="s">
        <v>964</v>
      </c>
      <c r="AD19" s="67" t="s">
        <v>808</v>
      </c>
      <c r="AE19" s="302"/>
      <c r="AF19" s="67"/>
      <c r="AG19" s="67"/>
      <c r="AH19" s="45" t="s">
        <v>116</v>
      </c>
      <c r="AI19" s="24"/>
      <c r="AJ19" s="24"/>
      <c r="AK19" s="24"/>
      <c r="AL19" s="24"/>
    </row>
    <row r="20" spans="1:38" ht="52.8">
      <c r="A20" s="51">
        <v>16</v>
      </c>
      <c r="B20" s="52" t="str">
        <f t="shared" si="0"/>
        <v>0010</v>
      </c>
      <c r="C20" s="53" t="s">
        <v>50</v>
      </c>
      <c r="D20" s="54" t="s">
        <v>87</v>
      </c>
      <c r="E20" s="279" t="s">
        <v>1233</v>
      </c>
      <c r="F20" s="178" t="s">
        <v>1044</v>
      </c>
      <c r="G20" s="178" t="s">
        <v>345</v>
      </c>
      <c r="H20" s="55" t="s">
        <v>637</v>
      </c>
      <c r="I20" s="58" t="s">
        <v>815</v>
      </c>
      <c r="J20" s="54" t="s">
        <v>0</v>
      </c>
      <c r="K20" s="57" t="s">
        <v>452</v>
      </c>
      <c r="L20" s="40" t="s">
        <v>1271</v>
      </c>
      <c r="M20" s="54" t="s">
        <v>257</v>
      </c>
      <c r="N20" s="279" t="s">
        <v>1215</v>
      </c>
      <c r="O20" s="238" t="s">
        <v>84</v>
      </c>
      <c r="P20" s="64" t="str">
        <f ca="1">IF(AND(OR(INDIRECT("K" &amp; ROW())="NAV-Premium",INDIRECT("K" &amp; ROW())="DA-Premium"),INDIRECT("M" &amp; ROW())="PARTITION_SCHEMA128__NavPiviJpn", INDIRECT("O" &amp; ROW())="JPN_SDB"),'SDB vs GN'!$B$41, IF(INDIRECT("H" &amp; ROW())="Chenc",'SDB vs GN'!$B$40, VLOOKUP(INDIRECT("O" &amp; ROW()),'SDB vs GN'!$A$16:$B$38,2,FALSE)))</f>
        <v>727_NAM</v>
      </c>
      <c r="Q20" s="58" t="s">
        <v>20</v>
      </c>
      <c r="R20" s="75" t="s">
        <v>60</v>
      </c>
      <c r="S20" s="74" t="s">
        <v>10</v>
      </c>
      <c r="T20" s="58" t="s">
        <v>450</v>
      </c>
      <c r="U20" s="62" t="s">
        <v>816</v>
      </c>
      <c r="V20" s="173" t="s">
        <v>608</v>
      </c>
      <c r="W20" s="69" t="s">
        <v>448</v>
      </c>
      <c r="X20" s="64" t="s">
        <v>521</v>
      </c>
      <c r="Y20" s="282" t="s">
        <v>1286</v>
      </c>
      <c r="Z20" s="282" t="s">
        <v>1592</v>
      </c>
      <c r="AA20" s="37"/>
      <c r="AB20" s="65" t="s">
        <v>197</v>
      </c>
      <c r="AC20" s="224" t="s">
        <v>966</v>
      </c>
      <c r="AD20" s="67" t="s">
        <v>808</v>
      </c>
      <c r="AE20" s="302"/>
      <c r="AF20" s="67"/>
      <c r="AG20" s="67"/>
      <c r="AH20" s="45" t="s">
        <v>116</v>
      </c>
      <c r="AI20" s="24"/>
      <c r="AJ20" s="24"/>
      <c r="AK20" s="24"/>
      <c r="AL20" s="24"/>
    </row>
    <row r="21" spans="1:38">
      <c r="A21" s="51">
        <v>18</v>
      </c>
      <c r="B21" s="52" t="str">
        <f t="shared" si="0"/>
        <v>0012</v>
      </c>
      <c r="C21" s="53" t="s">
        <v>83</v>
      </c>
      <c r="D21" s="54" t="s">
        <v>90</v>
      </c>
      <c r="E21" s="279" t="s">
        <v>1233</v>
      </c>
      <c r="F21" s="78" t="s">
        <v>1047</v>
      </c>
      <c r="G21" s="78" t="s">
        <v>761</v>
      </c>
      <c r="H21" s="55" t="s">
        <v>637</v>
      </c>
      <c r="I21" s="43" t="s">
        <v>815</v>
      </c>
      <c r="J21" s="57" t="s">
        <v>1</v>
      </c>
      <c r="K21" s="79" t="s">
        <v>749</v>
      </c>
      <c r="L21" s="59" t="s">
        <v>500</v>
      </c>
      <c r="M21" s="54" t="s">
        <v>1615</v>
      </c>
      <c r="N21" s="279" t="s">
        <v>1215</v>
      </c>
      <c r="O21" s="238" t="s">
        <v>54</v>
      </c>
      <c r="P21" s="64" t="str">
        <f ca="1">IF(AND(OR(INDIRECT("K" &amp; ROW())="NAV-Premium",INDIRECT("K" &amp; ROW())="DA-Premium"),INDIRECT("M" &amp; ROW())="PARTITION_SCHEMA128__NavPiviJpn", INDIRECT("O" &amp; ROW())="JPN_SDB"),'SDB vs GN'!$B$41, IF(INDIRECT("H" &amp; ROW())="Chenc",'SDB vs GN'!$B$40, VLOOKUP(INDIRECT("O" &amp; ROW()),'SDB vs GN'!$A$16:$B$38,2,FALSE)))</f>
        <v>731_EUR</v>
      </c>
      <c r="Q21" s="58" t="s">
        <v>20</v>
      </c>
      <c r="R21" s="75" t="s">
        <v>61</v>
      </c>
      <c r="S21" s="74" t="s">
        <v>10</v>
      </c>
      <c r="T21" s="59" t="s">
        <v>449</v>
      </c>
      <c r="U21" s="62" t="s">
        <v>12</v>
      </c>
      <c r="V21" s="172" t="s">
        <v>553</v>
      </c>
      <c r="W21" s="69" t="s">
        <v>448</v>
      </c>
      <c r="X21" s="64" t="s">
        <v>521</v>
      </c>
      <c r="Y21" s="282" t="s">
        <v>1286</v>
      </c>
      <c r="Z21" s="282" t="s">
        <v>1592</v>
      </c>
      <c r="AA21" s="37"/>
      <c r="AB21" s="70">
        <v>370</v>
      </c>
      <c r="AC21" s="235" t="s">
        <v>985</v>
      </c>
      <c r="AD21" s="67" t="s">
        <v>808</v>
      </c>
      <c r="AE21" s="302"/>
      <c r="AF21" s="67"/>
      <c r="AG21" s="67"/>
      <c r="AH21" s="45" t="s">
        <v>121</v>
      </c>
    </row>
    <row r="22" spans="1:38">
      <c r="A22" s="51">
        <v>19</v>
      </c>
      <c r="B22" s="52" t="str">
        <f t="shared" si="0"/>
        <v>0013</v>
      </c>
      <c r="C22" s="53" t="s">
        <v>146</v>
      </c>
      <c r="D22" s="54" t="s">
        <v>722</v>
      </c>
      <c r="E22" s="279" t="s">
        <v>1233</v>
      </c>
      <c r="F22" s="177" t="s">
        <v>1046</v>
      </c>
      <c r="G22" s="177" t="s">
        <v>344</v>
      </c>
      <c r="H22" s="55" t="s">
        <v>637</v>
      </c>
      <c r="I22" s="40" t="s">
        <v>4</v>
      </c>
      <c r="J22" s="57" t="s">
        <v>0</v>
      </c>
      <c r="K22" s="57" t="s">
        <v>451</v>
      </c>
      <c r="L22" s="40" t="s">
        <v>1271</v>
      </c>
      <c r="M22" s="54" t="s">
        <v>255</v>
      </c>
      <c r="N22" s="279" t="s">
        <v>1215</v>
      </c>
      <c r="O22" s="239" t="s">
        <v>828</v>
      </c>
      <c r="P22" s="64" t="str">
        <f ca="1">IF(AND(OR(INDIRECT("K" &amp; ROW())="NAV-Premium",INDIRECT("K" &amp; ROW())="DA-Premium"),INDIRECT("M" &amp; ROW())="PARTITION_SCHEMA128__NavPiviJpn", INDIRECT("O" &amp; ROW())="JPN_SDB"),'SDB vs GN'!$B$41, IF(INDIRECT("H" &amp; ROW())="Chenc",'SDB vs GN'!$B$40, VLOOKUP(INDIRECT("O" &amp; ROW()),'SDB vs GN'!$A$16:$B$38,2,FALSE)))</f>
        <v>735_LA_831_AUSKRJPN</v>
      </c>
      <c r="Q22" s="59" t="s">
        <v>20</v>
      </c>
      <c r="R22" s="44" t="s">
        <v>59</v>
      </c>
      <c r="S22" s="74" t="s">
        <v>10</v>
      </c>
      <c r="T22" s="59" t="s">
        <v>449</v>
      </c>
      <c r="U22" s="62" t="s">
        <v>816</v>
      </c>
      <c r="V22" s="172" t="s">
        <v>7</v>
      </c>
      <c r="W22" s="63" t="s">
        <v>2184</v>
      </c>
      <c r="X22" s="64" t="s">
        <v>521</v>
      </c>
      <c r="Y22" s="282" t="s">
        <v>1286</v>
      </c>
      <c r="Z22" s="282" t="s">
        <v>1592</v>
      </c>
      <c r="AA22" s="37"/>
      <c r="AB22" s="70">
        <v>343</v>
      </c>
      <c r="AC22" s="224" t="s">
        <v>987</v>
      </c>
      <c r="AD22" s="67" t="s">
        <v>808</v>
      </c>
      <c r="AE22" s="302"/>
      <c r="AF22" s="67"/>
      <c r="AG22" s="67"/>
      <c r="AH22" s="45" t="s">
        <v>2185</v>
      </c>
    </row>
    <row r="23" spans="1:38" ht="66">
      <c r="A23" s="51">
        <v>20</v>
      </c>
      <c r="B23" s="52" t="str">
        <f t="shared" si="0"/>
        <v>0014</v>
      </c>
      <c r="C23" s="191" t="s">
        <v>206</v>
      </c>
      <c r="D23" s="54" t="s">
        <v>88</v>
      </c>
      <c r="E23" s="279" t="s">
        <v>1233</v>
      </c>
      <c r="F23" s="177" t="s">
        <v>1046</v>
      </c>
      <c r="G23" s="177" t="s">
        <v>344</v>
      </c>
      <c r="H23" s="55" t="s">
        <v>637</v>
      </c>
      <c r="I23" s="40" t="s">
        <v>4</v>
      </c>
      <c r="J23" s="54" t="s">
        <v>0</v>
      </c>
      <c r="K23" s="54" t="s">
        <v>451</v>
      </c>
      <c r="L23" s="40" t="s">
        <v>1271</v>
      </c>
      <c r="M23" s="54" t="s">
        <v>257</v>
      </c>
      <c r="N23" s="279" t="s">
        <v>1215</v>
      </c>
      <c r="O23" s="238" t="s">
        <v>84</v>
      </c>
      <c r="P23" s="64" t="str">
        <f ca="1">IF(AND(OR(INDIRECT("K" &amp; ROW())="NAV-Premium",INDIRECT("K" &amp; ROW())="DA-Premium"),INDIRECT("M" &amp; ROW())="PARTITION_SCHEMA128__NavPiviJpn", INDIRECT("O" &amp; ROW())="JPN_SDB"),'SDB vs GN'!$B$41, IF(INDIRECT("H" &amp; ROW())="Chenc",'SDB vs GN'!$B$40, VLOOKUP(INDIRECT("O" &amp; ROW()),'SDB vs GN'!$A$16:$B$38,2,FALSE)))</f>
        <v>727_NAM</v>
      </c>
      <c r="Q23" s="58" t="s">
        <v>20</v>
      </c>
      <c r="R23" s="162" t="s">
        <v>59</v>
      </c>
      <c r="S23" s="74" t="s">
        <v>10</v>
      </c>
      <c r="T23" s="58" t="s">
        <v>450</v>
      </c>
      <c r="U23" s="62" t="s">
        <v>816</v>
      </c>
      <c r="V23" s="172" t="s">
        <v>7</v>
      </c>
      <c r="W23" s="63" t="s">
        <v>2184</v>
      </c>
      <c r="X23" s="64" t="s">
        <v>521</v>
      </c>
      <c r="Y23" s="282" t="s">
        <v>1286</v>
      </c>
      <c r="Z23" s="282" t="s">
        <v>1592</v>
      </c>
      <c r="AA23" s="37"/>
      <c r="AB23" s="37" t="s">
        <v>165</v>
      </c>
      <c r="AC23" s="226" t="s">
        <v>982</v>
      </c>
      <c r="AD23" s="67" t="s">
        <v>808</v>
      </c>
      <c r="AE23" s="302"/>
      <c r="AF23" s="67"/>
      <c r="AG23" s="67"/>
      <c r="AH23" s="44" t="s">
        <v>377</v>
      </c>
    </row>
    <row r="24" spans="1:38" ht="26.4">
      <c r="A24" s="51">
        <v>21</v>
      </c>
      <c r="B24" s="52" t="str">
        <f t="shared" si="0"/>
        <v>0015</v>
      </c>
      <c r="C24" s="53" t="s">
        <v>209</v>
      </c>
      <c r="D24" s="80" t="s">
        <v>89</v>
      </c>
      <c r="E24" s="310" t="s">
        <v>1233</v>
      </c>
      <c r="F24" s="178" t="s">
        <v>1044</v>
      </c>
      <c r="G24" s="178" t="s">
        <v>345</v>
      </c>
      <c r="H24" s="55" t="s">
        <v>637</v>
      </c>
      <c r="I24" s="59" t="s">
        <v>815</v>
      </c>
      <c r="J24" s="54" t="s">
        <v>0</v>
      </c>
      <c r="K24" s="57" t="s">
        <v>453</v>
      </c>
      <c r="L24" s="40" t="s">
        <v>1271</v>
      </c>
      <c r="M24" s="54" t="s">
        <v>256</v>
      </c>
      <c r="N24" s="279" t="s">
        <v>1215</v>
      </c>
      <c r="O24" s="238" t="s">
        <v>54</v>
      </c>
      <c r="P24" s="64" t="str">
        <f ca="1">IF(AND(OR(INDIRECT("K" &amp; ROW())="NAV-Premium",INDIRECT("K" &amp; ROW())="DA-Premium"),INDIRECT("M" &amp; ROW())="PARTITION_SCHEMA128__NavPiviJpn", INDIRECT("O" &amp; ROW())="JPN_SDB"),'SDB vs GN'!$B$41, IF(INDIRECT("H" &amp; ROW())="Chenc",'SDB vs GN'!$B$40, VLOOKUP(INDIRECT("O" &amp; ROW()),'SDB vs GN'!$A$16:$B$38,2,FALSE)))</f>
        <v>731_EUR</v>
      </c>
      <c r="Q24" s="58" t="s">
        <v>20</v>
      </c>
      <c r="R24" s="75" t="s">
        <v>61</v>
      </c>
      <c r="S24" s="74" t="s">
        <v>10</v>
      </c>
      <c r="T24" s="59" t="s">
        <v>449</v>
      </c>
      <c r="U24" s="62" t="s">
        <v>816</v>
      </c>
      <c r="V24" s="173" t="s">
        <v>1129</v>
      </c>
      <c r="W24" s="69" t="s">
        <v>448</v>
      </c>
      <c r="X24" s="64" t="s">
        <v>521</v>
      </c>
      <c r="Y24" s="282" t="s">
        <v>1286</v>
      </c>
      <c r="Z24" s="282" t="s">
        <v>1592</v>
      </c>
      <c r="AA24" s="37"/>
      <c r="AB24" s="65" t="s">
        <v>166</v>
      </c>
      <c r="AC24" s="224" t="s">
        <v>967</v>
      </c>
      <c r="AD24" s="67" t="s">
        <v>808</v>
      </c>
      <c r="AE24" s="302"/>
      <c r="AF24" s="67"/>
      <c r="AG24" s="67"/>
      <c r="AH24" s="45" t="s">
        <v>117</v>
      </c>
      <c r="AI24" s="24"/>
      <c r="AJ24" s="24"/>
      <c r="AK24" s="24"/>
      <c r="AL24" s="24"/>
    </row>
    <row r="25" spans="1:38">
      <c r="A25" s="51">
        <v>22</v>
      </c>
      <c r="B25" s="52" t="str">
        <f t="shared" si="0"/>
        <v>0016</v>
      </c>
      <c r="C25" s="253" t="s">
        <v>210</v>
      </c>
      <c r="D25" s="195" t="s">
        <v>95</v>
      </c>
      <c r="E25" s="311" t="s">
        <v>1233</v>
      </c>
      <c r="F25" s="169" t="s">
        <v>1048</v>
      </c>
      <c r="G25" s="169" t="s">
        <v>347</v>
      </c>
      <c r="H25" s="196" t="s">
        <v>637</v>
      </c>
      <c r="I25" s="198" t="s">
        <v>815</v>
      </c>
      <c r="J25" s="196" t="s">
        <v>1</v>
      </c>
      <c r="K25" s="241" t="s">
        <v>453</v>
      </c>
      <c r="L25" s="198" t="s">
        <v>500</v>
      </c>
      <c r="M25" s="196" t="s">
        <v>1742</v>
      </c>
      <c r="N25" s="280" t="s">
        <v>1215</v>
      </c>
      <c r="O25" s="240" t="s">
        <v>781</v>
      </c>
      <c r="P25" s="203" t="str">
        <f ca="1">IF(AND(OR(INDIRECT("K" &amp; ROW())="NAV-Premium",INDIRECT("K" &amp; ROW())="DA-Premium"),INDIRECT("M" &amp; ROW())="PARTITION_SCHEMA128__NavPiviJpn", INDIRECT("O" &amp; ROW())="JPN_SDB"),'SDB vs GN'!$B$41, IF(INDIRECT("H" &amp; ROW())="Chenc",'SDB vs GN'!$B$40, VLOOKUP(INDIRECT("O" &amp; ROW()),'SDB vs GN'!$A$16:$B$38,2,FALSE)))</f>
        <v>731_EUR</v>
      </c>
      <c r="Q25" s="198" t="s">
        <v>20</v>
      </c>
      <c r="R25" s="200" t="s">
        <v>61</v>
      </c>
      <c r="S25" s="201" t="s">
        <v>10</v>
      </c>
      <c r="T25" s="198" t="s">
        <v>449</v>
      </c>
      <c r="U25" s="202" t="s">
        <v>816</v>
      </c>
      <c r="V25" s="205" t="s">
        <v>528</v>
      </c>
      <c r="W25" s="203" t="s">
        <v>447</v>
      </c>
      <c r="X25" s="198" t="s">
        <v>521</v>
      </c>
      <c r="Y25" s="280" t="s">
        <v>1286</v>
      </c>
      <c r="Z25" s="280" t="s">
        <v>1592</v>
      </c>
      <c r="AA25" s="206"/>
      <c r="AB25" s="206">
        <v>381</v>
      </c>
      <c r="AC25" s="219" t="s">
        <v>983</v>
      </c>
      <c r="AD25" s="207" t="s">
        <v>824</v>
      </c>
      <c r="AE25" s="207"/>
      <c r="AF25" s="207"/>
      <c r="AG25" s="207"/>
      <c r="AH25" s="209" t="s">
        <v>118</v>
      </c>
    </row>
    <row r="26" spans="1:38">
      <c r="A26" s="51">
        <v>23</v>
      </c>
      <c r="B26" s="52" t="str">
        <f t="shared" si="0"/>
        <v>0017</v>
      </c>
      <c r="C26" s="253" t="s">
        <v>210</v>
      </c>
      <c r="D26" s="196" t="s">
        <v>91</v>
      </c>
      <c r="E26" s="280" t="s">
        <v>1233</v>
      </c>
      <c r="F26" s="169" t="s">
        <v>1048</v>
      </c>
      <c r="G26" s="169" t="s">
        <v>347</v>
      </c>
      <c r="H26" s="196" t="s">
        <v>637</v>
      </c>
      <c r="I26" s="198" t="s">
        <v>815</v>
      </c>
      <c r="J26" s="196" t="s">
        <v>1</v>
      </c>
      <c r="K26" s="241" t="s">
        <v>453</v>
      </c>
      <c r="L26" s="198" t="s">
        <v>500</v>
      </c>
      <c r="M26" s="196" t="s">
        <v>1742</v>
      </c>
      <c r="N26" s="280" t="s">
        <v>1215</v>
      </c>
      <c r="O26" s="240" t="s">
        <v>781</v>
      </c>
      <c r="P26" s="203" t="str">
        <f ca="1">IF(AND(OR(INDIRECT("K" &amp; ROW())="NAV-Premium",INDIRECT("K" &amp; ROW())="DA-Premium"),INDIRECT("M" &amp; ROW())="PARTITION_SCHEMA128__NavPiviJpn", INDIRECT("O" &amp; ROW())="JPN_SDB"),'SDB vs GN'!$B$41, IF(INDIRECT("H" &amp; ROW())="Chenc",'SDB vs GN'!$B$40, VLOOKUP(INDIRECT("O" &amp; ROW()),'SDB vs GN'!$A$16:$B$38,2,FALSE)))</f>
        <v>731_EUR</v>
      </c>
      <c r="Q26" s="198" t="s">
        <v>20</v>
      </c>
      <c r="R26" s="200" t="s">
        <v>61</v>
      </c>
      <c r="S26" s="201" t="s">
        <v>10</v>
      </c>
      <c r="T26" s="198" t="s">
        <v>449</v>
      </c>
      <c r="U26" s="202" t="s">
        <v>816</v>
      </c>
      <c r="V26" s="205" t="s">
        <v>528</v>
      </c>
      <c r="W26" s="203" t="s">
        <v>448</v>
      </c>
      <c r="X26" s="198" t="s">
        <v>521</v>
      </c>
      <c r="Y26" s="280" t="s">
        <v>1286</v>
      </c>
      <c r="Z26" s="280" t="s">
        <v>1592</v>
      </c>
      <c r="AA26" s="206"/>
      <c r="AB26" s="206">
        <v>372</v>
      </c>
      <c r="AC26" s="220" t="s">
        <v>984</v>
      </c>
      <c r="AD26" s="207" t="s">
        <v>824</v>
      </c>
      <c r="AE26" s="207"/>
      <c r="AF26" s="207"/>
      <c r="AG26" s="207"/>
      <c r="AH26" s="209" t="s">
        <v>120</v>
      </c>
    </row>
    <row r="27" spans="1:38">
      <c r="A27" s="51">
        <v>24</v>
      </c>
      <c r="B27" s="52" t="str">
        <f t="shared" si="0"/>
        <v>0018</v>
      </c>
      <c r="C27" s="253" t="s">
        <v>1439</v>
      </c>
      <c r="D27" s="195" t="s">
        <v>51</v>
      </c>
      <c r="E27" s="311" t="s">
        <v>1233</v>
      </c>
      <c r="F27" s="251" t="s">
        <v>1045</v>
      </c>
      <c r="G27" s="251" t="s">
        <v>878</v>
      </c>
      <c r="H27" s="196" t="s">
        <v>637</v>
      </c>
      <c r="I27" s="199" t="s">
        <v>5</v>
      </c>
      <c r="J27" s="196" t="s">
        <v>0</v>
      </c>
      <c r="K27" s="241" t="s">
        <v>452</v>
      </c>
      <c r="L27" s="254" t="s">
        <v>1271</v>
      </c>
      <c r="M27" s="196" t="s">
        <v>257</v>
      </c>
      <c r="N27" s="280" t="s">
        <v>1215</v>
      </c>
      <c r="O27" s="255" t="s">
        <v>55</v>
      </c>
      <c r="P27" s="203" t="str">
        <f ca="1">IF(AND(OR(INDIRECT("K" &amp; ROW())="NAV-Premium",INDIRECT("K" &amp; ROW())="DA-Premium"),INDIRECT("M" &amp; ROW())="PARTITION_SCHEMA128__NavPiviJpn", INDIRECT("O" &amp; ROW())="JPN_SDB"),'SDB vs GN'!$B$41, IF(INDIRECT("H" &amp; ROW())="Chenc",'SDB vs GN'!$B$40, VLOOKUP(INDIRECT("O" &amp; ROW()),'SDB vs GN'!$A$16:$B$38,2,FALSE)))</f>
        <v>742_JPN_831_AUSKRJPN</v>
      </c>
      <c r="Q27" s="198" t="s">
        <v>20</v>
      </c>
      <c r="R27" s="198" t="s">
        <v>133</v>
      </c>
      <c r="S27" s="201" t="s">
        <v>10</v>
      </c>
      <c r="T27" s="198" t="s">
        <v>449</v>
      </c>
      <c r="U27" s="202" t="s">
        <v>816</v>
      </c>
      <c r="V27" s="256" t="s">
        <v>602</v>
      </c>
      <c r="W27" s="203" t="s">
        <v>448</v>
      </c>
      <c r="X27" s="198" t="s">
        <v>362</v>
      </c>
      <c r="Y27" s="280" t="s">
        <v>1286</v>
      </c>
      <c r="Z27" s="280" t="s">
        <v>1592</v>
      </c>
      <c r="AA27" s="206"/>
      <c r="AB27" s="206">
        <v>367</v>
      </c>
      <c r="AC27" s="219" t="s">
        <v>968</v>
      </c>
      <c r="AD27" s="207" t="s">
        <v>824</v>
      </c>
      <c r="AE27" s="207"/>
      <c r="AF27" s="207"/>
      <c r="AG27" s="207"/>
      <c r="AH27" s="209" t="s">
        <v>119</v>
      </c>
      <c r="AI27" s="24"/>
      <c r="AJ27" s="24"/>
      <c r="AK27" s="24"/>
      <c r="AL27" s="24"/>
    </row>
    <row r="28" spans="1:38" ht="26.4">
      <c r="A28" s="51">
        <v>25</v>
      </c>
      <c r="B28" s="81" t="str">
        <f t="shared" si="0"/>
        <v>0019</v>
      </c>
      <c r="C28" s="53" t="s">
        <v>72</v>
      </c>
      <c r="D28" s="54" t="s">
        <v>90</v>
      </c>
      <c r="E28" s="279" t="s">
        <v>1233</v>
      </c>
      <c r="F28" s="78" t="s">
        <v>1047</v>
      </c>
      <c r="G28" s="78" t="s">
        <v>761</v>
      </c>
      <c r="H28" s="55" t="s">
        <v>637</v>
      </c>
      <c r="I28" s="43" t="s">
        <v>815</v>
      </c>
      <c r="J28" s="57" t="s">
        <v>1</v>
      </c>
      <c r="K28" s="79" t="s">
        <v>749</v>
      </c>
      <c r="L28" s="59" t="s">
        <v>500</v>
      </c>
      <c r="M28" s="54" t="s">
        <v>1615</v>
      </c>
      <c r="N28" s="279" t="s">
        <v>1215</v>
      </c>
      <c r="O28" s="238" t="s">
        <v>84</v>
      </c>
      <c r="P28" s="64" t="str">
        <f ca="1">IF(AND(OR(INDIRECT("K" &amp; ROW())="NAV-Premium",INDIRECT("K" &amp; ROW())="DA-Premium"),INDIRECT("M" &amp; ROW())="PARTITION_SCHEMA128__NavPiviJpn", INDIRECT("O" &amp; ROW())="JPN_SDB"),'SDB vs GN'!$B$41, IF(INDIRECT("H" &amp; ROW())="Chenc",'SDB vs GN'!$B$40, VLOOKUP(INDIRECT("O" &amp; ROW()),'SDB vs GN'!$A$16:$B$38,2,FALSE)))</f>
        <v>727_NAM</v>
      </c>
      <c r="Q28" s="58" t="s">
        <v>20</v>
      </c>
      <c r="R28" s="75" t="s">
        <v>60</v>
      </c>
      <c r="S28" s="74" t="s">
        <v>10</v>
      </c>
      <c r="T28" s="58" t="s">
        <v>450</v>
      </c>
      <c r="U28" s="62" t="s">
        <v>12</v>
      </c>
      <c r="V28" s="172" t="s">
        <v>566</v>
      </c>
      <c r="W28" s="69" t="s">
        <v>448</v>
      </c>
      <c r="X28" s="64" t="s">
        <v>521</v>
      </c>
      <c r="Y28" s="282" t="s">
        <v>1286</v>
      </c>
      <c r="Z28" s="282" t="s">
        <v>1592</v>
      </c>
      <c r="AA28" s="37"/>
      <c r="AB28" s="70">
        <v>371</v>
      </c>
      <c r="AC28" s="235" t="s">
        <v>986</v>
      </c>
      <c r="AD28" s="67" t="s">
        <v>808</v>
      </c>
      <c r="AE28" s="302"/>
      <c r="AF28" s="67"/>
      <c r="AG28" s="67"/>
      <c r="AH28" s="45" t="s">
        <v>361</v>
      </c>
    </row>
    <row r="29" spans="1:38">
      <c r="A29" s="51">
        <v>26</v>
      </c>
      <c r="B29" s="81" t="str">
        <f t="shared" si="0"/>
        <v>001A</v>
      </c>
      <c r="C29" s="53" t="s">
        <v>145</v>
      </c>
      <c r="D29" s="54" t="s">
        <v>722</v>
      </c>
      <c r="E29" s="279" t="s">
        <v>1233</v>
      </c>
      <c r="F29" s="177" t="s">
        <v>1046</v>
      </c>
      <c r="G29" s="177" t="s">
        <v>344</v>
      </c>
      <c r="H29" s="55" t="s">
        <v>637</v>
      </c>
      <c r="I29" s="40" t="s">
        <v>4</v>
      </c>
      <c r="J29" s="57" t="s">
        <v>0</v>
      </c>
      <c r="K29" s="54" t="s">
        <v>451</v>
      </c>
      <c r="L29" s="40" t="s">
        <v>1271</v>
      </c>
      <c r="M29" s="54" t="s">
        <v>255</v>
      </c>
      <c r="N29" s="279" t="s">
        <v>1215</v>
      </c>
      <c r="O29" s="238" t="s">
        <v>84</v>
      </c>
      <c r="P29" s="64" t="str">
        <f ca="1">IF(AND(OR(INDIRECT("K" &amp; ROW())="NAV-Premium",INDIRECT("K" &amp; ROW())="DA-Premium"),INDIRECT("M" &amp; ROW())="PARTITION_SCHEMA128__NavPiviJpn", INDIRECT("O" &amp; ROW())="JPN_SDB"),'SDB vs GN'!$B$41, IF(INDIRECT("H" &amp; ROW())="Chenc",'SDB vs GN'!$B$40, VLOOKUP(INDIRECT("O" &amp; ROW()),'SDB vs GN'!$A$16:$B$38,2,FALSE)))</f>
        <v>727_NAM</v>
      </c>
      <c r="Q29" s="59" t="s">
        <v>20</v>
      </c>
      <c r="R29" s="75" t="s">
        <v>60</v>
      </c>
      <c r="S29" s="74" t="s">
        <v>10</v>
      </c>
      <c r="T29" s="58" t="s">
        <v>450</v>
      </c>
      <c r="U29" s="62" t="s">
        <v>816</v>
      </c>
      <c r="V29" s="172" t="s">
        <v>7</v>
      </c>
      <c r="W29" s="63" t="s">
        <v>2184</v>
      </c>
      <c r="X29" s="64" t="s">
        <v>521</v>
      </c>
      <c r="Y29" s="282" t="s">
        <v>1286</v>
      </c>
      <c r="Z29" s="282" t="s">
        <v>1592</v>
      </c>
      <c r="AA29" s="37"/>
      <c r="AB29" s="70">
        <v>453</v>
      </c>
      <c r="AC29" s="224" t="s">
        <v>988</v>
      </c>
      <c r="AD29" s="67" t="s">
        <v>808</v>
      </c>
      <c r="AE29" s="302"/>
      <c r="AF29" s="67"/>
      <c r="AG29" s="67"/>
      <c r="AH29" s="45" t="s">
        <v>2186</v>
      </c>
    </row>
    <row r="30" spans="1:38" ht="26.4">
      <c r="A30" s="82">
        <v>27</v>
      </c>
      <c r="B30" s="83" t="str">
        <f t="shared" si="0"/>
        <v>001B</v>
      </c>
      <c r="C30" s="84" t="s">
        <v>94</v>
      </c>
      <c r="D30" s="85" t="s">
        <v>92</v>
      </c>
      <c r="E30" s="281" t="s">
        <v>1233</v>
      </c>
      <c r="F30" s="78" t="s">
        <v>1047</v>
      </c>
      <c r="G30" s="78" t="s">
        <v>761</v>
      </c>
      <c r="H30" s="86" t="s">
        <v>637</v>
      </c>
      <c r="I30" s="86" t="s">
        <v>815</v>
      </c>
      <c r="J30" s="85" t="s">
        <v>1</v>
      </c>
      <c r="K30" s="85" t="s">
        <v>749</v>
      </c>
      <c r="L30" s="87" t="s">
        <v>500</v>
      </c>
      <c r="M30" s="85" t="s">
        <v>1615</v>
      </c>
      <c r="N30" s="281" t="s">
        <v>1215</v>
      </c>
      <c r="O30" s="87" t="s">
        <v>54</v>
      </c>
      <c r="P30" s="87" t="str">
        <f ca="1">IF(AND(OR(INDIRECT("K" &amp; ROW())="NAV-Premium",INDIRECT("K" &amp; ROW())="DA-Premium"),INDIRECT("M" &amp; ROW())="PARTITION_SCHEMA128__NavPiviJpn", INDIRECT("O" &amp; ROW())="JPN_SDB"),'SDB vs GN'!$B$41, IF(INDIRECT("H" &amp; ROW())="Chenc",'SDB vs GN'!$B$40, VLOOKUP(INDIRECT("O" &amp; ROW()),'SDB vs GN'!$A$16:$B$38,2,FALSE)))</f>
        <v>731_EUR</v>
      </c>
      <c r="Q30" s="87" t="s">
        <v>20</v>
      </c>
      <c r="R30" s="88" t="s">
        <v>61</v>
      </c>
      <c r="S30" s="89" t="s">
        <v>10</v>
      </c>
      <c r="T30" s="87" t="s">
        <v>449</v>
      </c>
      <c r="U30" s="90" t="s">
        <v>12</v>
      </c>
      <c r="V30" s="89" t="s">
        <v>553</v>
      </c>
      <c r="W30" s="86" t="s">
        <v>447</v>
      </c>
      <c r="X30" s="87" t="s">
        <v>521</v>
      </c>
      <c r="Y30" s="281" t="s">
        <v>1286</v>
      </c>
      <c r="Z30" s="281" t="s">
        <v>1592</v>
      </c>
      <c r="AA30" s="37"/>
      <c r="AB30" s="91"/>
      <c r="AC30" s="221" t="s">
        <v>969</v>
      </c>
      <c r="AD30" s="193" t="s">
        <v>807</v>
      </c>
      <c r="AE30" s="242"/>
      <c r="AF30" s="242"/>
      <c r="AG30" s="242"/>
      <c r="AH30" s="243" t="s">
        <v>360</v>
      </c>
    </row>
    <row r="31" spans="1:38" ht="39.6">
      <c r="A31" s="51">
        <v>28</v>
      </c>
      <c r="B31" s="81" t="str">
        <f t="shared" si="0"/>
        <v>001C</v>
      </c>
      <c r="C31" s="253" t="s">
        <v>93</v>
      </c>
      <c r="D31" s="197" t="s">
        <v>723</v>
      </c>
      <c r="E31" s="312" t="s">
        <v>1233</v>
      </c>
      <c r="F31" s="169" t="s">
        <v>1048</v>
      </c>
      <c r="G31" s="169" t="s">
        <v>347</v>
      </c>
      <c r="H31" s="196" t="s">
        <v>637</v>
      </c>
      <c r="I31" s="199" t="s">
        <v>815</v>
      </c>
      <c r="J31" s="196" t="s">
        <v>1</v>
      </c>
      <c r="K31" s="241" t="s">
        <v>453</v>
      </c>
      <c r="L31" s="198" t="s">
        <v>500</v>
      </c>
      <c r="M31" s="196" t="s">
        <v>1742</v>
      </c>
      <c r="N31" s="280" t="s">
        <v>1215</v>
      </c>
      <c r="O31" s="240" t="s">
        <v>781</v>
      </c>
      <c r="P31" s="203" t="str">
        <f ca="1">IF(AND(OR(INDIRECT("K" &amp; ROW())="NAV-Premium",INDIRECT("K" &amp; ROW())="DA-Premium"),INDIRECT("M" &amp; ROW())="PARTITION_SCHEMA128__NavPiviJpn", INDIRECT("O" &amp; ROW())="JPN_SDB"),'SDB vs GN'!$B$41, IF(INDIRECT("H" &amp; ROW())="Chenc",'SDB vs GN'!$B$40, VLOOKUP(INDIRECT("O" &amp; ROW()),'SDB vs GN'!$A$16:$B$38,2,FALSE)))</f>
        <v>731_EUR</v>
      </c>
      <c r="Q31" s="198" t="s">
        <v>20</v>
      </c>
      <c r="R31" s="200" t="s">
        <v>61</v>
      </c>
      <c r="S31" s="201" t="s">
        <v>10</v>
      </c>
      <c r="T31" s="198" t="s">
        <v>449</v>
      </c>
      <c r="U31" s="202" t="s">
        <v>816</v>
      </c>
      <c r="V31" s="205" t="s">
        <v>528</v>
      </c>
      <c r="W31" s="204" t="s">
        <v>447</v>
      </c>
      <c r="X31" s="198" t="s">
        <v>521</v>
      </c>
      <c r="Y31" s="280" t="s">
        <v>1286</v>
      </c>
      <c r="Z31" s="280" t="s">
        <v>1592</v>
      </c>
      <c r="AA31" s="206"/>
      <c r="AB31" s="208" t="s">
        <v>167</v>
      </c>
      <c r="AC31" s="222" t="s">
        <v>277</v>
      </c>
      <c r="AD31" s="207" t="s">
        <v>824</v>
      </c>
      <c r="AE31" s="207"/>
      <c r="AF31" s="207"/>
      <c r="AG31" s="207"/>
      <c r="AH31" s="209" t="s">
        <v>122</v>
      </c>
    </row>
    <row r="32" spans="1:38" ht="26.4">
      <c r="A32" s="51">
        <v>29</v>
      </c>
      <c r="B32" s="81" t="str">
        <f t="shared" si="0"/>
        <v>001D</v>
      </c>
      <c r="C32" s="253" t="s">
        <v>625</v>
      </c>
      <c r="D32" s="197" t="s">
        <v>95</v>
      </c>
      <c r="E32" s="312" t="s">
        <v>1233</v>
      </c>
      <c r="F32" s="169" t="s">
        <v>1048</v>
      </c>
      <c r="G32" s="169" t="s">
        <v>347</v>
      </c>
      <c r="H32" s="196" t="s">
        <v>637</v>
      </c>
      <c r="I32" s="199" t="s">
        <v>815</v>
      </c>
      <c r="J32" s="196" t="s">
        <v>1</v>
      </c>
      <c r="K32" s="241" t="s">
        <v>453</v>
      </c>
      <c r="L32" s="198" t="s">
        <v>500</v>
      </c>
      <c r="M32" s="196" t="s">
        <v>1742</v>
      </c>
      <c r="N32" s="280" t="s">
        <v>1215</v>
      </c>
      <c r="O32" s="240" t="s">
        <v>781</v>
      </c>
      <c r="P32" s="203" t="str">
        <f ca="1">IF(AND(OR(INDIRECT("K" &amp; ROW())="NAV-Premium",INDIRECT("K" &amp; ROW())="DA-Premium"),INDIRECT("M" &amp; ROW())="PARTITION_SCHEMA128__NavPiviJpn", INDIRECT("O" &amp; ROW())="JPN_SDB"),'SDB vs GN'!$B$41, IF(INDIRECT("H" &amp; ROW())="Chenc",'SDB vs GN'!$B$40, VLOOKUP(INDIRECT("O" &amp; ROW()),'SDB vs GN'!$A$16:$B$38,2,FALSE)))</f>
        <v>731_EUR</v>
      </c>
      <c r="Q32" s="198" t="s">
        <v>20</v>
      </c>
      <c r="R32" s="200" t="s">
        <v>61</v>
      </c>
      <c r="S32" s="201" t="s">
        <v>10</v>
      </c>
      <c r="T32" s="198" t="s">
        <v>449</v>
      </c>
      <c r="U32" s="202" t="s">
        <v>816</v>
      </c>
      <c r="V32" s="205" t="s">
        <v>528</v>
      </c>
      <c r="W32" s="203" t="s">
        <v>447</v>
      </c>
      <c r="X32" s="198" t="s">
        <v>521</v>
      </c>
      <c r="Y32" s="280" t="s">
        <v>1286</v>
      </c>
      <c r="Z32" s="280" t="s">
        <v>1592</v>
      </c>
      <c r="AA32" s="206"/>
      <c r="AB32" s="208" t="s">
        <v>168</v>
      </c>
      <c r="AC32" s="222" t="s">
        <v>284</v>
      </c>
      <c r="AD32" s="207" t="s">
        <v>824</v>
      </c>
      <c r="AE32" s="207"/>
      <c r="AF32" s="207"/>
      <c r="AG32" s="207"/>
      <c r="AH32" s="209" t="s">
        <v>626</v>
      </c>
    </row>
    <row r="33" spans="1:38" ht="52.8">
      <c r="A33" s="51">
        <v>30</v>
      </c>
      <c r="B33" s="81" t="str">
        <f t="shared" si="0"/>
        <v>001E</v>
      </c>
      <c r="C33" s="53" t="s">
        <v>80</v>
      </c>
      <c r="D33" s="54" t="s">
        <v>95</v>
      </c>
      <c r="E33" s="279" t="s">
        <v>1233</v>
      </c>
      <c r="F33" s="178" t="s">
        <v>1044</v>
      </c>
      <c r="G33" s="178" t="s">
        <v>345</v>
      </c>
      <c r="H33" s="55" t="s">
        <v>637</v>
      </c>
      <c r="I33" s="43" t="s">
        <v>815</v>
      </c>
      <c r="J33" s="57" t="s">
        <v>0</v>
      </c>
      <c r="K33" s="57" t="s">
        <v>452</v>
      </c>
      <c r="L33" s="40" t="s">
        <v>1271</v>
      </c>
      <c r="M33" s="54" t="s">
        <v>256</v>
      </c>
      <c r="N33" s="279" t="s">
        <v>1215</v>
      </c>
      <c r="O33" s="238" t="s">
        <v>54</v>
      </c>
      <c r="P33" s="64" t="str">
        <f ca="1">IF(AND(OR(INDIRECT("K" &amp; ROW())="NAV-Premium",INDIRECT("K" &amp; ROW())="DA-Premium"),INDIRECT("M" &amp; ROW())="PARTITION_SCHEMA128__NavPiviJpn", INDIRECT("O" &amp; ROW())="JPN_SDB"),'SDB vs GN'!$B$41, IF(INDIRECT("H" &amp; ROW())="Chenc",'SDB vs GN'!$B$40, VLOOKUP(INDIRECT("O" &amp; ROW()),'SDB vs GN'!$A$16:$B$38,2,FALSE)))</f>
        <v>731_EUR</v>
      </c>
      <c r="Q33" s="58" t="s">
        <v>20</v>
      </c>
      <c r="R33" s="75" t="s">
        <v>61</v>
      </c>
      <c r="S33" s="74" t="s">
        <v>10</v>
      </c>
      <c r="T33" s="59" t="s">
        <v>449</v>
      </c>
      <c r="U33" s="62" t="s">
        <v>816</v>
      </c>
      <c r="V33" s="173" t="s">
        <v>1130</v>
      </c>
      <c r="W33" s="69" t="s">
        <v>447</v>
      </c>
      <c r="X33" s="64" t="s">
        <v>521</v>
      </c>
      <c r="Y33" s="282" t="s">
        <v>1286</v>
      </c>
      <c r="Z33" s="282" t="s">
        <v>1592</v>
      </c>
      <c r="AA33" s="92"/>
      <c r="AB33" s="93" t="s">
        <v>169</v>
      </c>
      <c r="AC33" s="218" t="s">
        <v>285</v>
      </c>
      <c r="AD33" s="67" t="s">
        <v>808</v>
      </c>
      <c r="AE33" s="302"/>
      <c r="AF33" s="67"/>
      <c r="AG33" s="67"/>
      <c r="AH33" s="72" t="s">
        <v>229</v>
      </c>
    </row>
    <row r="34" spans="1:38" ht="79.2">
      <c r="A34" s="51">
        <v>31</v>
      </c>
      <c r="B34" s="81" t="str">
        <f t="shared" si="0"/>
        <v>001F</v>
      </c>
      <c r="C34" s="53" t="s">
        <v>436</v>
      </c>
      <c r="D34" s="54" t="s">
        <v>95</v>
      </c>
      <c r="E34" s="279" t="s">
        <v>1233</v>
      </c>
      <c r="F34" s="178" t="s">
        <v>1044</v>
      </c>
      <c r="G34" s="178" t="s">
        <v>345</v>
      </c>
      <c r="H34" s="55" t="s">
        <v>637</v>
      </c>
      <c r="I34" s="43" t="s">
        <v>815</v>
      </c>
      <c r="J34" s="57" t="s">
        <v>0</v>
      </c>
      <c r="K34" s="57" t="s">
        <v>452</v>
      </c>
      <c r="L34" s="40" t="s">
        <v>1271</v>
      </c>
      <c r="M34" s="54" t="s">
        <v>257</v>
      </c>
      <c r="N34" s="279" t="s">
        <v>1215</v>
      </c>
      <c r="O34" s="238" t="s">
        <v>84</v>
      </c>
      <c r="P34" s="64" t="str">
        <f ca="1">IF(AND(OR(INDIRECT("K" &amp; ROW())="NAV-Premium",INDIRECT("K" &amp; ROW())="DA-Premium"),INDIRECT("M" &amp; ROW())="PARTITION_SCHEMA128__NavPiviJpn", INDIRECT("O" &amp; ROW())="JPN_SDB"),'SDB vs GN'!$B$41, IF(INDIRECT("H" &amp; ROW())="Chenc",'SDB vs GN'!$B$40, VLOOKUP(INDIRECT("O" &amp; ROW()),'SDB vs GN'!$A$16:$B$38,2,FALSE)))</f>
        <v>727_NAM</v>
      </c>
      <c r="Q34" s="58" t="s">
        <v>20</v>
      </c>
      <c r="R34" s="75" t="s">
        <v>60</v>
      </c>
      <c r="S34" s="74" t="s">
        <v>10</v>
      </c>
      <c r="T34" s="58" t="s">
        <v>450</v>
      </c>
      <c r="U34" s="62" t="s">
        <v>816</v>
      </c>
      <c r="V34" s="173" t="s">
        <v>608</v>
      </c>
      <c r="W34" s="69" t="s">
        <v>447</v>
      </c>
      <c r="X34" s="64" t="s">
        <v>521</v>
      </c>
      <c r="Y34" s="282" t="s">
        <v>1286</v>
      </c>
      <c r="Z34" s="282" t="s">
        <v>1592</v>
      </c>
      <c r="AA34" s="37"/>
      <c r="AB34" s="65" t="s">
        <v>170</v>
      </c>
      <c r="AC34" s="218" t="s">
        <v>415</v>
      </c>
      <c r="AD34" s="67" t="s">
        <v>808</v>
      </c>
      <c r="AE34" s="302"/>
      <c r="AF34" s="67"/>
      <c r="AG34" s="67"/>
      <c r="AH34" s="72" t="s">
        <v>416</v>
      </c>
    </row>
    <row r="35" spans="1:38">
      <c r="A35" s="51">
        <v>32</v>
      </c>
      <c r="B35" s="81" t="str">
        <f t="shared" si="0"/>
        <v>0020</v>
      </c>
      <c r="C35" s="53" t="s">
        <v>105</v>
      </c>
      <c r="D35" s="54" t="s">
        <v>95</v>
      </c>
      <c r="E35" s="279" t="s">
        <v>1233</v>
      </c>
      <c r="F35" s="178" t="s">
        <v>1044</v>
      </c>
      <c r="G35" s="178" t="s">
        <v>345</v>
      </c>
      <c r="H35" s="55" t="s">
        <v>637</v>
      </c>
      <c r="I35" s="43" t="s">
        <v>815</v>
      </c>
      <c r="J35" s="57" t="s">
        <v>0</v>
      </c>
      <c r="K35" s="57" t="s">
        <v>452</v>
      </c>
      <c r="L35" s="40" t="s">
        <v>1271</v>
      </c>
      <c r="M35" s="54" t="s">
        <v>257</v>
      </c>
      <c r="N35" s="279" t="s">
        <v>1215</v>
      </c>
      <c r="O35" s="238" t="s">
        <v>84</v>
      </c>
      <c r="P35" s="64" t="str">
        <f ca="1">IF(AND(OR(INDIRECT("K" &amp; ROW())="NAV-Premium",INDIRECT("K" &amp; ROW())="DA-Premium"),INDIRECT("M" &amp; ROW())="PARTITION_SCHEMA128__NavPiviJpn", INDIRECT("O" &amp; ROW())="JPN_SDB"),'SDB vs GN'!$B$41, IF(INDIRECT("H" &amp; ROW())="Chenc",'SDB vs GN'!$B$40, VLOOKUP(INDIRECT("O" &amp; ROW()),'SDB vs GN'!$A$16:$B$38,2,FALSE)))</f>
        <v>727_NAM</v>
      </c>
      <c r="Q35" s="58" t="s">
        <v>20</v>
      </c>
      <c r="R35" s="75" t="s">
        <v>60</v>
      </c>
      <c r="S35" s="74" t="s">
        <v>10</v>
      </c>
      <c r="T35" s="59" t="s">
        <v>449</v>
      </c>
      <c r="U35" s="62" t="s">
        <v>816</v>
      </c>
      <c r="V35" s="173" t="s">
        <v>1128</v>
      </c>
      <c r="W35" s="69" t="s">
        <v>447</v>
      </c>
      <c r="X35" s="64" t="s">
        <v>521</v>
      </c>
      <c r="Y35" s="282" t="s">
        <v>1286</v>
      </c>
      <c r="Z35" s="282" t="s">
        <v>1592</v>
      </c>
      <c r="AA35" s="37"/>
      <c r="AB35" s="70">
        <v>456</v>
      </c>
      <c r="AC35" s="212" t="s">
        <v>278</v>
      </c>
      <c r="AD35" s="67" t="s">
        <v>808</v>
      </c>
      <c r="AE35" s="302"/>
      <c r="AF35" s="67"/>
      <c r="AG35" s="67"/>
      <c r="AH35" s="45" t="s">
        <v>123</v>
      </c>
    </row>
    <row r="36" spans="1:38" ht="39.6">
      <c r="A36" s="82">
        <v>33</v>
      </c>
      <c r="B36" s="83" t="str">
        <f t="shared" si="0"/>
        <v>0021</v>
      </c>
      <c r="C36" s="84" t="s">
        <v>108</v>
      </c>
      <c r="D36" s="85" t="s">
        <v>95</v>
      </c>
      <c r="E36" s="281" t="s">
        <v>1233</v>
      </c>
      <c r="F36" s="178" t="s">
        <v>1044</v>
      </c>
      <c r="G36" s="178" t="s">
        <v>345</v>
      </c>
      <c r="H36" s="86" t="s">
        <v>638</v>
      </c>
      <c r="I36" s="86" t="s">
        <v>815</v>
      </c>
      <c r="J36" s="85" t="s">
        <v>0</v>
      </c>
      <c r="K36" s="85" t="s">
        <v>452</v>
      </c>
      <c r="L36" s="95" t="s">
        <v>1271</v>
      </c>
      <c r="M36" s="85" t="s">
        <v>257</v>
      </c>
      <c r="N36" s="281" t="s">
        <v>1215</v>
      </c>
      <c r="O36" s="87" t="s">
        <v>97</v>
      </c>
      <c r="P36" s="87" t="str">
        <f ca="1">IF(AND(OR(INDIRECT("K" &amp; ROW())="NAV-Premium",INDIRECT("K" &amp; ROW())="DA-Premium"),INDIRECT("M" &amp; ROW())="PARTITION_SCHEMA128__NavPiviJpn", INDIRECT("O" &amp; ROW())="JPN_SDB"),'SDB vs GN'!$B$41, IF(INDIRECT("H" &amp; ROW())="Chenc",'SDB vs GN'!$B$40, VLOOKUP(INDIRECT("O" &amp; ROW()),'SDB vs GN'!$A$16:$B$38,2,FALSE)))</f>
        <v>734_CN_831_AUSKRJPN_CHENC</v>
      </c>
      <c r="Q36" s="87" t="s">
        <v>20</v>
      </c>
      <c r="R36" s="89" t="s">
        <v>59</v>
      </c>
      <c r="S36" s="89" t="s">
        <v>10</v>
      </c>
      <c r="T36" s="87" t="s">
        <v>449</v>
      </c>
      <c r="U36" s="90" t="s">
        <v>816</v>
      </c>
      <c r="V36" s="88" t="s">
        <v>609</v>
      </c>
      <c r="W36" s="86" t="s">
        <v>447</v>
      </c>
      <c r="X36" s="87" t="s">
        <v>521</v>
      </c>
      <c r="Y36" s="281" t="s">
        <v>1286</v>
      </c>
      <c r="Z36" s="281" t="s">
        <v>1592</v>
      </c>
      <c r="AA36" s="96"/>
      <c r="AB36" s="91">
        <v>426</v>
      </c>
      <c r="AC36" s="221" t="s">
        <v>286</v>
      </c>
      <c r="AD36" s="193" t="s">
        <v>807</v>
      </c>
      <c r="AE36" s="242"/>
      <c r="AF36" s="242"/>
      <c r="AG36" s="242"/>
      <c r="AH36" s="244" t="s">
        <v>342</v>
      </c>
    </row>
    <row r="37" spans="1:38" ht="26.4">
      <c r="A37" s="82">
        <v>34</v>
      </c>
      <c r="B37" s="83" t="str">
        <f t="shared" si="0"/>
        <v>0022</v>
      </c>
      <c r="C37" s="84" t="s">
        <v>109</v>
      </c>
      <c r="D37" s="85" t="s">
        <v>95</v>
      </c>
      <c r="E37" s="281" t="s">
        <v>1233</v>
      </c>
      <c r="F37" s="178" t="s">
        <v>1044</v>
      </c>
      <c r="G37" s="178" t="s">
        <v>345</v>
      </c>
      <c r="H37" s="86" t="s">
        <v>637</v>
      </c>
      <c r="I37" s="86" t="s">
        <v>815</v>
      </c>
      <c r="J37" s="85" t="s">
        <v>0</v>
      </c>
      <c r="K37" s="85" t="s">
        <v>452</v>
      </c>
      <c r="L37" s="95" t="s">
        <v>1271</v>
      </c>
      <c r="M37" s="85" t="s">
        <v>257</v>
      </c>
      <c r="N37" s="281" t="s">
        <v>1215</v>
      </c>
      <c r="O37" s="87" t="s">
        <v>97</v>
      </c>
      <c r="P37" s="87" t="str">
        <f ca="1">IF(AND(OR(INDIRECT("K" &amp; ROW())="NAV-Premium",INDIRECT("K" &amp; ROW())="DA-Premium"),INDIRECT("M" &amp; ROW())="PARTITION_SCHEMA128__NavPiviJpn", INDIRECT("O" &amp; ROW())="JPN_SDB"),'SDB vs GN'!$B$41, IF(INDIRECT("H" &amp; ROW())="Chenc",'SDB vs GN'!$B$40, VLOOKUP(INDIRECT("O" &amp; ROW()),'SDB vs GN'!$A$16:$B$38,2,FALSE)))</f>
        <v>734_CN_831_AUSKRJPN</v>
      </c>
      <c r="Q37" s="87" t="s">
        <v>20</v>
      </c>
      <c r="R37" s="89" t="s">
        <v>59</v>
      </c>
      <c r="S37" s="89" t="s">
        <v>10</v>
      </c>
      <c r="T37" s="87" t="s">
        <v>449</v>
      </c>
      <c r="U37" s="90" t="s">
        <v>816</v>
      </c>
      <c r="V37" s="88" t="s">
        <v>601</v>
      </c>
      <c r="W37" s="86" t="s">
        <v>447</v>
      </c>
      <c r="X37" s="87" t="s">
        <v>362</v>
      </c>
      <c r="Y37" s="281" t="s">
        <v>1286</v>
      </c>
      <c r="Z37" s="281" t="s">
        <v>1592</v>
      </c>
      <c r="AA37" s="96"/>
      <c r="AB37" s="91">
        <v>455</v>
      </c>
      <c r="AC37" s="221" t="s">
        <v>287</v>
      </c>
      <c r="AD37" s="193" t="s">
        <v>807</v>
      </c>
      <c r="AE37" s="242"/>
      <c r="AF37" s="242"/>
      <c r="AG37" s="242"/>
      <c r="AH37" s="245" t="s">
        <v>186</v>
      </c>
    </row>
    <row r="38" spans="1:38" ht="26.4">
      <c r="A38" s="51">
        <v>35</v>
      </c>
      <c r="B38" s="81" t="str">
        <f t="shared" si="0"/>
        <v>0023</v>
      </c>
      <c r="C38" s="53" t="s">
        <v>1439</v>
      </c>
      <c r="D38" s="54" t="s">
        <v>101</v>
      </c>
      <c r="E38" s="279" t="s">
        <v>1233</v>
      </c>
      <c r="F38" s="251" t="s">
        <v>1045</v>
      </c>
      <c r="G38" s="251" t="s">
        <v>878</v>
      </c>
      <c r="H38" s="55" t="s">
        <v>637</v>
      </c>
      <c r="I38" s="71" t="s">
        <v>5</v>
      </c>
      <c r="J38" s="54" t="s">
        <v>0</v>
      </c>
      <c r="K38" s="54" t="s">
        <v>452</v>
      </c>
      <c r="L38" s="40" t="s">
        <v>1271</v>
      </c>
      <c r="M38" s="54" t="s">
        <v>236</v>
      </c>
      <c r="N38" s="279" t="s">
        <v>1215</v>
      </c>
      <c r="O38" s="238" t="s">
        <v>55</v>
      </c>
      <c r="P38" s="64" t="str">
        <f ca="1">IF(AND(OR(INDIRECT("K" &amp; ROW())="NAV-Premium",INDIRECT("K" &amp; ROW())="DA-Premium"),INDIRECT("M" &amp; ROW())="PARTITION_SCHEMA128__NavPiviJpn", INDIRECT("O" &amp; ROW())="JPN_SDB"),'SDB vs GN'!$B$41, IF(INDIRECT("H" &amp; ROW())="Chenc",'SDB vs GN'!$B$40, VLOOKUP(INDIRECT("O" &amp; ROW()),'SDB vs GN'!$A$16:$B$38,2,FALSE)))</f>
        <v>742_JPN_831_AUSKRJPN</v>
      </c>
      <c r="Q38" s="58" t="s">
        <v>20</v>
      </c>
      <c r="R38" s="59" t="s">
        <v>133</v>
      </c>
      <c r="S38" s="74" t="s">
        <v>10</v>
      </c>
      <c r="T38" s="59" t="s">
        <v>449</v>
      </c>
      <c r="U38" s="62" t="s">
        <v>816</v>
      </c>
      <c r="V38" s="173" t="s">
        <v>602</v>
      </c>
      <c r="W38" s="69" t="s">
        <v>447</v>
      </c>
      <c r="X38" s="64" t="s">
        <v>362</v>
      </c>
      <c r="Y38" s="282" t="s">
        <v>1286</v>
      </c>
      <c r="Z38" s="282" t="s">
        <v>1592</v>
      </c>
      <c r="AA38" s="37"/>
      <c r="AB38" s="65" t="s">
        <v>171</v>
      </c>
      <c r="AC38" s="218" t="s">
        <v>288</v>
      </c>
      <c r="AD38" s="67" t="s">
        <v>888</v>
      </c>
      <c r="AE38" s="302"/>
      <c r="AF38" s="67" t="s">
        <v>1012</v>
      </c>
      <c r="AG38" s="67"/>
      <c r="AH38" s="72" t="s">
        <v>185</v>
      </c>
    </row>
    <row r="39" spans="1:38" s="28" customFormat="1" ht="39.6">
      <c r="A39" s="82">
        <v>36</v>
      </c>
      <c r="B39" s="83" t="str">
        <f t="shared" si="0"/>
        <v>0024</v>
      </c>
      <c r="C39" s="86" t="s">
        <v>145</v>
      </c>
      <c r="D39" s="86" t="s">
        <v>102</v>
      </c>
      <c r="E39" s="313" t="s">
        <v>1233</v>
      </c>
      <c r="F39" s="177" t="s">
        <v>1046</v>
      </c>
      <c r="G39" s="177" t="s">
        <v>344</v>
      </c>
      <c r="H39" s="86" t="s">
        <v>637</v>
      </c>
      <c r="I39" s="95" t="s">
        <v>4</v>
      </c>
      <c r="J39" s="85" t="s">
        <v>0</v>
      </c>
      <c r="K39" s="85" t="s">
        <v>451</v>
      </c>
      <c r="L39" s="95" t="s">
        <v>1271</v>
      </c>
      <c r="M39" s="85" t="s">
        <v>255</v>
      </c>
      <c r="N39" s="281" t="s">
        <v>1215</v>
      </c>
      <c r="O39" s="87" t="s">
        <v>84</v>
      </c>
      <c r="P39" s="87" t="str">
        <f ca="1">IF(AND(OR(INDIRECT("K" &amp; ROW())="NAV-Premium",INDIRECT("K" &amp; ROW())="DA-Premium"),INDIRECT("M" &amp; ROW())="PARTITION_SCHEMA128__NavPiviJpn", INDIRECT("O" &amp; ROW())="JPN_SDB"),'SDB vs GN'!$B$41, IF(INDIRECT("H" &amp; ROW())="Chenc",'SDB vs GN'!$B$40, VLOOKUP(INDIRECT("O" &amp; ROW()),'SDB vs GN'!$A$16:$B$38,2,FALSE)))</f>
        <v>727_NAM</v>
      </c>
      <c r="Q39" s="87" t="s">
        <v>20</v>
      </c>
      <c r="R39" s="89" t="s">
        <v>59</v>
      </c>
      <c r="S39" s="89" t="s">
        <v>10</v>
      </c>
      <c r="T39" s="87" t="s">
        <v>450</v>
      </c>
      <c r="U39" s="90" t="s">
        <v>816</v>
      </c>
      <c r="V39" s="89" t="s">
        <v>7</v>
      </c>
      <c r="W39" s="86" t="s">
        <v>447</v>
      </c>
      <c r="X39" s="87" t="s">
        <v>521</v>
      </c>
      <c r="Y39" s="281" t="s">
        <v>1286</v>
      </c>
      <c r="Z39" s="281" t="s">
        <v>1592</v>
      </c>
      <c r="AA39" s="96"/>
      <c r="AB39" s="98" t="s">
        <v>188</v>
      </c>
      <c r="AC39" s="223" t="s">
        <v>289</v>
      </c>
      <c r="AD39" s="193" t="s">
        <v>807</v>
      </c>
      <c r="AE39" s="242"/>
      <c r="AF39" s="242"/>
      <c r="AG39" s="242"/>
      <c r="AH39" s="244" t="s">
        <v>228</v>
      </c>
    </row>
    <row r="40" spans="1:38" s="28" customFormat="1" ht="39.6">
      <c r="A40" s="82">
        <v>37</v>
      </c>
      <c r="B40" s="83" t="str">
        <f t="shared" si="0"/>
        <v>0025</v>
      </c>
      <c r="C40" s="86" t="s">
        <v>62</v>
      </c>
      <c r="D40" s="86" t="s">
        <v>102</v>
      </c>
      <c r="E40" s="313" t="s">
        <v>1233</v>
      </c>
      <c r="F40" s="177" t="s">
        <v>1046</v>
      </c>
      <c r="G40" s="177" t="s">
        <v>344</v>
      </c>
      <c r="H40" s="86" t="s">
        <v>637</v>
      </c>
      <c r="I40" s="95" t="s">
        <v>4</v>
      </c>
      <c r="J40" s="85" t="s">
        <v>0</v>
      </c>
      <c r="K40" s="85" t="s">
        <v>451</v>
      </c>
      <c r="L40" s="95" t="s">
        <v>1271</v>
      </c>
      <c r="M40" s="85" t="s">
        <v>255</v>
      </c>
      <c r="N40" s="281" t="s">
        <v>1215</v>
      </c>
      <c r="O40" s="99" t="s">
        <v>828</v>
      </c>
      <c r="P40" s="87" t="str">
        <f ca="1">IF(AND(OR(INDIRECT("K" &amp; ROW())="NAV-Premium",INDIRECT("K" &amp; ROW())="DA-Premium"),INDIRECT("M" &amp; ROW())="PARTITION_SCHEMA128__NavPiviJpn", INDIRECT("O" &amp; ROW())="JPN_SDB"),'SDB vs GN'!$B$41, IF(INDIRECT("H" &amp; ROW())="Chenc",'SDB vs GN'!$B$40, VLOOKUP(INDIRECT("O" &amp; ROW()),'SDB vs GN'!$A$16:$B$38,2,FALSE)))</f>
        <v>735_LA_831_AUSKRJPN</v>
      </c>
      <c r="Q40" s="87" t="s">
        <v>20</v>
      </c>
      <c r="R40" s="89" t="s">
        <v>59</v>
      </c>
      <c r="S40" s="89" t="s">
        <v>10</v>
      </c>
      <c r="T40" s="87" t="s">
        <v>449</v>
      </c>
      <c r="U40" s="90" t="s">
        <v>816</v>
      </c>
      <c r="V40" s="89" t="s">
        <v>7</v>
      </c>
      <c r="W40" s="86" t="s">
        <v>447</v>
      </c>
      <c r="X40" s="87" t="s">
        <v>521</v>
      </c>
      <c r="Y40" s="281" t="s">
        <v>1286</v>
      </c>
      <c r="Z40" s="281" t="s">
        <v>1592</v>
      </c>
      <c r="AA40" s="96"/>
      <c r="AB40" s="91"/>
      <c r="AC40" s="221" t="s">
        <v>290</v>
      </c>
      <c r="AD40" s="193" t="s">
        <v>807</v>
      </c>
      <c r="AE40" s="242"/>
      <c r="AF40" s="242"/>
      <c r="AG40" s="242"/>
      <c r="AH40" s="244" t="s">
        <v>350</v>
      </c>
    </row>
    <row r="41" spans="1:38" s="28" customFormat="1" ht="39.6">
      <c r="A41" s="82">
        <v>38</v>
      </c>
      <c r="B41" s="83" t="str">
        <f t="shared" si="0"/>
        <v>0026</v>
      </c>
      <c r="C41" s="86" t="s">
        <v>103</v>
      </c>
      <c r="D41" s="86" t="s">
        <v>102</v>
      </c>
      <c r="E41" s="313" t="s">
        <v>1233</v>
      </c>
      <c r="F41" s="177" t="s">
        <v>1046</v>
      </c>
      <c r="G41" s="177" t="s">
        <v>344</v>
      </c>
      <c r="H41" s="86" t="s">
        <v>637</v>
      </c>
      <c r="I41" s="95" t="s">
        <v>4</v>
      </c>
      <c r="J41" s="85" t="s">
        <v>0</v>
      </c>
      <c r="K41" s="85" t="s">
        <v>451</v>
      </c>
      <c r="L41" s="95" t="s">
        <v>1271</v>
      </c>
      <c r="M41" s="85" t="s">
        <v>255</v>
      </c>
      <c r="N41" s="281" t="s">
        <v>1215</v>
      </c>
      <c r="O41" s="99" t="s">
        <v>53</v>
      </c>
      <c r="P41" s="87" t="str">
        <f ca="1">IF(AND(OR(INDIRECT("K" &amp; ROW())="NAV-Premium",INDIRECT("K" &amp; ROW())="DA-Premium"),INDIRECT("M" &amp; ROW())="PARTITION_SCHEMA128__NavPiviJpn", INDIRECT("O" &amp; ROW())="JPN_SDB"),'SDB vs GN'!$B$41, IF(INDIRECT("H" &amp; ROW())="Chenc",'SDB vs GN'!$B$40, VLOOKUP(INDIRECT("O" &amp; ROW()),'SDB vs GN'!$A$16:$B$38,2,FALSE)))</f>
        <v>No_Gracenote</v>
      </c>
      <c r="Q41" s="87" t="s">
        <v>20</v>
      </c>
      <c r="R41" s="88" t="s">
        <v>61</v>
      </c>
      <c r="S41" s="89" t="s">
        <v>10</v>
      </c>
      <c r="T41" s="87" t="s">
        <v>449</v>
      </c>
      <c r="U41" s="90" t="s">
        <v>816</v>
      </c>
      <c r="V41" s="89" t="s">
        <v>7</v>
      </c>
      <c r="W41" s="86" t="s">
        <v>447</v>
      </c>
      <c r="X41" s="87" t="s">
        <v>521</v>
      </c>
      <c r="Y41" s="281" t="s">
        <v>1286</v>
      </c>
      <c r="Z41" s="281" t="s">
        <v>1592</v>
      </c>
      <c r="AA41" s="96"/>
      <c r="AB41" s="91"/>
      <c r="AC41" s="221" t="s">
        <v>291</v>
      </c>
      <c r="AD41" s="193" t="s">
        <v>807</v>
      </c>
      <c r="AE41" s="242"/>
      <c r="AF41" s="242"/>
      <c r="AG41" s="242"/>
      <c r="AH41" s="244" t="s">
        <v>349</v>
      </c>
    </row>
    <row r="42" spans="1:38" ht="145.19999999999999">
      <c r="A42" s="51">
        <v>39</v>
      </c>
      <c r="B42" s="81" t="str">
        <f t="shared" si="0"/>
        <v>0027</v>
      </c>
      <c r="C42" s="168" t="s">
        <v>470</v>
      </c>
      <c r="D42" s="94" t="s">
        <v>104</v>
      </c>
      <c r="E42" s="314" t="s">
        <v>1233</v>
      </c>
      <c r="F42" s="178" t="s">
        <v>1044</v>
      </c>
      <c r="G42" s="178" t="s">
        <v>345</v>
      </c>
      <c r="H42" s="55" t="s">
        <v>637</v>
      </c>
      <c r="I42" s="94" t="s">
        <v>815</v>
      </c>
      <c r="J42" s="55" t="s">
        <v>0</v>
      </c>
      <c r="K42" s="55" t="s">
        <v>453</v>
      </c>
      <c r="L42" s="100" t="s">
        <v>1271</v>
      </c>
      <c r="M42" s="55" t="s">
        <v>256</v>
      </c>
      <c r="N42" s="282" t="s">
        <v>1215</v>
      </c>
      <c r="O42" s="238" t="s">
        <v>54</v>
      </c>
      <c r="P42" s="64" t="str">
        <f ca="1">IF(AND(OR(INDIRECT("K" &amp; ROW())="NAV-Premium",INDIRECT("K" &amp; ROW())="DA-Premium"),INDIRECT("M" &amp; ROW())="PARTITION_SCHEMA128__NavPiviJpn", INDIRECT("O" &amp; ROW())="JPN_SDB"),'SDB vs GN'!$B$41, IF(INDIRECT("H" &amp; ROW())="Chenc",'SDB vs GN'!$B$40, VLOOKUP(INDIRECT("O" &amp; ROW()),'SDB vs GN'!$A$16:$B$38,2,FALSE)))</f>
        <v>731_EUR</v>
      </c>
      <c r="Q42" s="64" t="s">
        <v>20</v>
      </c>
      <c r="R42" s="102" t="s">
        <v>61</v>
      </c>
      <c r="S42" s="103" t="s">
        <v>10</v>
      </c>
      <c r="T42" s="64" t="s">
        <v>449</v>
      </c>
      <c r="U42" s="104" t="s">
        <v>816</v>
      </c>
      <c r="V42" s="173" t="s">
        <v>1129</v>
      </c>
      <c r="W42" s="76" t="s">
        <v>447</v>
      </c>
      <c r="X42" s="64" t="s">
        <v>521</v>
      </c>
      <c r="Y42" s="282" t="s">
        <v>1286</v>
      </c>
      <c r="Z42" s="282" t="s">
        <v>1592</v>
      </c>
      <c r="AA42" s="37"/>
      <c r="AB42" s="105" t="s">
        <v>225</v>
      </c>
      <c r="AC42" s="224" t="s">
        <v>1486</v>
      </c>
      <c r="AD42" s="72" t="s">
        <v>808</v>
      </c>
      <c r="AE42" s="302"/>
      <c r="AF42" s="67"/>
      <c r="AG42" s="67"/>
      <c r="AH42" s="72" t="s">
        <v>1487</v>
      </c>
      <c r="AI42" s="24"/>
      <c r="AJ42" s="24"/>
      <c r="AK42" s="24"/>
      <c r="AL42" s="24"/>
    </row>
    <row r="43" spans="1:38" ht="39.6">
      <c r="A43" s="51">
        <v>40</v>
      </c>
      <c r="B43" s="81" t="str">
        <f t="shared" si="0"/>
        <v>0028</v>
      </c>
      <c r="C43" s="168" t="s">
        <v>471</v>
      </c>
      <c r="D43" s="94" t="s">
        <v>104</v>
      </c>
      <c r="E43" s="314" t="s">
        <v>1233</v>
      </c>
      <c r="F43" s="178" t="s">
        <v>1044</v>
      </c>
      <c r="G43" s="178" t="s">
        <v>345</v>
      </c>
      <c r="H43" s="55" t="s">
        <v>637</v>
      </c>
      <c r="I43" s="94" t="s">
        <v>815</v>
      </c>
      <c r="J43" s="55" t="s">
        <v>0</v>
      </c>
      <c r="K43" s="55" t="s">
        <v>453</v>
      </c>
      <c r="L43" s="100" t="s">
        <v>1271</v>
      </c>
      <c r="M43" s="55" t="s">
        <v>257</v>
      </c>
      <c r="N43" s="282" t="s">
        <v>1215</v>
      </c>
      <c r="O43" s="238" t="s">
        <v>84</v>
      </c>
      <c r="P43" s="64" t="str">
        <f ca="1">IF(AND(OR(INDIRECT("K" &amp; ROW())="NAV-Premium",INDIRECT("K" &amp; ROW())="DA-Premium"),INDIRECT("M" &amp; ROW())="PARTITION_SCHEMA128__NavPiviJpn", INDIRECT("O" &amp; ROW())="JPN_SDB"),'SDB vs GN'!$B$41, IF(INDIRECT("H" &amp; ROW())="Chenc",'SDB vs GN'!$B$40, VLOOKUP(INDIRECT("O" &amp; ROW()),'SDB vs GN'!$A$16:$B$38,2,FALSE)))</f>
        <v>727_NAM</v>
      </c>
      <c r="Q43" s="64" t="s">
        <v>20</v>
      </c>
      <c r="R43" s="102" t="s">
        <v>60</v>
      </c>
      <c r="S43" s="103" t="s">
        <v>10</v>
      </c>
      <c r="T43" s="64" t="s">
        <v>449</v>
      </c>
      <c r="U43" s="104" t="s">
        <v>816</v>
      </c>
      <c r="V43" s="173" t="s">
        <v>1127</v>
      </c>
      <c r="W43" s="76" t="s">
        <v>447</v>
      </c>
      <c r="X43" s="64" t="s">
        <v>521</v>
      </c>
      <c r="Y43" s="282" t="s">
        <v>1286</v>
      </c>
      <c r="Z43" s="282" t="s">
        <v>1592</v>
      </c>
      <c r="AA43" s="37"/>
      <c r="AB43" s="134" t="s">
        <v>225</v>
      </c>
      <c r="AC43" s="224" t="s">
        <v>1365</v>
      </c>
      <c r="AD43" s="67" t="s">
        <v>808</v>
      </c>
      <c r="AE43" s="302"/>
      <c r="AF43" s="67"/>
      <c r="AG43" s="67"/>
      <c r="AH43" s="72" t="s">
        <v>1366</v>
      </c>
      <c r="AI43" s="24"/>
      <c r="AJ43" s="24"/>
      <c r="AK43" s="24"/>
      <c r="AL43" s="24"/>
    </row>
    <row r="44" spans="1:38" ht="26.4">
      <c r="A44" s="51">
        <v>41</v>
      </c>
      <c r="B44" s="81" t="str">
        <f t="shared" si="0"/>
        <v>0029</v>
      </c>
      <c r="C44" s="64" t="s">
        <v>203</v>
      </c>
      <c r="D44" s="64" t="s">
        <v>106</v>
      </c>
      <c r="E44" s="297" t="s">
        <v>1233</v>
      </c>
      <c r="F44" s="177" t="s">
        <v>1046</v>
      </c>
      <c r="G44" s="177" t="s">
        <v>344</v>
      </c>
      <c r="H44" s="55" t="s">
        <v>637</v>
      </c>
      <c r="I44" s="100" t="s">
        <v>4</v>
      </c>
      <c r="J44" s="55" t="s">
        <v>0</v>
      </c>
      <c r="K44" s="64" t="s">
        <v>110</v>
      </c>
      <c r="L44" s="100" t="s">
        <v>1271</v>
      </c>
      <c r="M44" s="55" t="s">
        <v>255</v>
      </c>
      <c r="N44" s="282" t="s">
        <v>1215</v>
      </c>
      <c r="O44" s="101" t="s">
        <v>84</v>
      </c>
      <c r="P44" s="64" t="str">
        <f ca="1">IF(AND(OR(INDIRECT("K" &amp; ROW())="NAV-Premium",INDIRECT("K" &amp; ROW())="DA-Premium"),INDIRECT("M" &amp; ROW())="PARTITION_SCHEMA128__NavPiviJpn", INDIRECT("O" &amp; ROW())="JPN_SDB"),'SDB vs GN'!$B$41, IF(INDIRECT("H" &amp; ROW())="Chenc",'SDB vs GN'!$B$40, VLOOKUP(INDIRECT("O" &amp; ROW()),'SDB vs GN'!$A$16:$B$38,2,FALSE)))</f>
        <v>727_NAM</v>
      </c>
      <c r="Q44" s="64" t="s">
        <v>20</v>
      </c>
      <c r="R44" s="102" t="s">
        <v>60</v>
      </c>
      <c r="S44" s="103" t="s">
        <v>10</v>
      </c>
      <c r="T44" s="64" t="s">
        <v>450</v>
      </c>
      <c r="U44" s="104" t="s">
        <v>816</v>
      </c>
      <c r="V44" s="172" t="s">
        <v>7</v>
      </c>
      <c r="W44" s="76" t="s">
        <v>2184</v>
      </c>
      <c r="X44" s="64" t="s">
        <v>521</v>
      </c>
      <c r="Y44" s="282" t="s">
        <v>1286</v>
      </c>
      <c r="Z44" s="282" t="s">
        <v>1592</v>
      </c>
      <c r="AA44" s="96"/>
      <c r="AB44" s="105" t="s">
        <v>172</v>
      </c>
      <c r="AC44" s="224" t="s">
        <v>418</v>
      </c>
      <c r="AD44" s="72" t="s">
        <v>808</v>
      </c>
      <c r="AE44" s="302"/>
      <c r="AF44" s="67"/>
      <c r="AG44" s="67"/>
      <c r="AH44" s="72" t="s">
        <v>417</v>
      </c>
    </row>
    <row r="45" spans="1:38" ht="26.4">
      <c r="A45" s="82">
        <v>42</v>
      </c>
      <c r="B45" s="83" t="str">
        <f t="shared" si="0"/>
        <v>002A</v>
      </c>
      <c r="C45" s="87" t="s">
        <v>202</v>
      </c>
      <c r="D45" s="87" t="s">
        <v>106</v>
      </c>
      <c r="E45" s="315" t="s">
        <v>1233</v>
      </c>
      <c r="F45" s="177" t="s">
        <v>1046</v>
      </c>
      <c r="G45" s="177" t="s">
        <v>344</v>
      </c>
      <c r="H45" s="86" t="s">
        <v>637</v>
      </c>
      <c r="I45" s="95" t="s">
        <v>4</v>
      </c>
      <c r="J45" s="85" t="s">
        <v>0</v>
      </c>
      <c r="K45" s="87" t="s">
        <v>110</v>
      </c>
      <c r="L45" s="95" t="s">
        <v>1271</v>
      </c>
      <c r="M45" s="85" t="s">
        <v>255</v>
      </c>
      <c r="N45" s="281" t="s">
        <v>1215</v>
      </c>
      <c r="O45" s="99" t="s">
        <v>53</v>
      </c>
      <c r="P45" s="87" t="str">
        <f ca="1">IF(AND(OR(INDIRECT("K" &amp; ROW())="NAV-Premium",INDIRECT("K" &amp; ROW())="DA-Premium"),INDIRECT("M" &amp; ROW())="PARTITION_SCHEMA128__NavPiviJpn", INDIRECT("O" &amp; ROW())="JPN_SDB"),'SDB vs GN'!$B$41, IF(INDIRECT("H" &amp; ROW())="Chenc",'SDB vs GN'!$B$40, VLOOKUP(INDIRECT("O" &amp; ROW()),'SDB vs GN'!$A$16:$B$38,2,FALSE)))</f>
        <v>No_Gracenote</v>
      </c>
      <c r="Q45" s="87" t="s">
        <v>20</v>
      </c>
      <c r="R45" s="89" t="s">
        <v>59</v>
      </c>
      <c r="S45" s="106" t="s">
        <v>10</v>
      </c>
      <c r="T45" s="87" t="s">
        <v>449</v>
      </c>
      <c r="U45" s="90" t="s">
        <v>816</v>
      </c>
      <c r="V45" s="89" t="s">
        <v>7</v>
      </c>
      <c r="W45" s="86" t="s">
        <v>2184</v>
      </c>
      <c r="X45" s="87" t="s">
        <v>521</v>
      </c>
      <c r="Y45" s="281" t="s">
        <v>1286</v>
      </c>
      <c r="Z45" s="281" t="s">
        <v>1592</v>
      </c>
      <c r="AA45" s="96"/>
      <c r="AB45" s="107">
        <v>433</v>
      </c>
      <c r="AC45" s="221" t="s">
        <v>292</v>
      </c>
      <c r="AD45" s="193" t="s">
        <v>807</v>
      </c>
      <c r="AE45" s="242"/>
      <c r="AF45" s="242"/>
      <c r="AG45" s="242"/>
      <c r="AH45" s="246" t="s">
        <v>234</v>
      </c>
    </row>
    <row r="46" spans="1:38" ht="26.4">
      <c r="A46" s="82">
        <v>43</v>
      </c>
      <c r="B46" s="83" t="str">
        <f t="shared" si="0"/>
        <v>002B</v>
      </c>
      <c r="C46" s="87" t="s">
        <v>432</v>
      </c>
      <c r="D46" s="87" t="s">
        <v>106</v>
      </c>
      <c r="E46" s="315" t="s">
        <v>1233</v>
      </c>
      <c r="F46" s="177" t="s">
        <v>1046</v>
      </c>
      <c r="G46" s="177" t="s">
        <v>344</v>
      </c>
      <c r="H46" s="86" t="s">
        <v>637</v>
      </c>
      <c r="I46" s="95" t="s">
        <v>4</v>
      </c>
      <c r="J46" s="85" t="s">
        <v>0</v>
      </c>
      <c r="K46" s="87" t="s">
        <v>110</v>
      </c>
      <c r="L46" s="95" t="s">
        <v>1271</v>
      </c>
      <c r="M46" s="85" t="s">
        <v>255</v>
      </c>
      <c r="N46" s="281" t="s">
        <v>1215</v>
      </c>
      <c r="O46" s="99" t="s">
        <v>53</v>
      </c>
      <c r="P46" s="87" t="str">
        <f ca="1">IF(AND(OR(INDIRECT("K" &amp; ROW())="NAV-Premium",INDIRECT("K" &amp; ROW())="DA-Premium"),INDIRECT("M" &amp; ROW())="PARTITION_SCHEMA128__NavPiviJpn", INDIRECT("O" &amp; ROW())="JPN_SDB"),'SDB vs GN'!$B$41, IF(INDIRECT("H" &amp; ROW())="Chenc",'SDB vs GN'!$B$40, VLOOKUP(INDIRECT("O" &amp; ROW()),'SDB vs GN'!$A$16:$B$38,2,FALSE)))</f>
        <v>No_Gracenote</v>
      </c>
      <c r="Q46" s="87" t="s">
        <v>20</v>
      </c>
      <c r="R46" s="89" t="s">
        <v>59</v>
      </c>
      <c r="S46" s="106" t="s">
        <v>10</v>
      </c>
      <c r="T46" s="87" t="s">
        <v>449</v>
      </c>
      <c r="U46" s="90" t="s">
        <v>816</v>
      </c>
      <c r="V46" s="89" t="s">
        <v>7</v>
      </c>
      <c r="W46" s="86" t="s">
        <v>2184</v>
      </c>
      <c r="X46" s="87" t="s">
        <v>521</v>
      </c>
      <c r="Y46" s="281" t="s">
        <v>1286</v>
      </c>
      <c r="Z46" s="281" t="s">
        <v>1592</v>
      </c>
      <c r="AA46" s="96"/>
      <c r="AB46" s="107">
        <v>344</v>
      </c>
      <c r="AC46" s="221" t="s">
        <v>293</v>
      </c>
      <c r="AD46" s="193" t="s">
        <v>807</v>
      </c>
      <c r="AE46" s="242"/>
      <c r="AF46" s="242"/>
      <c r="AG46" s="242"/>
      <c r="AH46" s="246" t="s">
        <v>234</v>
      </c>
    </row>
    <row r="47" spans="1:38">
      <c r="A47" s="51">
        <v>44</v>
      </c>
      <c r="B47" s="81" t="str">
        <f t="shared" si="0"/>
        <v>002C</v>
      </c>
      <c r="C47" s="43" t="s">
        <v>137</v>
      </c>
      <c r="D47" s="43" t="s">
        <v>92</v>
      </c>
      <c r="E47" s="286" t="s">
        <v>1233</v>
      </c>
      <c r="F47" s="78" t="s">
        <v>1047</v>
      </c>
      <c r="G47" s="78" t="s">
        <v>761</v>
      </c>
      <c r="H47" s="55" t="s">
        <v>637</v>
      </c>
      <c r="I47" s="43" t="s">
        <v>815</v>
      </c>
      <c r="J47" s="57" t="s">
        <v>1</v>
      </c>
      <c r="K47" s="79" t="s">
        <v>749</v>
      </c>
      <c r="L47" s="59" t="s">
        <v>500</v>
      </c>
      <c r="M47" s="54" t="s">
        <v>1615</v>
      </c>
      <c r="N47" s="279" t="s">
        <v>1215</v>
      </c>
      <c r="O47" s="238" t="s">
        <v>54</v>
      </c>
      <c r="P47" s="64" t="str">
        <f ca="1">IF(AND(OR(INDIRECT("K" &amp; ROW())="NAV-Premium",INDIRECT("K" &amp; ROW())="DA-Premium"),INDIRECT("M" &amp; ROW())="PARTITION_SCHEMA128__NavPiviJpn", INDIRECT("O" &amp; ROW())="JPN_SDB"),'SDB vs GN'!$B$41, IF(INDIRECT("H" &amp; ROW())="Chenc",'SDB vs GN'!$B$40, VLOOKUP(INDIRECT("O" &amp; ROW()),'SDB vs GN'!$A$16:$B$38,2,FALSE)))</f>
        <v>731_EUR</v>
      </c>
      <c r="Q47" s="58" t="s">
        <v>20</v>
      </c>
      <c r="R47" s="75" t="s">
        <v>61</v>
      </c>
      <c r="S47" s="74" t="s">
        <v>10</v>
      </c>
      <c r="T47" s="59" t="s">
        <v>449</v>
      </c>
      <c r="U47" s="62" t="s">
        <v>12</v>
      </c>
      <c r="V47" s="172" t="s">
        <v>553</v>
      </c>
      <c r="W47" s="69" t="s">
        <v>447</v>
      </c>
      <c r="X47" s="64" t="s">
        <v>521</v>
      </c>
      <c r="Y47" s="282" t="s">
        <v>1286</v>
      </c>
      <c r="Z47" s="282" t="s">
        <v>1592</v>
      </c>
      <c r="AA47" s="37"/>
      <c r="AB47" s="70">
        <v>464</v>
      </c>
      <c r="AC47" s="212" t="s">
        <v>107</v>
      </c>
      <c r="AD47" s="67" t="s">
        <v>808</v>
      </c>
      <c r="AE47" s="302"/>
      <c r="AF47" s="67"/>
      <c r="AG47" s="67"/>
      <c r="AH47" s="45" t="s">
        <v>124</v>
      </c>
    </row>
    <row r="48" spans="1:38" ht="26.4">
      <c r="A48" s="51">
        <v>45</v>
      </c>
      <c r="B48" s="51" t="str">
        <f t="shared" si="0"/>
        <v>002D</v>
      </c>
      <c r="C48" s="69" t="s">
        <v>113</v>
      </c>
      <c r="D48" s="54" t="s">
        <v>818</v>
      </c>
      <c r="E48" s="279" t="s">
        <v>1233</v>
      </c>
      <c r="F48" s="178" t="s">
        <v>1044</v>
      </c>
      <c r="G48" s="178" t="s">
        <v>345</v>
      </c>
      <c r="H48" s="166" t="s">
        <v>638</v>
      </c>
      <c r="I48" s="58" t="s">
        <v>815</v>
      </c>
      <c r="J48" s="43" t="s">
        <v>0</v>
      </c>
      <c r="K48" s="59" t="s">
        <v>453</v>
      </c>
      <c r="L48" s="40" t="s">
        <v>1271</v>
      </c>
      <c r="M48" s="54" t="s">
        <v>254</v>
      </c>
      <c r="N48" s="279" t="s">
        <v>1215</v>
      </c>
      <c r="O48" s="238" t="s">
        <v>97</v>
      </c>
      <c r="P48"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48" s="43" t="s">
        <v>13</v>
      </c>
      <c r="R48" s="43" t="s">
        <v>63</v>
      </c>
      <c r="S48" s="108" t="s">
        <v>9</v>
      </c>
      <c r="T48" s="43" t="s">
        <v>449</v>
      </c>
      <c r="U48" s="109" t="s">
        <v>816</v>
      </c>
      <c r="V48" s="173" t="s">
        <v>609</v>
      </c>
      <c r="W48" s="63" t="s">
        <v>448</v>
      </c>
      <c r="X48" s="64" t="s">
        <v>521</v>
      </c>
      <c r="Y48" s="282" t="s">
        <v>1286</v>
      </c>
      <c r="Z48" s="282" t="s">
        <v>1592</v>
      </c>
      <c r="AA48" s="37"/>
      <c r="AB48" s="70">
        <v>543</v>
      </c>
      <c r="AC48" s="263" t="s">
        <v>970</v>
      </c>
      <c r="AD48" s="67" t="s">
        <v>808</v>
      </c>
      <c r="AE48" s="302"/>
      <c r="AF48" s="67"/>
      <c r="AG48" s="67"/>
      <c r="AH48" s="72" t="s">
        <v>341</v>
      </c>
    </row>
    <row r="49" spans="1:38" ht="26.4">
      <c r="A49" s="51">
        <v>46</v>
      </c>
      <c r="B49" s="51" t="str">
        <f t="shared" si="0"/>
        <v>002E</v>
      </c>
      <c r="C49" s="69" t="s">
        <v>114</v>
      </c>
      <c r="D49" s="54" t="s">
        <v>87</v>
      </c>
      <c r="E49" s="279" t="s">
        <v>1233</v>
      </c>
      <c r="F49" s="178" t="s">
        <v>1044</v>
      </c>
      <c r="G49" s="178" t="s">
        <v>345</v>
      </c>
      <c r="H49" s="166" t="s">
        <v>638</v>
      </c>
      <c r="I49" s="58" t="s">
        <v>815</v>
      </c>
      <c r="J49" s="54" t="s">
        <v>0</v>
      </c>
      <c r="K49" s="57" t="s">
        <v>452</v>
      </c>
      <c r="L49" s="40" t="s">
        <v>1271</v>
      </c>
      <c r="M49" s="54" t="s">
        <v>257</v>
      </c>
      <c r="N49" s="279" t="s">
        <v>1215</v>
      </c>
      <c r="O49" s="238" t="s">
        <v>97</v>
      </c>
      <c r="P49"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49" s="58" t="s">
        <v>20</v>
      </c>
      <c r="R49" s="44" t="s">
        <v>59</v>
      </c>
      <c r="S49" s="74" t="s">
        <v>10</v>
      </c>
      <c r="T49" s="43" t="s">
        <v>449</v>
      </c>
      <c r="U49" s="62" t="s">
        <v>816</v>
      </c>
      <c r="V49" s="173" t="s">
        <v>609</v>
      </c>
      <c r="W49" s="63" t="s">
        <v>448</v>
      </c>
      <c r="X49" s="64" t="s">
        <v>521</v>
      </c>
      <c r="Y49" s="282" t="s">
        <v>1286</v>
      </c>
      <c r="Z49" s="282" t="s">
        <v>1592</v>
      </c>
      <c r="AA49" s="37"/>
      <c r="AB49" s="70">
        <v>374</v>
      </c>
      <c r="AC49" s="224" t="s">
        <v>971</v>
      </c>
      <c r="AD49" s="67" t="s">
        <v>808</v>
      </c>
      <c r="AE49" s="302"/>
      <c r="AF49" s="67"/>
      <c r="AG49" s="67"/>
      <c r="AH49" s="72" t="s">
        <v>340</v>
      </c>
    </row>
    <row r="50" spans="1:38" ht="26.4">
      <c r="A50" s="51">
        <v>47</v>
      </c>
      <c r="B50" s="51" t="str">
        <f t="shared" si="0"/>
        <v>002F</v>
      </c>
      <c r="C50" s="53" t="s">
        <v>115</v>
      </c>
      <c r="D50" s="54" t="s">
        <v>87</v>
      </c>
      <c r="E50" s="279" t="s">
        <v>1233</v>
      </c>
      <c r="F50" s="178" t="s">
        <v>1044</v>
      </c>
      <c r="G50" s="178" t="s">
        <v>345</v>
      </c>
      <c r="H50" s="166" t="s">
        <v>638</v>
      </c>
      <c r="I50" s="58" t="s">
        <v>815</v>
      </c>
      <c r="J50" s="54" t="s">
        <v>0</v>
      </c>
      <c r="K50" s="57" t="s">
        <v>452</v>
      </c>
      <c r="L50" s="40" t="s">
        <v>1271</v>
      </c>
      <c r="M50" s="54" t="s">
        <v>257</v>
      </c>
      <c r="N50" s="279" t="s">
        <v>1215</v>
      </c>
      <c r="O50" s="238" t="s">
        <v>97</v>
      </c>
      <c r="P50"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50" s="58" t="s">
        <v>20</v>
      </c>
      <c r="R50" s="110" t="s">
        <v>61</v>
      </c>
      <c r="S50" s="111" t="s">
        <v>10</v>
      </c>
      <c r="T50" s="58" t="s">
        <v>449</v>
      </c>
      <c r="U50" s="62" t="s">
        <v>816</v>
      </c>
      <c r="V50" s="173" t="s">
        <v>609</v>
      </c>
      <c r="W50" s="69" t="s">
        <v>448</v>
      </c>
      <c r="X50" s="64" t="s">
        <v>521</v>
      </c>
      <c r="Y50" s="282" t="s">
        <v>1286</v>
      </c>
      <c r="Z50" s="282" t="s">
        <v>1592</v>
      </c>
      <c r="AA50" s="37"/>
      <c r="AB50" s="65" t="s">
        <v>196</v>
      </c>
      <c r="AC50" s="224" t="s">
        <v>972</v>
      </c>
      <c r="AD50" s="67" t="s">
        <v>808</v>
      </c>
      <c r="AE50" s="302"/>
      <c r="AF50" s="67"/>
      <c r="AG50" s="67"/>
      <c r="AH50" s="72" t="s">
        <v>339</v>
      </c>
    </row>
    <row r="51" spans="1:38">
      <c r="A51" s="51">
        <v>48</v>
      </c>
      <c r="B51" s="51" t="str">
        <f t="shared" si="0"/>
        <v>0030</v>
      </c>
      <c r="C51" s="53" t="s">
        <v>129</v>
      </c>
      <c r="D51" s="54" t="s">
        <v>87</v>
      </c>
      <c r="E51" s="279" t="s">
        <v>1233</v>
      </c>
      <c r="F51" s="178" t="s">
        <v>1044</v>
      </c>
      <c r="G51" s="178" t="s">
        <v>345</v>
      </c>
      <c r="H51" s="55" t="s">
        <v>637</v>
      </c>
      <c r="I51" s="58" t="s">
        <v>815</v>
      </c>
      <c r="J51" s="54" t="s">
        <v>0</v>
      </c>
      <c r="K51" s="57" t="s">
        <v>452</v>
      </c>
      <c r="L51" s="40" t="s">
        <v>1271</v>
      </c>
      <c r="M51" s="54" t="s">
        <v>257</v>
      </c>
      <c r="N51" s="279" t="s">
        <v>1215</v>
      </c>
      <c r="O51" s="238" t="s">
        <v>73</v>
      </c>
      <c r="P51" s="64" t="str">
        <f ca="1">IF(AND(OR(INDIRECT("K" &amp; ROW())="NAV-Premium",INDIRECT("K" &amp; ROW())="DA-Premium"),INDIRECT("M" &amp; ROW())="PARTITION_SCHEMA128__NavPiviJpn", INDIRECT("O" &amp; ROW())="JPN_SDB"),'SDB vs GN'!$B$41, IF(INDIRECT("H" &amp; ROW())="Chenc",'SDB vs GN'!$B$40, VLOOKUP(INDIRECT("O" &amp; ROW()),'SDB vs GN'!$A$16:$B$38,2,FALSE)))</f>
        <v>731_EUR</v>
      </c>
      <c r="Q51" s="58" t="s">
        <v>20</v>
      </c>
      <c r="R51" s="110" t="s">
        <v>61</v>
      </c>
      <c r="S51" s="111" t="s">
        <v>10</v>
      </c>
      <c r="T51" s="58" t="s">
        <v>449</v>
      </c>
      <c r="U51" s="62" t="s">
        <v>816</v>
      </c>
      <c r="V51" s="173" t="s">
        <v>611</v>
      </c>
      <c r="W51" s="69" t="s">
        <v>448</v>
      </c>
      <c r="X51" s="64" t="s">
        <v>521</v>
      </c>
      <c r="Y51" s="282" t="s">
        <v>1286</v>
      </c>
      <c r="Z51" s="282" t="s">
        <v>1592</v>
      </c>
      <c r="AA51" s="37"/>
      <c r="AB51" s="70">
        <v>537</v>
      </c>
      <c r="AC51" s="224" t="s">
        <v>973</v>
      </c>
      <c r="AD51" s="67" t="s">
        <v>808</v>
      </c>
      <c r="AE51" s="302"/>
      <c r="AF51" s="67"/>
      <c r="AG51" s="67"/>
      <c r="AH51" s="45"/>
    </row>
    <row r="52" spans="1:38">
      <c r="A52" s="51">
        <v>49</v>
      </c>
      <c r="B52" s="51" t="str">
        <f t="shared" si="0"/>
        <v>0031</v>
      </c>
      <c r="C52" s="112" t="s">
        <v>410</v>
      </c>
      <c r="D52" s="54" t="s">
        <v>87</v>
      </c>
      <c r="E52" s="279" t="s">
        <v>1233</v>
      </c>
      <c r="F52" s="178" t="s">
        <v>1044</v>
      </c>
      <c r="G52" s="178" t="s">
        <v>345</v>
      </c>
      <c r="H52" s="55" t="s">
        <v>637</v>
      </c>
      <c r="I52" s="58" t="s">
        <v>815</v>
      </c>
      <c r="J52" s="54" t="s">
        <v>0</v>
      </c>
      <c r="K52" s="57" t="s">
        <v>452</v>
      </c>
      <c r="L52" s="40" t="s">
        <v>1271</v>
      </c>
      <c r="M52" s="54" t="s">
        <v>257</v>
      </c>
      <c r="N52" s="279" t="s">
        <v>1215</v>
      </c>
      <c r="O52" s="238" t="s">
        <v>825</v>
      </c>
      <c r="P52" s="64" t="str">
        <f ca="1">IF(AND(OR(INDIRECT("K" &amp; ROW())="NAV-Premium",INDIRECT("K" &amp; ROW())="DA-Premium"),INDIRECT("M" &amp; ROW())="PARTITION_SCHEMA128__NavPiviJpn", INDIRECT("O" &amp; ROW())="JPN_SDB"),'SDB vs GN'!$B$41, IF(INDIRECT("H" &amp; ROW())="Chenc",'SDB vs GN'!$B$40, VLOOKUP(INDIRECT("O" &amp; ROW()),'SDB vs GN'!$A$16:$B$38,2,FALSE)))</f>
        <v>831_AUSKRJPN</v>
      </c>
      <c r="Q52" s="58" t="s">
        <v>20</v>
      </c>
      <c r="R52" s="110" t="s">
        <v>61</v>
      </c>
      <c r="S52" s="111" t="s">
        <v>10</v>
      </c>
      <c r="T52" s="58" t="s">
        <v>449</v>
      </c>
      <c r="U52" s="62" t="s">
        <v>816</v>
      </c>
      <c r="V52" s="173" t="s">
        <v>612</v>
      </c>
      <c r="W52" s="69" t="s">
        <v>448</v>
      </c>
      <c r="X52" s="64" t="s">
        <v>521</v>
      </c>
      <c r="Y52" s="282" t="s">
        <v>1286</v>
      </c>
      <c r="Z52" s="282" t="s">
        <v>1592</v>
      </c>
      <c r="AA52" s="37"/>
      <c r="AB52" s="70">
        <v>538</v>
      </c>
      <c r="AC52" s="224" t="s">
        <v>974</v>
      </c>
      <c r="AD52" s="67" t="s">
        <v>808</v>
      </c>
      <c r="AE52" s="302"/>
      <c r="AF52" s="67"/>
      <c r="AG52" s="67"/>
      <c r="AH52" s="45"/>
    </row>
    <row r="53" spans="1:38">
      <c r="A53" s="51">
        <v>50</v>
      </c>
      <c r="B53" s="51" t="str">
        <f t="shared" si="0"/>
        <v>0032</v>
      </c>
      <c r="C53" s="53" t="s">
        <v>130</v>
      </c>
      <c r="D53" s="54" t="s">
        <v>87</v>
      </c>
      <c r="E53" s="279" t="s">
        <v>1233</v>
      </c>
      <c r="F53" s="178" t="s">
        <v>1044</v>
      </c>
      <c r="G53" s="178" t="s">
        <v>345</v>
      </c>
      <c r="H53" s="55" t="s">
        <v>637</v>
      </c>
      <c r="I53" s="58" t="s">
        <v>815</v>
      </c>
      <c r="J53" s="54" t="s">
        <v>0</v>
      </c>
      <c r="K53" s="57" t="s">
        <v>452</v>
      </c>
      <c r="L53" s="40" t="s">
        <v>1271</v>
      </c>
      <c r="M53" s="54" t="s">
        <v>257</v>
      </c>
      <c r="N53" s="279" t="s">
        <v>1215</v>
      </c>
      <c r="O53" s="238" t="s">
        <v>126</v>
      </c>
      <c r="P53" s="64" t="str">
        <f ca="1">IF(AND(OR(INDIRECT("K" &amp; ROW())="NAV-Premium",INDIRECT("K" &amp; ROW())="DA-Premium"),INDIRECT("M" &amp; ROW())="PARTITION_SCHEMA128__NavPiviJpn", INDIRECT("O" &amp; ROW())="JPN_SDB"),'SDB vs GN'!$B$41, IF(INDIRECT("H" &amp; ROW())="Chenc",'SDB vs GN'!$B$40, VLOOKUP(INDIRECT("O" &amp; ROW()),'SDB vs GN'!$A$16:$B$38,2,FALSE)))</f>
        <v>735_LA</v>
      </c>
      <c r="Q53" s="58" t="s">
        <v>20</v>
      </c>
      <c r="R53" s="110" t="s">
        <v>61</v>
      </c>
      <c r="S53" s="111" t="s">
        <v>10</v>
      </c>
      <c r="T53" s="58" t="s">
        <v>449</v>
      </c>
      <c r="U53" s="62" t="s">
        <v>816</v>
      </c>
      <c r="V53" s="173" t="s">
        <v>613</v>
      </c>
      <c r="W53" s="69" t="s">
        <v>448</v>
      </c>
      <c r="X53" s="64" t="s">
        <v>521</v>
      </c>
      <c r="Y53" s="282" t="s">
        <v>1286</v>
      </c>
      <c r="Z53" s="282" t="s">
        <v>1592</v>
      </c>
      <c r="AA53" s="37"/>
      <c r="AB53" s="70">
        <v>539</v>
      </c>
      <c r="AC53" s="224" t="s">
        <v>975</v>
      </c>
      <c r="AD53" s="67" t="s">
        <v>808</v>
      </c>
      <c r="AE53" s="302"/>
      <c r="AF53" s="67"/>
      <c r="AG53" s="67"/>
      <c r="AH53" s="45"/>
    </row>
    <row r="54" spans="1:38">
      <c r="A54" s="51">
        <v>51</v>
      </c>
      <c r="B54" s="51" t="str">
        <f t="shared" si="0"/>
        <v>0033</v>
      </c>
      <c r="C54" s="53" t="s">
        <v>131</v>
      </c>
      <c r="D54" s="54" t="s">
        <v>87</v>
      </c>
      <c r="E54" s="279" t="s">
        <v>1233</v>
      </c>
      <c r="F54" s="178" t="s">
        <v>1044</v>
      </c>
      <c r="G54" s="178" t="s">
        <v>345</v>
      </c>
      <c r="H54" s="55" t="s">
        <v>637</v>
      </c>
      <c r="I54" s="58" t="s">
        <v>815</v>
      </c>
      <c r="J54" s="54" t="s">
        <v>0</v>
      </c>
      <c r="K54" s="57" t="s">
        <v>452</v>
      </c>
      <c r="L54" s="40" t="s">
        <v>1271</v>
      </c>
      <c r="M54" s="54" t="s">
        <v>257</v>
      </c>
      <c r="N54" s="279" t="s">
        <v>1215</v>
      </c>
      <c r="O54" s="238" t="s">
        <v>97</v>
      </c>
      <c r="P54" s="64" t="str">
        <f ca="1">IF(AND(OR(INDIRECT("K" &amp; ROW())="NAV-Premium",INDIRECT("K" &amp; ROW())="DA-Premium"),INDIRECT("M" &amp; ROW())="PARTITION_SCHEMA128__NavPiviJpn", INDIRECT("O" &amp; ROW())="JPN_SDB"),'SDB vs GN'!$B$41, IF(INDIRECT("H" &amp; ROW())="Chenc",'SDB vs GN'!$B$40, VLOOKUP(INDIRECT("O" &amp; ROW()),'SDB vs GN'!$A$16:$B$38,2,FALSE)))</f>
        <v>734_CN_831_AUSKRJPN</v>
      </c>
      <c r="Q54" s="58" t="s">
        <v>20</v>
      </c>
      <c r="R54" s="110" t="s">
        <v>61</v>
      </c>
      <c r="S54" s="111" t="s">
        <v>10</v>
      </c>
      <c r="T54" s="58" t="s">
        <v>449</v>
      </c>
      <c r="U54" s="62" t="s">
        <v>816</v>
      </c>
      <c r="V54" s="173" t="s">
        <v>601</v>
      </c>
      <c r="W54" s="69" t="s">
        <v>448</v>
      </c>
      <c r="X54" s="64" t="s">
        <v>521</v>
      </c>
      <c r="Y54" s="282" t="s">
        <v>1286</v>
      </c>
      <c r="Z54" s="282" t="s">
        <v>1592</v>
      </c>
      <c r="AA54" s="37"/>
      <c r="AB54" s="70">
        <v>540</v>
      </c>
      <c r="AC54" s="224" t="s">
        <v>976</v>
      </c>
      <c r="AD54" s="67" t="s">
        <v>808</v>
      </c>
      <c r="AE54" s="302"/>
      <c r="AF54" s="67"/>
      <c r="AG54" s="67"/>
      <c r="AH54" s="45"/>
    </row>
    <row r="55" spans="1:38">
      <c r="A55" s="51">
        <v>52</v>
      </c>
      <c r="B55" s="51" t="str">
        <f t="shared" si="0"/>
        <v>0034</v>
      </c>
      <c r="C55" s="53" t="s">
        <v>132</v>
      </c>
      <c r="D55" s="54" t="s">
        <v>87</v>
      </c>
      <c r="E55" s="279" t="s">
        <v>1233</v>
      </c>
      <c r="F55" s="178" t="s">
        <v>1044</v>
      </c>
      <c r="G55" s="178" t="s">
        <v>345</v>
      </c>
      <c r="H55" s="55" t="s">
        <v>637</v>
      </c>
      <c r="I55" s="58" t="s">
        <v>815</v>
      </c>
      <c r="J55" s="54" t="s">
        <v>0</v>
      </c>
      <c r="K55" s="57" t="s">
        <v>452</v>
      </c>
      <c r="L55" s="40" t="s">
        <v>1271</v>
      </c>
      <c r="M55" s="54" t="s">
        <v>256</v>
      </c>
      <c r="N55" s="279" t="s">
        <v>1215</v>
      </c>
      <c r="O55" s="238" t="s">
        <v>97</v>
      </c>
      <c r="P55" s="64" t="str">
        <f ca="1">IF(AND(OR(INDIRECT("K" &amp; ROW())="NAV-Premium",INDIRECT("K" &amp; ROW())="DA-Premium"),INDIRECT("M" &amp; ROW())="PARTITION_SCHEMA128__NavPiviJpn", INDIRECT("O" &amp; ROW())="JPN_SDB"),'SDB vs GN'!$B$41, IF(INDIRECT("H" &amp; ROW())="Chenc",'SDB vs GN'!$B$40, VLOOKUP(INDIRECT("O" &amp; ROW()),'SDB vs GN'!$A$16:$B$38,2,FALSE)))</f>
        <v>734_CN_831_AUSKRJPN</v>
      </c>
      <c r="Q55" s="58" t="s">
        <v>20</v>
      </c>
      <c r="R55" s="110" t="s">
        <v>61</v>
      </c>
      <c r="S55" s="111" t="s">
        <v>10</v>
      </c>
      <c r="T55" s="58" t="s">
        <v>449</v>
      </c>
      <c r="U55" s="62" t="s">
        <v>816</v>
      </c>
      <c r="V55" s="173" t="s">
        <v>601</v>
      </c>
      <c r="W55" s="69" t="s">
        <v>448</v>
      </c>
      <c r="X55" s="64" t="s">
        <v>521</v>
      </c>
      <c r="Y55" s="282" t="s">
        <v>1286</v>
      </c>
      <c r="Z55" s="282" t="s">
        <v>1592</v>
      </c>
      <c r="AA55" s="37"/>
      <c r="AB55" s="70">
        <v>541</v>
      </c>
      <c r="AC55" s="224" t="s">
        <v>977</v>
      </c>
      <c r="AD55" s="67" t="s">
        <v>808</v>
      </c>
      <c r="AE55" s="302"/>
      <c r="AF55" s="67"/>
      <c r="AG55" s="67"/>
      <c r="AH55" s="73"/>
    </row>
    <row r="56" spans="1:38">
      <c r="A56" s="51">
        <v>53</v>
      </c>
      <c r="B56" s="51" t="str">
        <f t="shared" si="0"/>
        <v>0035</v>
      </c>
      <c r="C56" s="53" t="s">
        <v>96</v>
      </c>
      <c r="D56" s="54" t="s">
        <v>101</v>
      </c>
      <c r="E56" s="279" t="s">
        <v>1233</v>
      </c>
      <c r="F56" s="178" t="s">
        <v>1044</v>
      </c>
      <c r="G56" s="178" t="s">
        <v>345</v>
      </c>
      <c r="H56" s="55" t="s">
        <v>637</v>
      </c>
      <c r="I56" s="71" t="s">
        <v>815</v>
      </c>
      <c r="J56" s="54" t="s">
        <v>0</v>
      </c>
      <c r="K56" s="54" t="s">
        <v>452</v>
      </c>
      <c r="L56" s="40" t="s">
        <v>1271</v>
      </c>
      <c r="M56" s="54" t="s">
        <v>257</v>
      </c>
      <c r="N56" s="279" t="s">
        <v>1215</v>
      </c>
      <c r="O56" s="238" t="s">
        <v>84</v>
      </c>
      <c r="P56" s="64" t="str">
        <f ca="1">IF(AND(OR(INDIRECT("K" &amp; ROW())="NAV-Premium",INDIRECT("K" &amp; ROW())="DA-Premium"),INDIRECT("M" &amp; ROW())="PARTITION_SCHEMA128__NavPiviJpn", INDIRECT("O" &amp; ROW())="JPN_SDB"),'SDB vs GN'!$B$41, IF(INDIRECT("H" &amp; ROW())="Chenc",'SDB vs GN'!$B$40, VLOOKUP(INDIRECT("O" &amp; ROW()),'SDB vs GN'!$A$16:$B$38,2,FALSE)))</f>
        <v>727_NAM</v>
      </c>
      <c r="Q56" s="58" t="s">
        <v>20</v>
      </c>
      <c r="R56" s="110" t="s">
        <v>60</v>
      </c>
      <c r="S56" s="111" t="s">
        <v>10</v>
      </c>
      <c r="T56" s="58" t="s">
        <v>450</v>
      </c>
      <c r="U56" s="62" t="s">
        <v>816</v>
      </c>
      <c r="V56" s="173" t="s">
        <v>608</v>
      </c>
      <c r="W56" s="69" t="s">
        <v>447</v>
      </c>
      <c r="X56" s="64" t="s">
        <v>521</v>
      </c>
      <c r="Y56" s="282" t="s">
        <v>1286</v>
      </c>
      <c r="Z56" s="282" t="s">
        <v>1592</v>
      </c>
      <c r="AA56" s="96"/>
      <c r="AB56" s="70">
        <v>486</v>
      </c>
      <c r="AC56" s="217" t="s">
        <v>279</v>
      </c>
      <c r="AD56" s="67" t="s">
        <v>808</v>
      </c>
      <c r="AE56" s="302"/>
      <c r="AF56" s="67"/>
      <c r="AG56" s="67"/>
      <c r="AH56" s="73"/>
    </row>
    <row r="57" spans="1:38" s="36" customFormat="1">
      <c r="A57" s="51">
        <v>54</v>
      </c>
      <c r="B57" s="51" t="str">
        <f t="shared" si="0"/>
        <v>0036</v>
      </c>
      <c r="C57" s="170" t="s">
        <v>1440</v>
      </c>
      <c r="D57" s="114" t="s">
        <v>140</v>
      </c>
      <c r="E57" s="316" t="s">
        <v>1233</v>
      </c>
      <c r="F57" s="115" t="s">
        <v>1049</v>
      </c>
      <c r="G57" s="115" t="s">
        <v>346</v>
      </c>
      <c r="H57" s="55" t="s">
        <v>637</v>
      </c>
      <c r="I57" s="113" t="s">
        <v>5</v>
      </c>
      <c r="J57" s="54" t="s">
        <v>0</v>
      </c>
      <c r="K57" s="114" t="s">
        <v>454</v>
      </c>
      <c r="L57" s="100" t="s">
        <v>1317</v>
      </c>
      <c r="M57" s="54" t="s">
        <v>236</v>
      </c>
      <c r="N57" s="279" t="s">
        <v>1215</v>
      </c>
      <c r="O57" s="238" t="s">
        <v>55</v>
      </c>
      <c r="P57" s="64" t="str">
        <f ca="1">IF(AND(OR(INDIRECT("K" &amp; ROW())="NAV-Premium",INDIRECT("K" &amp; ROW())="DA-Premium"),INDIRECT("M" &amp; ROW())="PARTITION_SCHEMA128__NavPiviJpn", INDIRECT("O" &amp; ROW())="JPN_SDB"),'SDB vs GN'!$B$41, IF(INDIRECT("H" &amp; ROW())="Chenc",'SDB vs GN'!$B$40, VLOOKUP(INDIRECT("O" &amp; ROW()),'SDB vs GN'!$A$16:$B$38,2,FALSE)))</f>
        <v>742_JPN_831_AUSKRJPN</v>
      </c>
      <c r="Q57" s="58" t="s">
        <v>20</v>
      </c>
      <c r="R57" s="110" t="s">
        <v>133</v>
      </c>
      <c r="S57" s="111" t="s">
        <v>10</v>
      </c>
      <c r="T57" s="58" t="s">
        <v>449</v>
      </c>
      <c r="U57" s="62" t="s">
        <v>816</v>
      </c>
      <c r="V57" s="173" t="s">
        <v>619</v>
      </c>
      <c r="W57" s="69" t="s">
        <v>447</v>
      </c>
      <c r="X57" s="156" t="s">
        <v>523</v>
      </c>
      <c r="Y57" s="282" t="s">
        <v>1286</v>
      </c>
      <c r="Z57" s="282" t="s">
        <v>1592</v>
      </c>
      <c r="AA57" s="96"/>
      <c r="AB57" s="70">
        <v>495</v>
      </c>
      <c r="AC57" s="217" t="s">
        <v>135</v>
      </c>
      <c r="AD57" s="72" t="s">
        <v>888</v>
      </c>
      <c r="AE57" s="302"/>
      <c r="AF57" s="67"/>
      <c r="AG57" s="67"/>
      <c r="AH57" s="73"/>
      <c r="AI57" s="383"/>
      <c r="AJ57" s="383"/>
      <c r="AK57" s="383"/>
    </row>
    <row r="58" spans="1:38">
      <c r="A58" s="51">
        <v>55</v>
      </c>
      <c r="B58" s="51" t="str">
        <f t="shared" si="0"/>
        <v>0037</v>
      </c>
      <c r="C58" s="79" t="s">
        <v>712</v>
      </c>
      <c r="D58" s="117" t="s">
        <v>136</v>
      </c>
      <c r="E58" s="317" t="s">
        <v>1233</v>
      </c>
      <c r="F58" s="118" t="s">
        <v>1050</v>
      </c>
      <c r="G58" s="118" t="s">
        <v>760</v>
      </c>
      <c r="H58" s="55" t="s">
        <v>637</v>
      </c>
      <c r="I58" s="119" t="s">
        <v>4</v>
      </c>
      <c r="J58" s="117" t="s">
        <v>1</v>
      </c>
      <c r="K58" s="79" t="s">
        <v>747</v>
      </c>
      <c r="L58" s="116" t="s">
        <v>500</v>
      </c>
      <c r="M58" s="55" t="s">
        <v>1616</v>
      </c>
      <c r="N58" s="282" t="s">
        <v>1215</v>
      </c>
      <c r="O58" s="239" t="s">
        <v>53</v>
      </c>
      <c r="P58" s="64" t="str">
        <f ca="1">IF(AND(OR(INDIRECT("K" &amp; ROW())="NAV-Premium",INDIRECT("K" &amp; ROW())="DA-Premium"),INDIRECT("M" &amp; ROW())="PARTITION_SCHEMA128__NavPiviJpn", INDIRECT("O" &amp; ROW())="JPN_SDB"),'SDB vs GN'!$B$41, IF(INDIRECT("H" &amp; ROW())="Chenc",'SDB vs GN'!$B$40, VLOOKUP(INDIRECT("O" &amp; ROW()),'SDB vs GN'!$A$16:$B$38,2,FALSE)))</f>
        <v>No_Gracenote</v>
      </c>
      <c r="Q58" s="116" t="s">
        <v>20</v>
      </c>
      <c r="R58" s="101" t="s">
        <v>248</v>
      </c>
      <c r="S58" s="121" t="s">
        <v>10</v>
      </c>
      <c r="T58" s="116" t="s">
        <v>449</v>
      </c>
      <c r="U58" s="62" t="s">
        <v>816</v>
      </c>
      <c r="V58" s="101" t="s">
        <v>7</v>
      </c>
      <c r="W58" s="69" t="s">
        <v>447</v>
      </c>
      <c r="X58" s="64" t="s">
        <v>521</v>
      </c>
      <c r="Y58" s="282" t="s">
        <v>1286</v>
      </c>
      <c r="Z58" s="282" t="s">
        <v>1592</v>
      </c>
      <c r="AA58" s="96"/>
      <c r="AB58" s="70">
        <v>467</v>
      </c>
      <c r="AC58" s="217" t="s">
        <v>138</v>
      </c>
      <c r="AD58" s="67" t="s">
        <v>808</v>
      </c>
      <c r="AE58" s="302"/>
      <c r="AF58" s="67"/>
      <c r="AG58" s="67"/>
      <c r="AH58" s="133"/>
      <c r="AI58" s="24"/>
      <c r="AJ58" s="24"/>
      <c r="AK58" s="24"/>
      <c r="AL58" s="24"/>
    </row>
    <row r="59" spans="1:38" ht="145.19999999999999">
      <c r="A59" s="51">
        <v>56</v>
      </c>
      <c r="B59" s="51" t="str">
        <f t="shared" si="0"/>
        <v>0038</v>
      </c>
      <c r="C59" s="135" t="s">
        <v>713</v>
      </c>
      <c r="D59" s="127" t="s">
        <v>136</v>
      </c>
      <c r="E59" s="318" t="s">
        <v>1233</v>
      </c>
      <c r="F59" s="118" t="s">
        <v>1050</v>
      </c>
      <c r="G59" s="118" t="s">
        <v>760</v>
      </c>
      <c r="H59" s="55" t="s">
        <v>637</v>
      </c>
      <c r="I59" s="158" t="s">
        <v>4</v>
      </c>
      <c r="J59" s="127" t="s">
        <v>1</v>
      </c>
      <c r="K59" s="79" t="s">
        <v>747</v>
      </c>
      <c r="L59" s="79" t="s">
        <v>500</v>
      </c>
      <c r="M59" s="55" t="s">
        <v>1616</v>
      </c>
      <c r="N59" s="282" t="s">
        <v>1215</v>
      </c>
      <c r="O59" s="239" t="s">
        <v>53</v>
      </c>
      <c r="P59" s="64" t="str">
        <f ca="1">IF(AND(OR(INDIRECT("K" &amp; ROW())="NAV-Premium",INDIRECT("K" &amp; ROW())="DA-Premium"),INDIRECT("M" &amp; ROW())="PARTITION_SCHEMA128__NavPiviJpn", INDIRECT("O" &amp; ROW())="JPN_SDB"),'SDB vs GN'!$B$41, IF(INDIRECT("H" &amp; ROW())="Chenc",'SDB vs GN'!$B$40, VLOOKUP(INDIRECT("O" &amp; ROW()),'SDB vs GN'!$A$16:$B$38,2,FALSE)))</f>
        <v>No_Gracenote</v>
      </c>
      <c r="Q59" s="79" t="s">
        <v>20</v>
      </c>
      <c r="R59" s="165" t="s">
        <v>61</v>
      </c>
      <c r="S59" s="157" t="s">
        <v>10</v>
      </c>
      <c r="T59" s="79" t="s">
        <v>449</v>
      </c>
      <c r="U59" s="104" t="s">
        <v>816</v>
      </c>
      <c r="V59" s="101" t="s">
        <v>7</v>
      </c>
      <c r="W59" s="76" t="s">
        <v>447</v>
      </c>
      <c r="X59" s="64" t="s">
        <v>521</v>
      </c>
      <c r="Y59" s="282" t="s">
        <v>1286</v>
      </c>
      <c r="Z59" s="282" t="s">
        <v>1592</v>
      </c>
      <c r="AA59" s="96"/>
      <c r="AB59" s="105" t="s">
        <v>622</v>
      </c>
      <c r="AC59" s="224" t="s">
        <v>1958</v>
      </c>
      <c r="AD59" s="67" t="s">
        <v>808</v>
      </c>
      <c r="AE59" s="302"/>
      <c r="AF59" s="67"/>
      <c r="AG59" s="67"/>
      <c r="AH59" s="72" t="s">
        <v>1957</v>
      </c>
      <c r="AI59" s="24"/>
      <c r="AJ59" s="24"/>
      <c r="AK59" s="24"/>
      <c r="AL59" s="24"/>
    </row>
    <row r="60" spans="1:38">
      <c r="A60" s="51">
        <v>57</v>
      </c>
      <c r="B60" s="51" t="str">
        <f t="shared" si="0"/>
        <v>0039</v>
      </c>
      <c r="C60" s="116" t="s">
        <v>142</v>
      </c>
      <c r="D60" s="116" t="s">
        <v>104</v>
      </c>
      <c r="E60" s="319" t="s">
        <v>1233</v>
      </c>
      <c r="F60" s="169" t="s">
        <v>1048</v>
      </c>
      <c r="G60" s="169" t="s">
        <v>347</v>
      </c>
      <c r="H60" s="55" t="s">
        <v>637</v>
      </c>
      <c r="I60" s="116" t="s">
        <v>815</v>
      </c>
      <c r="J60" s="117" t="s">
        <v>1</v>
      </c>
      <c r="K60" s="79" t="s">
        <v>748</v>
      </c>
      <c r="L60" s="116" t="s">
        <v>500</v>
      </c>
      <c r="M60" s="55" t="s">
        <v>1617</v>
      </c>
      <c r="N60" s="282" t="s">
        <v>1215</v>
      </c>
      <c r="O60" s="239" t="s">
        <v>54</v>
      </c>
      <c r="P60" s="64" t="str">
        <f ca="1">IF(AND(OR(INDIRECT("K" &amp; ROW())="NAV-Premium",INDIRECT("K" &amp; ROW())="DA-Premium"),INDIRECT("M" &amp; ROW())="PARTITION_SCHEMA128__NavPiviJpn", INDIRECT("O" &amp; ROW())="JPN_SDB"),'SDB vs GN'!$B$41, IF(INDIRECT("H" &amp; ROW())="Chenc",'SDB vs GN'!$B$40, VLOOKUP(INDIRECT("O" &amp; ROW()),'SDB vs GN'!$A$16:$B$38,2,FALSE)))</f>
        <v>731_EUR</v>
      </c>
      <c r="Q60" s="116" t="s">
        <v>20</v>
      </c>
      <c r="R60" s="123" t="s">
        <v>61</v>
      </c>
      <c r="S60" s="121" t="s">
        <v>10</v>
      </c>
      <c r="T60" s="116" t="s">
        <v>449</v>
      </c>
      <c r="U60" s="62" t="s">
        <v>816</v>
      </c>
      <c r="V60" s="101" t="s">
        <v>528</v>
      </c>
      <c r="W60" s="124" t="s">
        <v>447</v>
      </c>
      <c r="X60" s="64" t="s">
        <v>521</v>
      </c>
      <c r="Y60" s="282" t="s">
        <v>1286</v>
      </c>
      <c r="Z60" s="282" t="s">
        <v>1592</v>
      </c>
      <c r="AA60" s="96"/>
      <c r="AB60" s="70">
        <v>480</v>
      </c>
      <c r="AC60" s="216" t="s">
        <v>141</v>
      </c>
      <c r="AD60" s="67" t="s">
        <v>808</v>
      </c>
      <c r="AE60" s="302"/>
      <c r="AF60" s="67"/>
      <c r="AG60" s="67"/>
      <c r="AH60" s="45"/>
      <c r="AI60" s="24"/>
      <c r="AJ60" s="24"/>
      <c r="AK60" s="24"/>
      <c r="AL60" s="24"/>
    </row>
    <row r="61" spans="1:38" ht="52.8">
      <c r="A61" s="51">
        <v>58</v>
      </c>
      <c r="B61" s="51" t="str">
        <f t="shared" si="0"/>
        <v>003A</v>
      </c>
      <c r="C61" s="79" t="s">
        <v>906</v>
      </c>
      <c r="D61" s="79" t="s">
        <v>104</v>
      </c>
      <c r="E61" s="295" t="s">
        <v>1233</v>
      </c>
      <c r="F61" s="169" t="s">
        <v>1048</v>
      </c>
      <c r="G61" s="169" t="s">
        <v>347</v>
      </c>
      <c r="H61" s="55" t="s">
        <v>637</v>
      </c>
      <c r="I61" s="79" t="s">
        <v>815</v>
      </c>
      <c r="J61" s="127" t="s">
        <v>1</v>
      </c>
      <c r="K61" s="79" t="s">
        <v>748</v>
      </c>
      <c r="L61" s="79" t="s">
        <v>500</v>
      </c>
      <c r="M61" s="55" t="s">
        <v>1618</v>
      </c>
      <c r="N61" s="282" t="s">
        <v>1215</v>
      </c>
      <c r="O61" s="239" t="s">
        <v>84</v>
      </c>
      <c r="P61" s="64" t="str">
        <f ca="1">IF(AND(OR(INDIRECT("K" &amp; ROW())="NAV-Premium",INDIRECT("K" &amp; ROW())="DA-Premium"),INDIRECT("M" &amp; ROW())="PARTITION_SCHEMA128__NavPiviJpn", INDIRECT("O" &amp; ROW())="JPN_SDB"),'SDB vs GN'!$B$41, IF(INDIRECT("H" &amp; ROW())="Chenc",'SDB vs GN'!$B$40, VLOOKUP(INDIRECT("O" &amp; ROW()),'SDB vs GN'!$A$16:$B$38,2,FALSE)))</f>
        <v>727_NAM</v>
      </c>
      <c r="Q61" s="79" t="s">
        <v>20</v>
      </c>
      <c r="R61" s="262" t="s">
        <v>60</v>
      </c>
      <c r="S61" s="157" t="s">
        <v>10</v>
      </c>
      <c r="T61" s="79" t="s">
        <v>449</v>
      </c>
      <c r="U61" s="104" t="s">
        <v>816</v>
      </c>
      <c r="V61" s="101" t="s">
        <v>530</v>
      </c>
      <c r="W61" s="129" t="s">
        <v>447</v>
      </c>
      <c r="X61" s="64" t="s">
        <v>521</v>
      </c>
      <c r="Y61" s="282" t="s">
        <v>1286</v>
      </c>
      <c r="Z61" s="282" t="s">
        <v>1592</v>
      </c>
      <c r="AA61" s="96"/>
      <c r="AB61" s="105" t="s">
        <v>907</v>
      </c>
      <c r="AC61" s="224" t="s">
        <v>1152</v>
      </c>
      <c r="AD61" s="67" t="s">
        <v>808</v>
      </c>
      <c r="AE61" s="302"/>
      <c r="AF61" s="67"/>
      <c r="AG61" s="67"/>
      <c r="AH61" s="135" t="s">
        <v>1153</v>
      </c>
      <c r="AI61" s="24"/>
      <c r="AJ61" s="24"/>
      <c r="AK61" s="24"/>
      <c r="AL61" s="24"/>
    </row>
    <row r="62" spans="1:38" ht="198">
      <c r="A62" s="51">
        <v>59</v>
      </c>
      <c r="B62" s="51" t="str">
        <f t="shared" si="0"/>
        <v>003B</v>
      </c>
      <c r="C62" s="135" t="s">
        <v>903</v>
      </c>
      <c r="D62" s="79" t="s">
        <v>143</v>
      </c>
      <c r="E62" s="295" t="s">
        <v>1233</v>
      </c>
      <c r="F62" s="78" t="s">
        <v>1047</v>
      </c>
      <c r="G62" s="78" t="s">
        <v>761</v>
      </c>
      <c r="H62" s="55" t="s">
        <v>637</v>
      </c>
      <c r="I62" s="79" t="s">
        <v>815</v>
      </c>
      <c r="J62" s="127" t="s">
        <v>1</v>
      </c>
      <c r="K62" s="55" t="s">
        <v>749</v>
      </c>
      <c r="L62" s="79" t="s">
        <v>500</v>
      </c>
      <c r="M62" s="55" t="s">
        <v>1615</v>
      </c>
      <c r="N62" s="282" t="s">
        <v>1215</v>
      </c>
      <c r="O62" s="239" t="s">
        <v>54</v>
      </c>
      <c r="P62" s="64" t="str">
        <f ca="1">IF(AND(OR(INDIRECT("K" &amp; ROW())="NAV-Premium",INDIRECT("K" &amp; ROW())="DA-Premium"),INDIRECT("M" &amp; ROW())="PARTITION_SCHEMA128__NavPiviJpn", INDIRECT("O" &amp; ROW())="JPN_SDB"),'SDB vs GN'!$B$41, IF(INDIRECT("H" &amp; ROW())="Chenc",'SDB vs GN'!$B$40, VLOOKUP(INDIRECT("O" &amp; ROW()),'SDB vs GN'!$A$16:$B$38,2,FALSE)))</f>
        <v>731_EUR</v>
      </c>
      <c r="Q62" s="79" t="s">
        <v>20</v>
      </c>
      <c r="R62" s="165" t="s">
        <v>61</v>
      </c>
      <c r="S62" s="157" t="s">
        <v>10</v>
      </c>
      <c r="T62" s="79" t="s">
        <v>449</v>
      </c>
      <c r="U62" s="104" t="s">
        <v>12</v>
      </c>
      <c r="V62" s="101" t="s">
        <v>553</v>
      </c>
      <c r="W62" s="129" t="s">
        <v>447</v>
      </c>
      <c r="X62" s="64" t="s">
        <v>521</v>
      </c>
      <c r="Y62" s="282" t="s">
        <v>1286</v>
      </c>
      <c r="Z62" s="282" t="s">
        <v>1592</v>
      </c>
      <c r="AA62" s="96"/>
      <c r="AB62" s="105" t="s">
        <v>624</v>
      </c>
      <c r="AC62" s="224" t="s">
        <v>1962</v>
      </c>
      <c r="AD62" s="67" t="s">
        <v>808</v>
      </c>
      <c r="AE62" s="302"/>
      <c r="AF62" s="67"/>
      <c r="AG62" s="67"/>
      <c r="AH62" s="67" t="s">
        <v>1961</v>
      </c>
      <c r="AI62" s="24"/>
      <c r="AJ62" s="24"/>
      <c r="AK62" s="24"/>
      <c r="AL62" s="24"/>
    </row>
    <row r="63" spans="1:38" ht="26.4">
      <c r="A63" s="51">
        <v>60</v>
      </c>
      <c r="B63" s="51" t="str">
        <f t="shared" si="0"/>
        <v>003C</v>
      </c>
      <c r="C63" s="79" t="s">
        <v>755</v>
      </c>
      <c r="D63" s="116" t="s">
        <v>143</v>
      </c>
      <c r="E63" s="319" t="s">
        <v>1233</v>
      </c>
      <c r="F63" s="78" t="s">
        <v>1047</v>
      </c>
      <c r="G63" s="78" t="s">
        <v>761</v>
      </c>
      <c r="H63" s="55" t="s">
        <v>637</v>
      </c>
      <c r="I63" s="116" t="s">
        <v>815</v>
      </c>
      <c r="J63" s="117" t="s">
        <v>1</v>
      </c>
      <c r="K63" s="55" t="s">
        <v>749</v>
      </c>
      <c r="L63" s="116" t="s">
        <v>500</v>
      </c>
      <c r="M63" s="54" t="s">
        <v>1615</v>
      </c>
      <c r="N63" s="279" t="s">
        <v>1215</v>
      </c>
      <c r="O63" s="239" t="s">
        <v>84</v>
      </c>
      <c r="P63" s="64" t="str">
        <f ca="1">IF(AND(OR(INDIRECT("K" &amp; ROW())="NAV-Premium",INDIRECT("K" &amp; ROW())="DA-Premium"),INDIRECT("M" &amp; ROW())="PARTITION_SCHEMA128__NavPiviJpn", INDIRECT("O" &amp; ROW())="JPN_SDB"),'SDB vs GN'!$B$41, IF(INDIRECT("H" &amp; ROW())="Chenc",'SDB vs GN'!$B$40, VLOOKUP(INDIRECT("O" &amp; ROW()),'SDB vs GN'!$A$16:$B$38,2,FALSE)))</f>
        <v>727_NAM</v>
      </c>
      <c r="Q63" s="116" t="s">
        <v>20</v>
      </c>
      <c r="R63" s="123" t="s">
        <v>60</v>
      </c>
      <c r="S63" s="121" t="s">
        <v>10</v>
      </c>
      <c r="T63" s="116" t="s">
        <v>449</v>
      </c>
      <c r="U63" s="62" t="s">
        <v>12</v>
      </c>
      <c r="V63" s="101" t="s">
        <v>566</v>
      </c>
      <c r="W63" s="124" t="s">
        <v>447</v>
      </c>
      <c r="X63" s="64" t="s">
        <v>521</v>
      </c>
      <c r="Y63" s="282" t="s">
        <v>1286</v>
      </c>
      <c r="Z63" s="282" t="s">
        <v>1592</v>
      </c>
      <c r="AA63" s="96"/>
      <c r="AB63" s="70">
        <v>482</v>
      </c>
      <c r="AC63" s="216" t="s">
        <v>144</v>
      </c>
      <c r="AD63" s="67" t="s">
        <v>808</v>
      </c>
      <c r="AE63" s="302"/>
      <c r="AF63" s="67"/>
      <c r="AG63" s="67"/>
      <c r="AH63" s="120" t="s">
        <v>635</v>
      </c>
      <c r="AI63" s="24"/>
      <c r="AJ63" s="24"/>
      <c r="AK63" s="24"/>
      <c r="AL63" s="24"/>
    </row>
    <row r="64" spans="1:38" ht="39.6">
      <c r="A64" s="51">
        <v>61</v>
      </c>
      <c r="B64" s="51" t="str">
        <f t="shared" si="0"/>
        <v>003D</v>
      </c>
      <c r="C64" s="79" t="s">
        <v>145</v>
      </c>
      <c r="D64" s="116" t="s">
        <v>150</v>
      </c>
      <c r="E64" s="319" t="s">
        <v>1233</v>
      </c>
      <c r="F64" s="177" t="s">
        <v>1046</v>
      </c>
      <c r="G64" s="177" t="s">
        <v>344</v>
      </c>
      <c r="H64" s="55" t="s">
        <v>637</v>
      </c>
      <c r="I64" s="119" t="s">
        <v>4</v>
      </c>
      <c r="J64" s="117" t="s">
        <v>0</v>
      </c>
      <c r="K64" s="117" t="s">
        <v>451</v>
      </c>
      <c r="L64" s="40" t="s">
        <v>1271</v>
      </c>
      <c r="M64" s="54" t="s">
        <v>255</v>
      </c>
      <c r="N64" s="279" t="s">
        <v>1215</v>
      </c>
      <c r="O64" s="239" t="s">
        <v>84</v>
      </c>
      <c r="P64" s="64" t="str">
        <f ca="1">IF(AND(OR(INDIRECT("K" &amp; ROW())="NAV-Premium",INDIRECT("K" &amp; ROW())="DA-Premium"),INDIRECT("M" &amp; ROW())="PARTITION_SCHEMA128__NavPiviJpn", INDIRECT("O" &amp; ROW())="JPN_SDB"),'SDB vs GN'!$B$41, IF(INDIRECT("H" &amp; ROW())="Chenc",'SDB vs GN'!$B$40, VLOOKUP(INDIRECT("O" &amp; ROW()),'SDB vs GN'!$A$16:$B$38,2,FALSE)))</f>
        <v>727_NAM</v>
      </c>
      <c r="Q64" s="116" t="s">
        <v>20</v>
      </c>
      <c r="R64" s="120" t="s">
        <v>59</v>
      </c>
      <c r="S64" s="121" t="s">
        <v>10</v>
      </c>
      <c r="T64" s="116" t="s">
        <v>450</v>
      </c>
      <c r="U64" s="62" t="s">
        <v>816</v>
      </c>
      <c r="V64" s="101" t="s">
        <v>7</v>
      </c>
      <c r="W64" s="124" t="s">
        <v>2184</v>
      </c>
      <c r="X64" s="64" t="s">
        <v>521</v>
      </c>
      <c r="Y64" s="282" t="s">
        <v>1286</v>
      </c>
      <c r="Z64" s="282" t="s">
        <v>1592</v>
      </c>
      <c r="AA64" s="125"/>
      <c r="AB64" s="126">
        <v>452</v>
      </c>
      <c r="AC64" s="225" t="s">
        <v>147</v>
      </c>
      <c r="AD64" s="67" t="s">
        <v>808</v>
      </c>
      <c r="AE64" s="302"/>
      <c r="AF64" s="67"/>
      <c r="AG64" s="67"/>
      <c r="AH64" s="72" t="s">
        <v>400</v>
      </c>
      <c r="AI64" s="24"/>
      <c r="AJ64" s="24"/>
      <c r="AK64" s="24"/>
      <c r="AL64" s="24"/>
    </row>
    <row r="65" spans="1:38">
      <c r="A65" s="51">
        <v>62</v>
      </c>
      <c r="B65" s="51" t="str">
        <f t="shared" si="0"/>
        <v>003E</v>
      </c>
      <c r="C65" s="79" t="s">
        <v>409</v>
      </c>
      <c r="D65" s="116" t="s">
        <v>150</v>
      </c>
      <c r="E65" s="319" t="s">
        <v>1233</v>
      </c>
      <c r="F65" s="177" t="s">
        <v>1046</v>
      </c>
      <c r="G65" s="177" t="s">
        <v>344</v>
      </c>
      <c r="H65" s="55" t="s">
        <v>637</v>
      </c>
      <c r="I65" s="119" t="s">
        <v>4</v>
      </c>
      <c r="J65" s="117" t="s">
        <v>0</v>
      </c>
      <c r="K65" s="117" t="s">
        <v>451</v>
      </c>
      <c r="L65" s="40" t="s">
        <v>1271</v>
      </c>
      <c r="M65" s="54" t="s">
        <v>255</v>
      </c>
      <c r="N65" s="279" t="s">
        <v>1215</v>
      </c>
      <c r="O65" s="239" t="s">
        <v>828</v>
      </c>
      <c r="P65" s="64" t="str">
        <f ca="1">IF(AND(OR(INDIRECT("K" &amp; ROW())="NAV-Premium",INDIRECT("K" &amp; ROW())="DA-Premium"),INDIRECT("M" &amp; ROW())="PARTITION_SCHEMA128__NavPiviJpn", INDIRECT("O" &amp; ROW())="JPN_SDB"),'SDB vs GN'!$B$41, IF(INDIRECT("H" &amp; ROW())="Chenc",'SDB vs GN'!$B$40, VLOOKUP(INDIRECT("O" &amp; ROW()),'SDB vs GN'!$A$16:$B$38,2,FALSE)))</f>
        <v>735_LA_831_AUSKRJPN</v>
      </c>
      <c r="Q65" s="116" t="s">
        <v>20</v>
      </c>
      <c r="R65" s="120" t="s">
        <v>59</v>
      </c>
      <c r="S65" s="121" t="s">
        <v>10</v>
      </c>
      <c r="T65" s="116" t="s">
        <v>449</v>
      </c>
      <c r="U65" s="62" t="s">
        <v>816</v>
      </c>
      <c r="V65" s="101" t="s">
        <v>7</v>
      </c>
      <c r="W65" s="124" t="s">
        <v>2184</v>
      </c>
      <c r="X65" s="64" t="s">
        <v>521</v>
      </c>
      <c r="Y65" s="282" t="s">
        <v>1286</v>
      </c>
      <c r="Z65" s="282" t="s">
        <v>1592</v>
      </c>
      <c r="AA65" s="125"/>
      <c r="AB65" s="126">
        <v>441</v>
      </c>
      <c r="AC65" s="225" t="s">
        <v>148</v>
      </c>
      <c r="AD65" s="67" t="s">
        <v>808</v>
      </c>
      <c r="AE65" s="302"/>
      <c r="AF65" s="67"/>
      <c r="AG65" s="67"/>
      <c r="AH65" s="73"/>
      <c r="AI65" s="24"/>
      <c r="AJ65" s="24"/>
      <c r="AK65" s="24"/>
      <c r="AL65" s="24"/>
    </row>
    <row r="66" spans="1:38">
      <c r="A66" s="51">
        <v>63</v>
      </c>
      <c r="B66" s="51" t="str">
        <f t="shared" si="0"/>
        <v>003F</v>
      </c>
      <c r="C66" s="79" t="s">
        <v>408</v>
      </c>
      <c r="D66" s="116" t="s">
        <v>150</v>
      </c>
      <c r="E66" s="319" t="s">
        <v>1233</v>
      </c>
      <c r="F66" s="177" t="s">
        <v>1046</v>
      </c>
      <c r="G66" s="177" t="s">
        <v>344</v>
      </c>
      <c r="H66" s="55" t="s">
        <v>637</v>
      </c>
      <c r="I66" s="119" t="s">
        <v>4</v>
      </c>
      <c r="J66" s="117" t="s">
        <v>0</v>
      </c>
      <c r="K66" s="117" t="s">
        <v>451</v>
      </c>
      <c r="L66" s="40" t="s">
        <v>1271</v>
      </c>
      <c r="M66" s="54" t="s">
        <v>255</v>
      </c>
      <c r="N66" s="279" t="s">
        <v>1215</v>
      </c>
      <c r="O66" s="237" t="s">
        <v>781</v>
      </c>
      <c r="P66" s="64" t="str">
        <f ca="1">IF(AND(OR(INDIRECT("K" &amp; ROW())="NAV-Premium",INDIRECT("K" &amp; ROW())="DA-Premium"),INDIRECT("M" &amp; ROW())="PARTITION_SCHEMA128__NavPiviJpn", INDIRECT("O" &amp; ROW())="JPN_SDB"),'SDB vs GN'!$B$41, IF(INDIRECT("H" &amp; ROW())="Chenc",'SDB vs GN'!$B$40, VLOOKUP(INDIRECT("O" &amp; ROW()),'SDB vs GN'!$A$16:$B$38,2,FALSE)))</f>
        <v>731_EUR</v>
      </c>
      <c r="Q66" s="116" t="s">
        <v>20</v>
      </c>
      <c r="R66" s="123" t="s">
        <v>61</v>
      </c>
      <c r="S66" s="121" t="s">
        <v>10</v>
      </c>
      <c r="T66" s="116" t="s">
        <v>449</v>
      </c>
      <c r="U66" s="62" t="s">
        <v>816</v>
      </c>
      <c r="V66" s="101" t="s">
        <v>7</v>
      </c>
      <c r="W66" s="124" t="s">
        <v>2184</v>
      </c>
      <c r="X66" s="64" t="s">
        <v>521</v>
      </c>
      <c r="Y66" s="282" t="s">
        <v>1286</v>
      </c>
      <c r="Z66" s="282" t="s">
        <v>1592</v>
      </c>
      <c r="AA66" s="125"/>
      <c r="AB66" s="126">
        <v>454</v>
      </c>
      <c r="AC66" s="225" t="s">
        <v>149</v>
      </c>
      <c r="AD66" s="67" t="s">
        <v>808</v>
      </c>
      <c r="AE66" s="302"/>
      <c r="AF66" s="67"/>
      <c r="AG66" s="67"/>
      <c r="AH66" s="73"/>
      <c r="AI66" s="24"/>
      <c r="AJ66" s="24"/>
      <c r="AK66" s="24"/>
      <c r="AL66" s="24"/>
    </row>
    <row r="67" spans="1:38">
      <c r="A67" s="51">
        <v>64</v>
      </c>
      <c r="B67" s="51" t="str">
        <f t="shared" si="0"/>
        <v>0040</v>
      </c>
      <c r="C67" s="117" t="s">
        <v>80</v>
      </c>
      <c r="D67" s="116" t="s">
        <v>151</v>
      </c>
      <c r="E67" s="319" t="s">
        <v>1233</v>
      </c>
      <c r="F67" s="178" t="s">
        <v>1044</v>
      </c>
      <c r="G67" s="178" t="s">
        <v>345</v>
      </c>
      <c r="H67" s="55" t="s">
        <v>637</v>
      </c>
      <c r="I67" s="116" t="s">
        <v>815</v>
      </c>
      <c r="J67" s="117" t="s">
        <v>0</v>
      </c>
      <c r="K67" s="117" t="s">
        <v>452</v>
      </c>
      <c r="L67" s="40" t="s">
        <v>1271</v>
      </c>
      <c r="M67" s="54" t="s">
        <v>256</v>
      </c>
      <c r="N67" s="279" t="s">
        <v>1215</v>
      </c>
      <c r="O67" s="239" t="s">
        <v>54</v>
      </c>
      <c r="P67" s="64" t="str">
        <f ca="1">IF(AND(OR(INDIRECT("K" &amp; ROW())="NAV-Premium",INDIRECT("K" &amp; ROW())="DA-Premium"),INDIRECT("M" &amp; ROW())="PARTITION_SCHEMA128__NavPiviJpn", INDIRECT("O" &amp; ROW())="JPN_SDB"),'SDB vs GN'!$B$41, IF(INDIRECT("H" &amp; ROW())="Chenc",'SDB vs GN'!$B$40, VLOOKUP(INDIRECT("O" &amp; ROW()),'SDB vs GN'!$A$16:$B$38,2,FALSE)))</f>
        <v>731_EUR</v>
      </c>
      <c r="Q67" s="116" t="s">
        <v>20</v>
      </c>
      <c r="R67" s="123" t="s">
        <v>61</v>
      </c>
      <c r="S67" s="121" t="s">
        <v>10</v>
      </c>
      <c r="T67" s="116" t="s">
        <v>449</v>
      </c>
      <c r="U67" s="62" t="s">
        <v>816</v>
      </c>
      <c r="V67" s="173" t="s">
        <v>1130</v>
      </c>
      <c r="W67" s="124" t="s">
        <v>447</v>
      </c>
      <c r="X67" s="64" t="s">
        <v>521</v>
      </c>
      <c r="Y67" s="282" t="s">
        <v>1286</v>
      </c>
      <c r="Z67" s="282" t="s">
        <v>1592</v>
      </c>
      <c r="AA67" s="125"/>
      <c r="AB67" s="126">
        <v>461</v>
      </c>
      <c r="AC67" s="225" t="s">
        <v>153</v>
      </c>
      <c r="AD67" s="67" t="s">
        <v>808</v>
      </c>
      <c r="AE67" s="302"/>
      <c r="AF67" s="67"/>
      <c r="AG67" s="67"/>
      <c r="AH67" s="45"/>
      <c r="AI67" s="24"/>
      <c r="AJ67" s="24"/>
      <c r="AK67" s="24"/>
      <c r="AL67" s="24"/>
    </row>
    <row r="68" spans="1:38" ht="39.6">
      <c r="A68" s="51">
        <v>65</v>
      </c>
      <c r="B68" s="51" t="str">
        <f t="shared" ref="B68:B131" si="1">DEC2HEX(A68,4)</f>
        <v>0041</v>
      </c>
      <c r="C68" s="117" t="s">
        <v>1416</v>
      </c>
      <c r="D68" s="116" t="s">
        <v>152</v>
      </c>
      <c r="E68" s="319" t="s">
        <v>1233</v>
      </c>
      <c r="F68" s="178" t="s">
        <v>1044</v>
      </c>
      <c r="G68" s="178" t="s">
        <v>345</v>
      </c>
      <c r="H68" s="55" t="s">
        <v>637</v>
      </c>
      <c r="I68" s="116" t="s">
        <v>815</v>
      </c>
      <c r="J68" s="117" t="s">
        <v>0</v>
      </c>
      <c r="K68" s="117" t="s">
        <v>452</v>
      </c>
      <c r="L68" s="40" t="s">
        <v>1271</v>
      </c>
      <c r="M68" s="54" t="s">
        <v>257</v>
      </c>
      <c r="N68" s="279" t="s">
        <v>1215</v>
      </c>
      <c r="O68" s="239" t="s">
        <v>84</v>
      </c>
      <c r="P68" s="64" t="str">
        <f ca="1">IF(AND(OR(INDIRECT("K" &amp; ROW())="NAV-Premium",INDIRECT("K" &amp; ROW())="DA-Premium"),INDIRECT("M" &amp; ROW())="PARTITION_SCHEMA128__NavPiviJpn", INDIRECT("O" &amp; ROW())="JPN_SDB"),'SDB vs GN'!$B$41, IF(INDIRECT("H" &amp; ROW())="Chenc",'SDB vs GN'!$B$40, VLOOKUP(INDIRECT("O" &amp; ROW()),'SDB vs GN'!$A$16:$B$38,2,FALSE)))</f>
        <v>727_NAM</v>
      </c>
      <c r="Q68" s="116" t="s">
        <v>20</v>
      </c>
      <c r="R68" s="123" t="s">
        <v>60</v>
      </c>
      <c r="S68" s="121" t="s">
        <v>10</v>
      </c>
      <c r="T68" s="116" t="s">
        <v>450</v>
      </c>
      <c r="U68" s="62" t="s">
        <v>816</v>
      </c>
      <c r="V68" s="173" t="s">
        <v>608</v>
      </c>
      <c r="W68" s="124" t="s">
        <v>447</v>
      </c>
      <c r="X68" s="64" t="s">
        <v>521</v>
      </c>
      <c r="Y68" s="282" t="s">
        <v>1286</v>
      </c>
      <c r="Z68" s="282" t="s">
        <v>1592</v>
      </c>
      <c r="AA68" s="125"/>
      <c r="AB68" s="128" t="s">
        <v>189</v>
      </c>
      <c r="AC68" s="214" t="s">
        <v>280</v>
      </c>
      <c r="AD68" s="67" t="s">
        <v>808</v>
      </c>
      <c r="AE68" s="302"/>
      <c r="AF68" s="67"/>
      <c r="AG68" s="67"/>
      <c r="AH68" s="72" t="s">
        <v>178</v>
      </c>
      <c r="AI68" s="24"/>
      <c r="AJ68" s="24"/>
      <c r="AK68" s="24"/>
      <c r="AL68" s="24"/>
    </row>
    <row r="69" spans="1:38" ht="66">
      <c r="A69" s="51">
        <v>66</v>
      </c>
      <c r="B69" s="51" t="str">
        <f t="shared" si="1"/>
        <v>0042</v>
      </c>
      <c r="C69" s="116" t="s">
        <v>156</v>
      </c>
      <c r="D69" s="116" t="s">
        <v>104</v>
      </c>
      <c r="E69" s="319" t="s">
        <v>1233</v>
      </c>
      <c r="F69" s="169" t="s">
        <v>1048</v>
      </c>
      <c r="G69" s="169" t="s">
        <v>347</v>
      </c>
      <c r="H69" s="55" t="s">
        <v>637</v>
      </c>
      <c r="I69" s="116" t="s">
        <v>815</v>
      </c>
      <c r="J69" s="117" t="s">
        <v>1</v>
      </c>
      <c r="K69" s="163" t="s">
        <v>750</v>
      </c>
      <c r="L69" s="116" t="s">
        <v>500</v>
      </c>
      <c r="M69" s="55" t="s">
        <v>1617</v>
      </c>
      <c r="N69" s="282" t="s">
        <v>1215</v>
      </c>
      <c r="O69" s="239" t="s">
        <v>54</v>
      </c>
      <c r="P69" s="64" t="str">
        <f ca="1">IF(AND(OR(INDIRECT("K" &amp; ROW())="NAV-Premium",INDIRECT("K" &amp; ROW())="DA-Premium"),INDIRECT("M" &amp; ROW())="PARTITION_SCHEMA128__NavPiviJpn", INDIRECT("O" &amp; ROW())="JPN_SDB"),'SDB vs GN'!$B$41, IF(INDIRECT("H" &amp; ROW())="Chenc",'SDB vs GN'!$B$40, VLOOKUP(INDIRECT("O" &amp; ROW()),'SDB vs GN'!$A$16:$B$38,2,FALSE)))</f>
        <v>731_EUR</v>
      </c>
      <c r="Q69" s="116" t="s">
        <v>20</v>
      </c>
      <c r="R69" s="120" t="s">
        <v>59</v>
      </c>
      <c r="S69" s="121" t="s">
        <v>10</v>
      </c>
      <c r="T69" s="116" t="s">
        <v>449</v>
      </c>
      <c r="U69" s="62" t="s">
        <v>816</v>
      </c>
      <c r="V69" s="101" t="s">
        <v>528</v>
      </c>
      <c r="W69" s="124" t="s">
        <v>447</v>
      </c>
      <c r="X69" s="64" t="s">
        <v>521</v>
      </c>
      <c r="Y69" s="282" t="s">
        <v>1286</v>
      </c>
      <c r="Z69" s="282" t="s">
        <v>1592</v>
      </c>
      <c r="AA69" s="96"/>
      <c r="AB69" s="105" t="s">
        <v>225</v>
      </c>
      <c r="AC69" s="226" t="s">
        <v>358</v>
      </c>
      <c r="AD69" s="67" t="s">
        <v>808</v>
      </c>
      <c r="AE69" s="302"/>
      <c r="AF69" s="67"/>
      <c r="AG69" s="67"/>
      <c r="AH69" s="122" t="s">
        <v>754</v>
      </c>
      <c r="AI69" s="24"/>
      <c r="AJ69" s="24"/>
      <c r="AK69" s="24"/>
      <c r="AL69" s="24"/>
    </row>
    <row r="70" spans="1:38">
      <c r="A70" s="51">
        <v>67</v>
      </c>
      <c r="B70" s="51" t="str">
        <f t="shared" si="1"/>
        <v>0043</v>
      </c>
      <c r="C70" s="116" t="s">
        <v>155</v>
      </c>
      <c r="D70" s="116" t="s">
        <v>143</v>
      </c>
      <c r="E70" s="319" t="s">
        <v>1233</v>
      </c>
      <c r="F70" s="78" t="s">
        <v>1047</v>
      </c>
      <c r="G70" s="78" t="s">
        <v>761</v>
      </c>
      <c r="H70" s="55" t="s">
        <v>637</v>
      </c>
      <c r="I70" s="116" t="s">
        <v>815</v>
      </c>
      <c r="J70" s="117" t="s">
        <v>1</v>
      </c>
      <c r="K70" s="55" t="s">
        <v>749</v>
      </c>
      <c r="L70" s="116" t="s">
        <v>500</v>
      </c>
      <c r="M70" s="54" t="s">
        <v>1615</v>
      </c>
      <c r="N70" s="279" t="s">
        <v>1215</v>
      </c>
      <c r="O70" s="239" t="s">
        <v>54</v>
      </c>
      <c r="P70" s="64" t="str">
        <f ca="1">IF(AND(OR(INDIRECT("K" &amp; ROW())="NAV-Premium",INDIRECT("K" &amp; ROW())="DA-Premium"),INDIRECT("M" &amp; ROW())="PARTITION_SCHEMA128__NavPiviJpn", INDIRECT("O" &amp; ROW())="JPN_SDB"),'SDB vs GN'!$B$41, IF(INDIRECT("H" &amp; ROW())="Chenc",'SDB vs GN'!$B$40, VLOOKUP(INDIRECT("O" &amp; ROW()),'SDB vs GN'!$A$16:$B$38,2,FALSE)))</f>
        <v>731_EUR</v>
      </c>
      <c r="Q70" s="116" t="s">
        <v>20</v>
      </c>
      <c r="R70" s="101" t="s">
        <v>248</v>
      </c>
      <c r="S70" s="121" t="s">
        <v>10</v>
      </c>
      <c r="T70" s="116" t="s">
        <v>449</v>
      </c>
      <c r="U70" s="62" t="s">
        <v>12</v>
      </c>
      <c r="V70" s="101" t="s">
        <v>553</v>
      </c>
      <c r="W70" s="124" t="s">
        <v>447</v>
      </c>
      <c r="X70" s="64" t="s">
        <v>521</v>
      </c>
      <c r="Y70" s="282" t="s">
        <v>1286</v>
      </c>
      <c r="Z70" s="282" t="s">
        <v>1592</v>
      </c>
      <c r="AA70" s="96"/>
      <c r="AB70" s="70">
        <v>483</v>
      </c>
      <c r="AC70" s="217" t="s">
        <v>154</v>
      </c>
      <c r="AD70" s="67" t="s">
        <v>808</v>
      </c>
      <c r="AE70" s="302"/>
      <c r="AF70" s="67"/>
      <c r="AG70" s="67"/>
      <c r="AH70" s="45"/>
      <c r="AI70" s="24"/>
      <c r="AJ70" s="24"/>
      <c r="AK70" s="24"/>
      <c r="AL70" s="24"/>
    </row>
    <row r="71" spans="1:38" ht="105.6">
      <c r="A71" s="51">
        <v>68</v>
      </c>
      <c r="B71" s="51" t="str">
        <f t="shared" si="1"/>
        <v>0044</v>
      </c>
      <c r="C71" s="79" t="s">
        <v>1319</v>
      </c>
      <c r="D71" s="79" t="s">
        <v>106</v>
      </c>
      <c r="E71" s="295" t="s">
        <v>1233</v>
      </c>
      <c r="F71" s="192" t="s">
        <v>1051</v>
      </c>
      <c r="G71" s="192" t="s">
        <v>348</v>
      </c>
      <c r="H71" s="55" t="s">
        <v>637</v>
      </c>
      <c r="I71" s="158" t="s">
        <v>4</v>
      </c>
      <c r="J71" s="127" t="s">
        <v>1</v>
      </c>
      <c r="K71" s="79" t="s">
        <v>751</v>
      </c>
      <c r="L71" s="79" t="s">
        <v>500</v>
      </c>
      <c r="M71" s="55" t="s">
        <v>1616</v>
      </c>
      <c r="N71" s="282" t="s">
        <v>1215</v>
      </c>
      <c r="O71" s="239" t="s">
        <v>53</v>
      </c>
      <c r="P71" s="64" t="str">
        <f ca="1">IF(AND(OR(INDIRECT("K" &amp; ROW())="NAV-Premium",INDIRECT("K" &amp; ROW())="DA-Premium"),INDIRECT("M" &amp; ROW())="PARTITION_SCHEMA128__NavPiviJpn", INDIRECT("O" &amp; ROW())="JPN_SDB"),'SDB vs GN'!$B$41, IF(INDIRECT("H" &amp; ROW())="Chenc",'SDB vs GN'!$B$40, VLOOKUP(INDIRECT("O" &amp; ROW()),'SDB vs GN'!$A$16:$B$38,2,FALSE)))</f>
        <v>No_Gracenote</v>
      </c>
      <c r="Q71" s="79" t="s">
        <v>20</v>
      </c>
      <c r="R71" s="165" t="s">
        <v>61</v>
      </c>
      <c r="S71" s="157" t="s">
        <v>10</v>
      </c>
      <c r="T71" s="79" t="s">
        <v>449</v>
      </c>
      <c r="U71" s="104" t="s">
        <v>816</v>
      </c>
      <c r="V71" s="101" t="s">
        <v>7</v>
      </c>
      <c r="W71" s="129" t="s">
        <v>447</v>
      </c>
      <c r="X71" s="64" t="s">
        <v>521</v>
      </c>
      <c r="Y71" s="282" t="s">
        <v>1286</v>
      </c>
      <c r="Z71" s="282" t="s">
        <v>1592</v>
      </c>
      <c r="AA71" s="96"/>
      <c r="AB71" s="105" t="s">
        <v>790</v>
      </c>
      <c r="AC71" s="224" t="s">
        <v>1320</v>
      </c>
      <c r="AD71" s="67" t="s">
        <v>808</v>
      </c>
      <c r="AE71" s="302"/>
      <c r="AF71" s="67"/>
      <c r="AG71" s="67"/>
      <c r="AH71" s="72" t="s">
        <v>1321</v>
      </c>
      <c r="AI71" s="24"/>
      <c r="AJ71" s="24"/>
      <c r="AK71" s="24"/>
      <c r="AL71" s="24"/>
    </row>
    <row r="72" spans="1:38" s="36" customFormat="1" ht="26.4">
      <c r="A72" s="51">
        <v>69</v>
      </c>
      <c r="B72" s="51" t="str">
        <f t="shared" si="1"/>
        <v>0045</v>
      </c>
      <c r="C72" s="170" t="s">
        <v>1459</v>
      </c>
      <c r="D72" s="114" t="s">
        <v>173</v>
      </c>
      <c r="E72" s="316" t="s">
        <v>1233</v>
      </c>
      <c r="F72" s="115" t="s">
        <v>1049</v>
      </c>
      <c r="G72" s="115" t="s">
        <v>346</v>
      </c>
      <c r="H72" s="55" t="s">
        <v>637</v>
      </c>
      <c r="I72" s="130" t="s">
        <v>815</v>
      </c>
      <c r="J72" s="54" t="s">
        <v>0</v>
      </c>
      <c r="K72" s="114" t="s">
        <v>454</v>
      </c>
      <c r="L72" s="100" t="s">
        <v>1317</v>
      </c>
      <c r="M72" s="54" t="s">
        <v>236</v>
      </c>
      <c r="N72" s="279" t="s">
        <v>1215</v>
      </c>
      <c r="O72" s="238" t="s">
        <v>84</v>
      </c>
      <c r="P72" s="64" t="str">
        <f ca="1">IF(AND(OR(INDIRECT("K" &amp; ROW())="NAV-Premium",INDIRECT("K" &amp; ROW())="DA-Premium"),INDIRECT("M" &amp; ROW())="PARTITION_SCHEMA128__NavPiviJpn", INDIRECT("O" &amp; ROW())="JPN_SDB"),'SDB vs GN'!$B$41, IF(INDIRECT("H" &amp; ROW())="Chenc",'SDB vs GN'!$B$40, VLOOKUP(INDIRECT("O" &amp; ROW()),'SDB vs GN'!$A$16:$B$38,2,FALSE)))</f>
        <v>727_NAM</v>
      </c>
      <c r="Q72" s="64" t="s">
        <v>480</v>
      </c>
      <c r="R72" s="58" t="s">
        <v>60</v>
      </c>
      <c r="S72" s="111" t="s">
        <v>10</v>
      </c>
      <c r="T72" s="79" t="s">
        <v>450</v>
      </c>
      <c r="U72" s="62" t="s">
        <v>816</v>
      </c>
      <c r="V72" s="173" t="s">
        <v>604</v>
      </c>
      <c r="W72" s="69" t="s">
        <v>447</v>
      </c>
      <c r="X72" s="64" t="s">
        <v>521</v>
      </c>
      <c r="Y72" s="282" t="s">
        <v>1286</v>
      </c>
      <c r="Z72" s="282" t="s">
        <v>1592</v>
      </c>
      <c r="AA72" s="96"/>
      <c r="AB72" s="131" t="s">
        <v>225</v>
      </c>
      <c r="AC72" s="224" t="s">
        <v>294</v>
      </c>
      <c r="AD72" s="72" t="s">
        <v>888</v>
      </c>
      <c r="AE72" s="302"/>
      <c r="AF72" s="67"/>
      <c r="AG72" s="67"/>
      <c r="AH72" s="72" t="s">
        <v>251</v>
      </c>
      <c r="AI72" s="383"/>
      <c r="AJ72" s="383"/>
      <c r="AK72" s="383"/>
    </row>
    <row r="73" spans="1:38" s="36" customFormat="1">
      <c r="A73" s="51">
        <v>70</v>
      </c>
      <c r="B73" s="51" t="str">
        <f t="shared" si="1"/>
        <v>0046</v>
      </c>
      <c r="C73" s="170" t="s">
        <v>1461</v>
      </c>
      <c r="D73" s="114" t="s">
        <v>176</v>
      </c>
      <c r="E73" s="316" t="s">
        <v>1233</v>
      </c>
      <c r="F73" s="115" t="s">
        <v>1049</v>
      </c>
      <c r="G73" s="115" t="s">
        <v>346</v>
      </c>
      <c r="H73" s="55" t="s">
        <v>637</v>
      </c>
      <c r="I73" s="130" t="s">
        <v>815</v>
      </c>
      <c r="J73" s="54" t="s">
        <v>0</v>
      </c>
      <c r="K73" s="114" t="s">
        <v>454</v>
      </c>
      <c r="L73" s="100" t="s">
        <v>1317</v>
      </c>
      <c r="M73" s="54" t="s">
        <v>236</v>
      </c>
      <c r="N73" s="279" t="s">
        <v>1215</v>
      </c>
      <c r="O73" s="238" t="s">
        <v>54</v>
      </c>
      <c r="P73" s="64" t="str">
        <f ca="1">IF(AND(OR(INDIRECT("K" &amp; ROW())="NAV-Premium",INDIRECT("K" &amp; ROW())="DA-Premium"),INDIRECT("M" &amp; ROW())="PARTITION_SCHEMA128__NavPiviJpn", INDIRECT("O" &amp; ROW())="JPN_SDB"),'SDB vs GN'!$B$41, IF(INDIRECT("H" &amp; ROW())="Chenc",'SDB vs GN'!$B$40, VLOOKUP(INDIRECT("O" &amp; ROW()),'SDB vs GN'!$A$16:$B$38,2,FALSE)))</f>
        <v>731_EUR</v>
      </c>
      <c r="Q73" s="64" t="s">
        <v>480</v>
      </c>
      <c r="R73" s="58" t="s">
        <v>61</v>
      </c>
      <c r="S73" s="111" t="s">
        <v>10</v>
      </c>
      <c r="T73" s="58" t="s">
        <v>449</v>
      </c>
      <c r="U73" s="62" t="s">
        <v>816</v>
      </c>
      <c r="V73" s="174" t="s">
        <v>598</v>
      </c>
      <c r="W73" s="69" t="s">
        <v>447</v>
      </c>
      <c r="X73" s="64" t="s">
        <v>521</v>
      </c>
      <c r="Y73" s="282" t="s">
        <v>1286</v>
      </c>
      <c r="Z73" s="282" t="s">
        <v>1592</v>
      </c>
      <c r="AA73" s="96"/>
      <c r="AB73" s="131" t="s">
        <v>225</v>
      </c>
      <c r="AC73" s="217" t="s">
        <v>174</v>
      </c>
      <c r="AD73" s="72" t="s">
        <v>888</v>
      </c>
      <c r="AE73" s="302"/>
      <c r="AF73" s="67"/>
      <c r="AG73" s="67"/>
      <c r="AH73" s="73"/>
      <c r="AI73" s="383"/>
      <c r="AJ73" s="383"/>
      <c r="AK73" s="383"/>
    </row>
    <row r="74" spans="1:38" s="36" customFormat="1">
      <c r="A74" s="51">
        <v>71</v>
      </c>
      <c r="B74" s="51" t="str">
        <f t="shared" si="1"/>
        <v>0047</v>
      </c>
      <c r="C74" s="170" t="s">
        <v>1440</v>
      </c>
      <c r="D74" s="114" t="s">
        <v>173</v>
      </c>
      <c r="E74" s="316" t="s">
        <v>1233</v>
      </c>
      <c r="F74" s="115" t="s">
        <v>1049</v>
      </c>
      <c r="G74" s="115" t="s">
        <v>346</v>
      </c>
      <c r="H74" s="55" t="s">
        <v>637</v>
      </c>
      <c r="I74" s="130" t="s">
        <v>815</v>
      </c>
      <c r="J74" s="54" t="s">
        <v>0</v>
      </c>
      <c r="K74" s="114" t="s">
        <v>454</v>
      </c>
      <c r="L74" s="100" t="s">
        <v>1317</v>
      </c>
      <c r="M74" s="54" t="s">
        <v>236</v>
      </c>
      <c r="N74" s="279" t="s">
        <v>1215</v>
      </c>
      <c r="O74" s="238" t="s">
        <v>55</v>
      </c>
      <c r="P74" s="64" t="str">
        <f ca="1">IF(AND(OR(INDIRECT("K" &amp; ROW())="NAV-Premium",INDIRECT("K" &amp; ROW())="DA-Premium"),INDIRECT("M" &amp; ROW())="PARTITION_SCHEMA128__NavPiviJpn", INDIRECT("O" &amp; ROW())="JPN_SDB"),'SDB vs GN'!$B$41, IF(INDIRECT("H" &amp; ROW())="Chenc",'SDB vs GN'!$B$40, VLOOKUP(INDIRECT("O" &amp; ROW()),'SDB vs GN'!$A$16:$B$38,2,FALSE)))</f>
        <v>742_JPN_831_AUSKRJPN</v>
      </c>
      <c r="Q74" s="64" t="s">
        <v>480</v>
      </c>
      <c r="R74" s="58" t="s">
        <v>133</v>
      </c>
      <c r="S74" s="111" t="s">
        <v>10</v>
      </c>
      <c r="T74" s="58" t="s">
        <v>449</v>
      </c>
      <c r="U74" s="62" t="s">
        <v>816</v>
      </c>
      <c r="V74" s="173" t="s">
        <v>619</v>
      </c>
      <c r="W74" s="69" t="s">
        <v>447</v>
      </c>
      <c r="X74" s="64" t="s">
        <v>523</v>
      </c>
      <c r="Y74" s="282" t="s">
        <v>1286</v>
      </c>
      <c r="Z74" s="282" t="s">
        <v>1592</v>
      </c>
      <c r="AA74" s="96"/>
      <c r="AB74" s="131" t="s">
        <v>225</v>
      </c>
      <c r="AC74" s="217" t="s">
        <v>175</v>
      </c>
      <c r="AD74" s="72" t="s">
        <v>888</v>
      </c>
      <c r="AE74" s="302"/>
      <c r="AF74" s="67"/>
      <c r="AG74" s="67"/>
      <c r="AH74" s="73"/>
      <c r="AI74" s="383"/>
      <c r="AJ74" s="383"/>
      <c r="AK74" s="383"/>
    </row>
    <row r="75" spans="1:38" s="36" customFormat="1">
      <c r="A75" s="51">
        <v>72</v>
      </c>
      <c r="B75" s="51" t="str">
        <f t="shared" si="1"/>
        <v>0048</v>
      </c>
      <c r="C75" s="170" t="s">
        <v>1466</v>
      </c>
      <c r="D75" s="114" t="s">
        <v>173</v>
      </c>
      <c r="E75" s="316" t="s">
        <v>1233</v>
      </c>
      <c r="F75" s="115" t="s">
        <v>1049</v>
      </c>
      <c r="G75" s="115" t="s">
        <v>346</v>
      </c>
      <c r="H75" s="55" t="s">
        <v>637</v>
      </c>
      <c r="I75" s="130" t="s">
        <v>815</v>
      </c>
      <c r="J75" s="54" t="s">
        <v>0</v>
      </c>
      <c r="K75" s="114" t="s">
        <v>454</v>
      </c>
      <c r="L75" s="100" t="s">
        <v>1317</v>
      </c>
      <c r="M75" s="54" t="s">
        <v>238</v>
      </c>
      <c r="N75" s="279" t="s">
        <v>1215</v>
      </c>
      <c r="O75" s="238" t="s">
        <v>825</v>
      </c>
      <c r="P75" s="64" t="str">
        <f ca="1">IF(AND(OR(INDIRECT("K" &amp; ROW())="NAV-Premium",INDIRECT("K" &amp; ROW())="DA-Premium"),INDIRECT("M" &amp; ROW())="PARTITION_SCHEMA128__NavPiviJpn", INDIRECT("O" &amp; ROW())="JPN_SDB"),'SDB vs GN'!$B$41, IF(INDIRECT("H" &amp; ROW())="Chenc",'SDB vs GN'!$B$40, VLOOKUP(INDIRECT("O" &amp; ROW()),'SDB vs GN'!$A$16:$B$38,2,FALSE)))</f>
        <v>831_AUSKRJPN</v>
      </c>
      <c r="Q75" s="64" t="s">
        <v>480</v>
      </c>
      <c r="R75" s="120" t="s">
        <v>59</v>
      </c>
      <c r="S75" s="111" t="s">
        <v>10</v>
      </c>
      <c r="T75" s="58" t="s">
        <v>449</v>
      </c>
      <c r="U75" s="62" t="s">
        <v>816</v>
      </c>
      <c r="V75" s="174" t="s">
        <v>599</v>
      </c>
      <c r="W75" s="69" t="s">
        <v>447</v>
      </c>
      <c r="X75" s="64" t="s">
        <v>521</v>
      </c>
      <c r="Y75" s="282" t="s">
        <v>1286</v>
      </c>
      <c r="Z75" s="282" t="s">
        <v>1592</v>
      </c>
      <c r="AA75" s="96"/>
      <c r="AB75" s="131" t="s">
        <v>225</v>
      </c>
      <c r="AC75" s="227" t="s">
        <v>177</v>
      </c>
      <c r="AD75" s="72" t="s">
        <v>888</v>
      </c>
      <c r="AE75" s="302"/>
      <c r="AF75" s="67"/>
      <c r="AG75" s="67"/>
      <c r="AH75" s="73"/>
      <c r="AI75" s="383"/>
      <c r="AJ75" s="383"/>
      <c r="AK75" s="383"/>
    </row>
    <row r="76" spans="1:38" ht="52.8">
      <c r="A76" s="51">
        <v>73</v>
      </c>
      <c r="B76" s="51" t="str">
        <f t="shared" si="1"/>
        <v>0049</v>
      </c>
      <c r="C76" s="116" t="s">
        <v>179</v>
      </c>
      <c r="D76" s="116" t="s">
        <v>104</v>
      </c>
      <c r="E76" s="319" t="s">
        <v>1233</v>
      </c>
      <c r="F76" s="169" t="s">
        <v>1048</v>
      </c>
      <c r="G76" s="169" t="s">
        <v>347</v>
      </c>
      <c r="H76" s="55" t="s">
        <v>637</v>
      </c>
      <c r="I76" s="116" t="s">
        <v>815</v>
      </c>
      <c r="J76" s="117" t="s">
        <v>1</v>
      </c>
      <c r="K76" s="79" t="s">
        <v>750</v>
      </c>
      <c r="L76" s="116" t="s">
        <v>500</v>
      </c>
      <c r="M76" s="55" t="s">
        <v>1617</v>
      </c>
      <c r="N76" s="282" t="s">
        <v>1215</v>
      </c>
      <c r="O76" s="239" t="s">
        <v>54</v>
      </c>
      <c r="P76" s="64" t="str">
        <f ca="1">IF(AND(OR(INDIRECT("K" &amp; ROW())="NAV-Premium",INDIRECT("K" &amp; ROW())="DA-Premium"),INDIRECT("M" &amp; ROW())="PARTITION_SCHEMA128__NavPiviJpn", INDIRECT("O" &amp; ROW())="JPN_SDB"),'SDB vs GN'!$B$41, IF(INDIRECT("H" &amp; ROW())="Chenc",'SDB vs GN'!$B$40, VLOOKUP(INDIRECT("O" &amp; ROW()),'SDB vs GN'!$A$16:$B$38,2,FALSE)))</f>
        <v>731_EUR</v>
      </c>
      <c r="Q76" s="116" t="s">
        <v>20</v>
      </c>
      <c r="R76" s="123" t="s">
        <v>61</v>
      </c>
      <c r="S76" s="121" t="s">
        <v>10</v>
      </c>
      <c r="T76" s="116" t="s">
        <v>449</v>
      </c>
      <c r="U76" s="62" t="s">
        <v>816</v>
      </c>
      <c r="V76" s="101" t="s">
        <v>528</v>
      </c>
      <c r="W76" s="124" t="s">
        <v>447</v>
      </c>
      <c r="X76" s="64" t="s">
        <v>521</v>
      </c>
      <c r="Y76" s="282" t="s">
        <v>1286</v>
      </c>
      <c r="Z76" s="282" t="s">
        <v>1592</v>
      </c>
      <c r="AA76" s="37"/>
      <c r="AB76" s="41" t="s">
        <v>190</v>
      </c>
      <c r="AC76" s="215" t="s">
        <v>281</v>
      </c>
      <c r="AD76" s="67" t="s">
        <v>808</v>
      </c>
      <c r="AE76" s="302"/>
      <c r="AF76" s="67"/>
      <c r="AG76" s="67"/>
      <c r="AH76" s="45"/>
      <c r="AI76" s="24"/>
      <c r="AJ76" s="24"/>
      <c r="AK76" s="24"/>
      <c r="AL76" s="24"/>
    </row>
    <row r="77" spans="1:38" ht="26.4">
      <c r="A77" s="51">
        <v>74</v>
      </c>
      <c r="B77" s="51" t="str">
        <f t="shared" si="1"/>
        <v>004A</v>
      </c>
      <c r="C77" s="116" t="s">
        <v>180</v>
      </c>
      <c r="D77" s="116" t="s">
        <v>104</v>
      </c>
      <c r="E77" s="319" t="s">
        <v>1233</v>
      </c>
      <c r="F77" s="169" t="s">
        <v>1048</v>
      </c>
      <c r="G77" s="169" t="s">
        <v>347</v>
      </c>
      <c r="H77" s="55" t="s">
        <v>637</v>
      </c>
      <c r="I77" s="116" t="s">
        <v>815</v>
      </c>
      <c r="J77" s="117" t="s">
        <v>1</v>
      </c>
      <c r="K77" s="79" t="s">
        <v>750</v>
      </c>
      <c r="L77" s="116" t="s">
        <v>500</v>
      </c>
      <c r="M77" s="55" t="s">
        <v>1618</v>
      </c>
      <c r="N77" s="282" t="s">
        <v>1215</v>
      </c>
      <c r="O77" s="238" t="s">
        <v>826</v>
      </c>
      <c r="P77" s="64" t="str">
        <f ca="1">IF(AND(OR(INDIRECT("K" &amp; ROW())="NAV-Premium",INDIRECT("K" &amp; ROW())="DA-Premium"),INDIRECT("M" &amp; ROW())="PARTITION_SCHEMA128__NavPiviJpn", INDIRECT("O" &amp; ROW())="JPN_SDB"),'SDB vs GN'!$B$41, IF(INDIRECT("H" &amp; ROW())="Chenc",'SDB vs GN'!$B$40, VLOOKUP(INDIRECT("O" &amp; ROW()),'SDB vs GN'!$A$16:$B$38,2,FALSE)))</f>
        <v>731_EUR</v>
      </c>
      <c r="Q77" s="116" t="s">
        <v>20</v>
      </c>
      <c r="R77" s="123" t="s">
        <v>181</v>
      </c>
      <c r="S77" s="121" t="s">
        <v>10</v>
      </c>
      <c r="T77" s="116" t="s">
        <v>449</v>
      </c>
      <c r="U77" s="62" t="s">
        <v>816</v>
      </c>
      <c r="V77" s="101" t="s">
        <v>600</v>
      </c>
      <c r="W77" s="124" t="s">
        <v>447</v>
      </c>
      <c r="X77" s="64" t="s">
        <v>521</v>
      </c>
      <c r="Y77" s="282" t="s">
        <v>1286</v>
      </c>
      <c r="Z77" s="282" t="s">
        <v>1592</v>
      </c>
      <c r="AA77" s="37"/>
      <c r="AB77" s="41" t="s">
        <v>198</v>
      </c>
      <c r="AC77" s="215" t="s">
        <v>282</v>
      </c>
      <c r="AD77" s="67" t="s">
        <v>808</v>
      </c>
      <c r="AE77" s="302"/>
      <c r="AF77" s="67"/>
      <c r="AG77" s="67"/>
      <c r="AH77" s="67" t="s">
        <v>337</v>
      </c>
      <c r="AI77" s="24"/>
      <c r="AJ77" s="24"/>
      <c r="AK77" s="24"/>
      <c r="AL77" s="24"/>
    </row>
    <row r="78" spans="1:38" ht="52.8">
      <c r="A78" s="51">
        <v>75</v>
      </c>
      <c r="B78" s="51" t="str">
        <f t="shared" si="1"/>
        <v>004B</v>
      </c>
      <c r="C78" s="132" t="s">
        <v>222</v>
      </c>
      <c r="D78" s="116" t="s">
        <v>104</v>
      </c>
      <c r="E78" s="319" t="s">
        <v>1233</v>
      </c>
      <c r="F78" s="169" t="s">
        <v>1048</v>
      </c>
      <c r="G78" s="169" t="s">
        <v>347</v>
      </c>
      <c r="H78" s="55" t="s">
        <v>637</v>
      </c>
      <c r="I78" s="116" t="s">
        <v>815</v>
      </c>
      <c r="J78" s="117" t="s">
        <v>1</v>
      </c>
      <c r="K78" s="79" t="s">
        <v>750</v>
      </c>
      <c r="L78" s="116" t="s">
        <v>500</v>
      </c>
      <c r="M78" s="55" t="s">
        <v>1617</v>
      </c>
      <c r="N78" s="282" t="s">
        <v>1215</v>
      </c>
      <c r="O78" s="239" t="s">
        <v>54</v>
      </c>
      <c r="P78" s="64" t="str">
        <f ca="1">IF(AND(OR(INDIRECT("K" &amp; ROW())="NAV-Premium",INDIRECT("K" &amp; ROW())="DA-Premium"),INDIRECT("M" &amp; ROW())="PARTITION_SCHEMA128__NavPiviJpn", INDIRECT("O" &amp; ROW())="JPN_SDB"),'SDB vs GN'!$B$41, IF(INDIRECT("H" &amp; ROW())="Chenc",'SDB vs GN'!$B$40, VLOOKUP(INDIRECT("O" &amp; ROW()),'SDB vs GN'!$A$16:$B$38,2,FALSE)))</f>
        <v>731_EUR</v>
      </c>
      <c r="Q78" s="116" t="s">
        <v>20</v>
      </c>
      <c r="R78" s="123" t="s">
        <v>61</v>
      </c>
      <c r="S78" s="121" t="s">
        <v>10</v>
      </c>
      <c r="T78" s="116" t="s">
        <v>449</v>
      </c>
      <c r="U78" s="62" t="s">
        <v>816</v>
      </c>
      <c r="V78" s="101" t="s">
        <v>528</v>
      </c>
      <c r="W78" s="124" t="s">
        <v>447</v>
      </c>
      <c r="X78" s="64" t="s">
        <v>521</v>
      </c>
      <c r="Y78" s="282" t="s">
        <v>1286</v>
      </c>
      <c r="Z78" s="282" t="s">
        <v>1592</v>
      </c>
      <c r="AA78" s="37"/>
      <c r="AB78" s="41" t="s">
        <v>191</v>
      </c>
      <c r="AC78" s="228" t="s">
        <v>283</v>
      </c>
      <c r="AD78" s="67" t="s">
        <v>808</v>
      </c>
      <c r="AE78" s="302"/>
      <c r="AF78" s="67"/>
      <c r="AG78" s="67"/>
      <c r="AH78" s="133" t="s">
        <v>235</v>
      </c>
      <c r="AI78" s="24"/>
      <c r="AJ78" s="24"/>
      <c r="AK78" s="24"/>
      <c r="AL78" s="24"/>
    </row>
    <row r="79" spans="1:38" ht="118.8">
      <c r="A79" s="51">
        <v>76</v>
      </c>
      <c r="B79" s="51" t="str">
        <f t="shared" si="1"/>
        <v>004C</v>
      </c>
      <c r="C79" s="79" t="s">
        <v>1323</v>
      </c>
      <c r="D79" s="79" t="s">
        <v>106</v>
      </c>
      <c r="E79" s="295" t="s">
        <v>1233</v>
      </c>
      <c r="F79" s="192" t="s">
        <v>1051</v>
      </c>
      <c r="G79" s="192" t="s">
        <v>348</v>
      </c>
      <c r="H79" s="55" t="s">
        <v>637</v>
      </c>
      <c r="I79" s="158" t="s">
        <v>4</v>
      </c>
      <c r="J79" s="127" t="s">
        <v>1</v>
      </c>
      <c r="K79" s="79" t="s">
        <v>751</v>
      </c>
      <c r="L79" s="79" t="s">
        <v>500</v>
      </c>
      <c r="M79" s="55" t="s">
        <v>1616</v>
      </c>
      <c r="N79" s="282" t="s">
        <v>1215</v>
      </c>
      <c r="O79" s="239" t="s">
        <v>53</v>
      </c>
      <c r="P79" s="64" t="str">
        <f ca="1">IF(AND(OR(INDIRECT("K" &amp; ROW())="NAV-Premium",INDIRECT("K" &amp; ROW())="DA-Premium"),INDIRECT("M" &amp; ROW())="PARTITION_SCHEMA128__NavPiviJpn", INDIRECT("O" &amp; ROW())="JPN_SDB"),'SDB vs GN'!$B$41, IF(INDIRECT("H" &amp; ROW())="Chenc",'SDB vs GN'!$B$40, VLOOKUP(INDIRECT("O" &amp; ROW()),'SDB vs GN'!$A$16:$B$38,2,FALSE)))</f>
        <v>No_Gracenote</v>
      </c>
      <c r="Q79" s="79" t="s">
        <v>20</v>
      </c>
      <c r="R79" s="67" t="s">
        <v>59</v>
      </c>
      <c r="S79" s="157" t="s">
        <v>10</v>
      </c>
      <c r="T79" s="79" t="s">
        <v>449</v>
      </c>
      <c r="U79" s="104" t="s">
        <v>816</v>
      </c>
      <c r="V79" s="101" t="s">
        <v>7</v>
      </c>
      <c r="W79" s="129" t="s">
        <v>447</v>
      </c>
      <c r="X79" s="64" t="s">
        <v>521</v>
      </c>
      <c r="Y79" s="282" t="s">
        <v>1286</v>
      </c>
      <c r="Z79" s="282" t="s">
        <v>1592</v>
      </c>
      <c r="AA79" s="37"/>
      <c r="AB79" s="105" t="s">
        <v>789</v>
      </c>
      <c r="AC79" s="229" t="s">
        <v>1324</v>
      </c>
      <c r="AD79" s="67" t="s">
        <v>808</v>
      </c>
      <c r="AE79" s="302"/>
      <c r="AF79" s="67"/>
      <c r="AG79" s="67"/>
      <c r="AH79" s="72" t="s">
        <v>1325</v>
      </c>
      <c r="AI79" s="24"/>
      <c r="AJ79" s="24"/>
      <c r="AK79" s="24"/>
      <c r="AL79" s="24"/>
    </row>
    <row r="80" spans="1:38">
      <c r="A80" s="51">
        <v>77</v>
      </c>
      <c r="B80" s="51" t="str">
        <f t="shared" si="1"/>
        <v>004D</v>
      </c>
      <c r="C80" s="117" t="s">
        <v>407</v>
      </c>
      <c r="D80" s="116" t="s">
        <v>151</v>
      </c>
      <c r="E80" s="319" t="s">
        <v>1233</v>
      </c>
      <c r="F80" s="178" t="s">
        <v>1044</v>
      </c>
      <c r="G80" s="178" t="s">
        <v>345</v>
      </c>
      <c r="H80" s="55" t="s">
        <v>637</v>
      </c>
      <c r="I80" s="116" t="s">
        <v>815</v>
      </c>
      <c r="J80" s="117" t="s">
        <v>0</v>
      </c>
      <c r="K80" s="117" t="s">
        <v>452</v>
      </c>
      <c r="L80" s="40" t="s">
        <v>1271</v>
      </c>
      <c r="M80" s="54" t="s">
        <v>257</v>
      </c>
      <c r="N80" s="279" t="s">
        <v>1215</v>
      </c>
      <c r="O80" s="238" t="s">
        <v>825</v>
      </c>
      <c r="P80" s="64" t="str">
        <f ca="1">IF(AND(OR(INDIRECT("K" &amp; ROW())="NAV-Premium",INDIRECT("K" &amp; ROW())="DA-Premium"),INDIRECT("M" &amp; ROW())="PARTITION_SCHEMA128__NavPiviJpn", INDIRECT("O" &amp; ROW())="JPN_SDB"),'SDB vs GN'!$B$41, IF(INDIRECT("H" &amp; ROW())="Chenc",'SDB vs GN'!$B$40, VLOOKUP(INDIRECT("O" &amp; ROW()),'SDB vs GN'!$A$16:$B$38,2,FALSE)))</f>
        <v>831_AUSKRJPN</v>
      </c>
      <c r="Q80" s="116" t="s">
        <v>20</v>
      </c>
      <c r="R80" s="66" t="s">
        <v>59</v>
      </c>
      <c r="S80" s="121" t="s">
        <v>10</v>
      </c>
      <c r="T80" s="116" t="s">
        <v>449</v>
      </c>
      <c r="U80" s="62" t="s">
        <v>816</v>
      </c>
      <c r="V80" s="173" t="s">
        <v>612</v>
      </c>
      <c r="W80" s="124" t="s">
        <v>447</v>
      </c>
      <c r="X80" s="64" t="s">
        <v>521</v>
      </c>
      <c r="Y80" s="282" t="s">
        <v>1286</v>
      </c>
      <c r="Z80" s="282" t="s">
        <v>1592</v>
      </c>
      <c r="AA80" s="125"/>
      <c r="AB80" s="125">
        <v>544</v>
      </c>
      <c r="AC80" s="230" t="s">
        <v>184</v>
      </c>
      <c r="AD80" s="67" t="s">
        <v>808</v>
      </c>
      <c r="AE80" s="302"/>
      <c r="AF80" s="67"/>
      <c r="AG80" s="67"/>
      <c r="AH80" s="73" t="s">
        <v>231</v>
      </c>
    </row>
    <row r="81" spans="1:38">
      <c r="A81" s="51">
        <v>78</v>
      </c>
      <c r="B81" s="51" t="str">
        <f t="shared" si="1"/>
        <v>004E</v>
      </c>
      <c r="C81" s="117" t="s">
        <v>199</v>
      </c>
      <c r="D81" s="116" t="s">
        <v>151</v>
      </c>
      <c r="E81" s="319" t="s">
        <v>1233</v>
      </c>
      <c r="F81" s="178" t="s">
        <v>1044</v>
      </c>
      <c r="G81" s="178" t="s">
        <v>345</v>
      </c>
      <c r="H81" s="55" t="s">
        <v>637</v>
      </c>
      <c r="I81" s="116" t="s">
        <v>815</v>
      </c>
      <c r="J81" s="117" t="s">
        <v>0</v>
      </c>
      <c r="K81" s="117" t="s">
        <v>452</v>
      </c>
      <c r="L81" s="40" t="s">
        <v>1271</v>
      </c>
      <c r="M81" s="54" t="s">
        <v>257</v>
      </c>
      <c r="N81" s="279" t="s">
        <v>1215</v>
      </c>
      <c r="O81" s="238" t="s">
        <v>97</v>
      </c>
      <c r="P81" s="64" t="str">
        <f ca="1">IF(AND(OR(INDIRECT("K" &amp; ROW())="NAV-Premium",INDIRECT("K" &amp; ROW())="DA-Premium"),INDIRECT("M" &amp; ROW())="PARTITION_SCHEMA128__NavPiviJpn", INDIRECT("O" &amp; ROW())="JPN_SDB"),'SDB vs GN'!$B$41, IF(INDIRECT("H" &amp; ROW())="Chenc",'SDB vs GN'!$B$40, VLOOKUP(INDIRECT("O" &amp; ROW()),'SDB vs GN'!$A$16:$B$38,2,FALSE)))</f>
        <v>734_CN_831_AUSKRJPN</v>
      </c>
      <c r="Q81" s="116" t="s">
        <v>20</v>
      </c>
      <c r="R81" s="66" t="s">
        <v>59</v>
      </c>
      <c r="S81" s="121" t="s">
        <v>10</v>
      </c>
      <c r="T81" s="116" t="s">
        <v>449</v>
      </c>
      <c r="U81" s="62" t="s">
        <v>816</v>
      </c>
      <c r="V81" s="173" t="s">
        <v>601</v>
      </c>
      <c r="W81" s="124" t="s">
        <v>447</v>
      </c>
      <c r="X81" s="64" t="s">
        <v>521</v>
      </c>
      <c r="Y81" s="282" t="s">
        <v>1286</v>
      </c>
      <c r="Z81" s="282" t="s">
        <v>1592</v>
      </c>
      <c r="AA81" s="125"/>
      <c r="AB81" s="125">
        <v>545</v>
      </c>
      <c r="AC81" s="230" t="s">
        <v>183</v>
      </c>
      <c r="AD81" s="67" t="s">
        <v>808</v>
      </c>
      <c r="AE81" s="302"/>
      <c r="AF81" s="67"/>
      <c r="AG81" s="67"/>
      <c r="AH81" s="73" t="s">
        <v>231</v>
      </c>
    </row>
    <row r="82" spans="1:38">
      <c r="A82" s="51">
        <v>79</v>
      </c>
      <c r="B82" s="51" t="str">
        <f t="shared" si="1"/>
        <v>004F</v>
      </c>
      <c r="C82" s="117" t="s">
        <v>200</v>
      </c>
      <c r="D82" s="116" t="s">
        <v>151</v>
      </c>
      <c r="E82" s="319" t="s">
        <v>1233</v>
      </c>
      <c r="F82" s="178" t="s">
        <v>1044</v>
      </c>
      <c r="G82" s="178" t="s">
        <v>345</v>
      </c>
      <c r="H82" s="55" t="s">
        <v>637</v>
      </c>
      <c r="I82" s="116" t="s">
        <v>815</v>
      </c>
      <c r="J82" s="117" t="s">
        <v>0</v>
      </c>
      <c r="K82" s="117" t="s">
        <v>452</v>
      </c>
      <c r="L82" s="40" t="s">
        <v>1271</v>
      </c>
      <c r="M82" s="54" t="s">
        <v>257</v>
      </c>
      <c r="N82" s="279" t="s">
        <v>1215</v>
      </c>
      <c r="O82" s="239" t="s">
        <v>126</v>
      </c>
      <c r="P82" s="64" t="str">
        <f ca="1">IF(AND(OR(INDIRECT("K" &amp; ROW())="NAV-Premium",INDIRECT("K" &amp; ROW())="DA-Premium"),INDIRECT("M" &amp; ROW())="PARTITION_SCHEMA128__NavPiviJpn", INDIRECT("O" &amp; ROW())="JPN_SDB"),'SDB vs GN'!$B$41, IF(INDIRECT("H" &amp; ROW())="Chenc",'SDB vs GN'!$B$40, VLOOKUP(INDIRECT("O" &amp; ROW()),'SDB vs GN'!$A$16:$B$38,2,FALSE)))</f>
        <v>735_LA</v>
      </c>
      <c r="Q82" s="116" t="s">
        <v>20</v>
      </c>
      <c r="R82" s="66" t="s">
        <v>59</v>
      </c>
      <c r="S82" s="121" t="s">
        <v>10</v>
      </c>
      <c r="T82" s="116" t="s">
        <v>449</v>
      </c>
      <c r="U82" s="62" t="s">
        <v>816</v>
      </c>
      <c r="V82" s="173" t="s">
        <v>613</v>
      </c>
      <c r="W82" s="124" t="s">
        <v>447</v>
      </c>
      <c r="X82" s="64" t="s">
        <v>521</v>
      </c>
      <c r="Y82" s="282" t="s">
        <v>1286</v>
      </c>
      <c r="Z82" s="282" t="s">
        <v>1592</v>
      </c>
      <c r="AA82" s="125"/>
      <c r="AB82" s="125">
        <v>546</v>
      </c>
      <c r="AC82" s="230" t="s">
        <v>182</v>
      </c>
      <c r="AD82" s="67" t="s">
        <v>808</v>
      </c>
      <c r="AE82" s="302"/>
      <c r="AF82" s="67"/>
      <c r="AG82" s="67"/>
      <c r="AH82" s="73" t="s">
        <v>231</v>
      </c>
    </row>
    <row r="83" spans="1:38" ht="39.6">
      <c r="A83" s="51">
        <v>80</v>
      </c>
      <c r="B83" s="51" t="str">
        <f t="shared" si="1"/>
        <v>0050</v>
      </c>
      <c r="C83" s="53" t="s">
        <v>460</v>
      </c>
      <c r="D83" s="54" t="s">
        <v>187</v>
      </c>
      <c r="E83" s="279" t="s">
        <v>1233</v>
      </c>
      <c r="F83" s="178" t="s">
        <v>1044</v>
      </c>
      <c r="G83" s="178" t="s">
        <v>345</v>
      </c>
      <c r="H83" s="55" t="s">
        <v>637</v>
      </c>
      <c r="I83" s="71" t="s">
        <v>815</v>
      </c>
      <c r="J83" s="54" t="s">
        <v>0</v>
      </c>
      <c r="K83" s="54" t="s">
        <v>452</v>
      </c>
      <c r="L83" s="40" t="s">
        <v>1271</v>
      </c>
      <c r="M83" s="54" t="s">
        <v>254</v>
      </c>
      <c r="N83" s="279" t="s">
        <v>1215</v>
      </c>
      <c r="O83" s="238" t="s">
        <v>97</v>
      </c>
      <c r="P83" s="64" t="str">
        <f ca="1">IF(AND(OR(INDIRECT("K" &amp; ROW())="NAV-Premium",INDIRECT("K" &amp; ROW())="DA-Premium"),INDIRECT("M" &amp; ROW())="PARTITION_SCHEMA128__NavPiviJpn", INDIRECT("O" &amp; ROW())="JPN_SDB"),'SDB vs GN'!$B$41, IF(INDIRECT("H" &amp; ROW())="Chenc",'SDB vs GN'!$B$40, VLOOKUP(INDIRECT("O" &amp; ROW()),'SDB vs GN'!$A$16:$B$38,2,FALSE)))</f>
        <v>734_CN_831_AUSKRJPN</v>
      </c>
      <c r="Q83" s="58" t="s">
        <v>20</v>
      </c>
      <c r="R83" s="66" t="s">
        <v>59</v>
      </c>
      <c r="S83" s="111" t="s">
        <v>10</v>
      </c>
      <c r="T83" s="58" t="s">
        <v>449</v>
      </c>
      <c r="U83" s="62" t="s">
        <v>816</v>
      </c>
      <c r="V83" s="173" t="s">
        <v>601</v>
      </c>
      <c r="W83" s="69" t="s">
        <v>447</v>
      </c>
      <c r="X83" s="64" t="s">
        <v>362</v>
      </c>
      <c r="Y83" s="282" t="s">
        <v>1286</v>
      </c>
      <c r="Z83" s="282" t="s">
        <v>1592</v>
      </c>
      <c r="AA83" s="37"/>
      <c r="AB83" s="70">
        <v>455</v>
      </c>
      <c r="AC83" s="229" t="s">
        <v>516</v>
      </c>
      <c r="AD83" s="67" t="s">
        <v>808</v>
      </c>
      <c r="AE83" s="302"/>
      <c r="AF83" s="67"/>
      <c r="AG83" s="67"/>
      <c r="AH83" s="72" t="s">
        <v>233</v>
      </c>
      <c r="AI83" s="24"/>
      <c r="AJ83" s="24"/>
      <c r="AK83" s="24"/>
      <c r="AL83" s="24"/>
    </row>
    <row r="84" spans="1:38" ht="79.2">
      <c r="A84" s="51">
        <v>81</v>
      </c>
      <c r="B84" s="51" t="str">
        <f t="shared" si="1"/>
        <v>0051</v>
      </c>
      <c r="C84" s="112" t="s">
        <v>1439</v>
      </c>
      <c r="D84" s="55" t="s">
        <v>232</v>
      </c>
      <c r="E84" s="282" t="s">
        <v>1233</v>
      </c>
      <c r="F84" s="251" t="s">
        <v>1045</v>
      </c>
      <c r="G84" s="251" t="s">
        <v>878</v>
      </c>
      <c r="H84" s="55" t="s">
        <v>637</v>
      </c>
      <c r="I84" s="94" t="s">
        <v>5</v>
      </c>
      <c r="J84" s="55" t="s">
        <v>0</v>
      </c>
      <c r="K84" s="55" t="s">
        <v>452</v>
      </c>
      <c r="L84" s="100" t="s">
        <v>1271</v>
      </c>
      <c r="M84" s="55" t="s">
        <v>236</v>
      </c>
      <c r="N84" s="282" t="s">
        <v>1215</v>
      </c>
      <c r="O84" s="238" t="s">
        <v>55</v>
      </c>
      <c r="P84" s="64" t="str">
        <f ca="1">IF(AND(OR(INDIRECT("K" &amp; ROW())="NAV-Premium",INDIRECT("K" &amp; ROW())="DA-Premium"),INDIRECT("M" &amp; ROW())="PARTITION_SCHEMA128__NavPiviJpn", INDIRECT("O" &amp; ROW())="JPN_SDB"),'SDB vs GN'!$B$41, IF(INDIRECT("H" &amp; ROW())="Chenc",'SDB vs GN'!$B$40, VLOOKUP(INDIRECT("O" &amp; ROW()),'SDB vs GN'!$A$16:$B$38,2,FALSE)))</f>
        <v>742_JPN_831_AUSKRJPN</v>
      </c>
      <c r="Q84" s="64" t="s">
        <v>20</v>
      </c>
      <c r="R84" s="64" t="s">
        <v>133</v>
      </c>
      <c r="S84" s="103" t="s">
        <v>10</v>
      </c>
      <c r="T84" s="64" t="s">
        <v>449</v>
      </c>
      <c r="U84" s="104" t="s">
        <v>816</v>
      </c>
      <c r="V84" s="173" t="s">
        <v>602</v>
      </c>
      <c r="W84" s="76" t="s">
        <v>447</v>
      </c>
      <c r="X84" s="64" t="s">
        <v>362</v>
      </c>
      <c r="Y84" s="282" t="s">
        <v>1286</v>
      </c>
      <c r="Z84" s="282" t="s">
        <v>1592</v>
      </c>
      <c r="AA84" s="96"/>
      <c r="AB84" s="105">
        <v>366</v>
      </c>
      <c r="AC84" s="229" t="s">
        <v>438</v>
      </c>
      <c r="AD84" s="67" t="s">
        <v>888</v>
      </c>
      <c r="AE84" s="302"/>
      <c r="AF84" s="67" t="s">
        <v>1012</v>
      </c>
      <c r="AG84" s="67"/>
      <c r="AH84" s="72" t="s">
        <v>439</v>
      </c>
      <c r="AI84" s="24"/>
      <c r="AJ84" s="24"/>
      <c r="AK84" s="24"/>
      <c r="AL84" s="24"/>
    </row>
    <row r="85" spans="1:38" ht="92.4">
      <c r="A85" s="51">
        <v>82</v>
      </c>
      <c r="B85" s="51" t="str">
        <f t="shared" si="1"/>
        <v>0052</v>
      </c>
      <c r="C85" s="53" t="s">
        <v>23</v>
      </c>
      <c r="D85" s="54" t="s">
        <v>187</v>
      </c>
      <c r="E85" s="279" t="s">
        <v>1233</v>
      </c>
      <c r="F85" s="178" t="s">
        <v>1044</v>
      </c>
      <c r="G85" s="178" t="s">
        <v>345</v>
      </c>
      <c r="H85" s="55" t="s">
        <v>637</v>
      </c>
      <c r="I85" s="71" t="s">
        <v>815</v>
      </c>
      <c r="J85" s="53" t="s">
        <v>0</v>
      </c>
      <c r="K85" s="54" t="s">
        <v>452</v>
      </c>
      <c r="L85" s="77" t="s">
        <v>1271</v>
      </c>
      <c r="M85" s="54" t="s">
        <v>257</v>
      </c>
      <c r="N85" s="279" t="s">
        <v>1215</v>
      </c>
      <c r="O85" s="238" t="s">
        <v>84</v>
      </c>
      <c r="P85" s="64" t="str">
        <f ca="1">IF(AND(OR(INDIRECT("K" &amp; ROW())="NAV-Premium",INDIRECT("K" &amp; ROW())="DA-Premium"),INDIRECT("M" &amp; ROW())="PARTITION_SCHEMA128__NavPiviJpn", INDIRECT("O" &amp; ROW())="JPN_SDB"),'SDB vs GN'!$B$41, IF(INDIRECT("H" &amp; ROW())="Chenc",'SDB vs GN'!$B$40, VLOOKUP(INDIRECT("O" &amp; ROW()),'SDB vs GN'!$A$16:$B$38,2,FALSE)))</f>
        <v>727_NAM</v>
      </c>
      <c r="Q85" s="58" t="s">
        <v>20</v>
      </c>
      <c r="R85" s="58" t="s">
        <v>60</v>
      </c>
      <c r="S85" s="111" t="s">
        <v>10</v>
      </c>
      <c r="T85" s="58" t="s">
        <v>450</v>
      </c>
      <c r="U85" s="62" t="s">
        <v>816</v>
      </c>
      <c r="V85" s="173" t="s">
        <v>608</v>
      </c>
      <c r="W85" s="69" t="s">
        <v>447</v>
      </c>
      <c r="X85" s="64" t="s">
        <v>521</v>
      </c>
      <c r="Y85" s="282" t="s">
        <v>1286</v>
      </c>
      <c r="Z85" s="282" t="s">
        <v>1592</v>
      </c>
      <c r="AA85" s="96"/>
      <c r="AB85" s="131" t="s">
        <v>225</v>
      </c>
      <c r="AC85" s="229" t="s">
        <v>517</v>
      </c>
      <c r="AD85" s="67" t="s">
        <v>808</v>
      </c>
      <c r="AE85" s="302"/>
      <c r="AF85" s="67"/>
      <c r="AG85" s="67"/>
      <c r="AH85" s="72" t="s">
        <v>359</v>
      </c>
      <c r="AI85" s="24"/>
      <c r="AJ85" s="24"/>
      <c r="AK85" s="24"/>
      <c r="AL85" s="24"/>
    </row>
    <row r="86" spans="1:38" ht="26.4">
      <c r="A86" s="51">
        <v>83</v>
      </c>
      <c r="B86" s="51" t="str">
        <f t="shared" si="1"/>
        <v>0053</v>
      </c>
      <c r="C86" s="117" t="s">
        <v>304</v>
      </c>
      <c r="D86" s="116" t="s">
        <v>151</v>
      </c>
      <c r="E86" s="319" t="s">
        <v>1233</v>
      </c>
      <c r="F86" s="178" t="s">
        <v>1044</v>
      </c>
      <c r="G86" s="178" t="s">
        <v>345</v>
      </c>
      <c r="H86" s="166" t="s">
        <v>638</v>
      </c>
      <c r="I86" s="116" t="s">
        <v>815</v>
      </c>
      <c r="J86" s="117" t="s">
        <v>0</v>
      </c>
      <c r="K86" s="117" t="s">
        <v>452</v>
      </c>
      <c r="L86" s="77" t="s">
        <v>1271</v>
      </c>
      <c r="M86" s="54" t="s">
        <v>257</v>
      </c>
      <c r="N86" s="279" t="s">
        <v>1215</v>
      </c>
      <c r="O86" s="238" t="s">
        <v>97</v>
      </c>
      <c r="P86"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86" s="116" t="s">
        <v>20</v>
      </c>
      <c r="R86" s="66" t="s">
        <v>59</v>
      </c>
      <c r="S86" s="121" t="s">
        <v>10</v>
      </c>
      <c r="T86" s="116" t="s">
        <v>449</v>
      </c>
      <c r="U86" s="62" t="s">
        <v>816</v>
      </c>
      <c r="V86" s="173" t="s">
        <v>609</v>
      </c>
      <c r="W86" s="124" t="s">
        <v>447</v>
      </c>
      <c r="X86" s="64" t="s">
        <v>521</v>
      </c>
      <c r="Y86" s="282" t="s">
        <v>1286</v>
      </c>
      <c r="Z86" s="282" t="s">
        <v>1592</v>
      </c>
      <c r="AA86" s="125"/>
      <c r="AB86" s="131" t="s">
        <v>225</v>
      </c>
      <c r="AC86" s="230" t="s">
        <v>201</v>
      </c>
      <c r="AD86" s="67" t="s">
        <v>808</v>
      </c>
      <c r="AE86" s="302"/>
      <c r="AF86" s="67"/>
      <c r="AG86" s="67"/>
      <c r="AH86" s="72" t="s">
        <v>338</v>
      </c>
    </row>
    <row r="87" spans="1:38" ht="198">
      <c r="A87" s="51">
        <v>84</v>
      </c>
      <c r="B87" s="51" t="str">
        <f t="shared" si="1"/>
        <v>0054</v>
      </c>
      <c r="C87" s="53" t="s">
        <v>436</v>
      </c>
      <c r="D87" s="71" t="s">
        <v>232</v>
      </c>
      <c r="E87" s="320" t="s">
        <v>1233</v>
      </c>
      <c r="F87" s="178" t="s">
        <v>1044</v>
      </c>
      <c r="G87" s="178" t="s">
        <v>345</v>
      </c>
      <c r="H87" s="55" t="s">
        <v>637</v>
      </c>
      <c r="I87" s="116" t="s">
        <v>815</v>
      </c>
      <c r="J87" s="117" t="s">
        <v>0</v>
      </c>
      <c r="K87" s="117" t="s">
        <v>452</v>
      </c>
      <c r="L87" s="77" t="s">
        <v>1271</v>
      </c>
      <c r="M87" s="54" t="s">
        <v>257</v>
      </c>
      <c r="N87" s="279" t="s">
        <v>1215</v>
      </c>
      <c r="O87" s="238" t="s">
        <v>84</v>
      </c>
      <c r="P87" s="64" t="str">
        <f ca="1">IF(AND(OR(INDIRECT("K" &amp; ROW())="NAV-Premium",INDIRECT("K" &amp; ROW())="DA-Premium"),INDIRECT("M" &amp; ROW())="PARTITION_SCHEMA128__NavPiviJpn", INDIRECT("O" &amp; ROW())="JPN_SDB"),'SDB vs GN'!$B$41, IF(INDIRECT("H" &amp; ROW())="Chenc",'SDB vs GN'!$B$40, VLOOKUP(INDIRECT("O" &amp; ROW()),'SDB vs GN'!$A$16:$B$38,2,FALSE)))</f>
        <v>727_NAM</v>
      </c>
      <c r="Q87" s="116" t="s">
        <v>20</v>
      </c>
      <c r="R87" s="58" t="s">
        <v>60</v>
      </c>
      <c r="S87" s="121" t="s">
        <v>10</v>
      </c>
      <c r="T87" s="58" t="s">
        <v>450</v>
      </c>
      <c r="U87" s="136" t="s">
        <v>816</v>
      </c>
      <c r="V87" s="173" t="s">
        <v>608</v>
      </c>
      <c r="W87" s="124" t="s">
        <v>447</v>
      </c>
      <c r="X87" s="64" t="s">
        <v>521</v>
      </c>
      <c r="Y87" s="282" t="s">
        <v>1286</v>
      </c>
      <c r="Z87" s="282" t="s">
        <v>1592</v>
      </c>
      <c r="AA87" s="37"/>
      <c r="AB87" s="41" t="s">
        <v>217</v>
      </c>
      <c r="AC87" s="229" t="s">
        <v>2312</v>
      </c>
      <c r="AD87" s="67" t="s">
        <v>808</v>
      </c>
      <c r="AE87" s="302"/>
      <c r="AF87" s="67"/>
      <c r="AG87" s="67"/>
      <c r="AH87" s="72" t="s">
        <v>2352</v>
      </c>
      <c r="AI87" s="24"/>
      <c r="AJ87" s="24"/>
      <c r="AK87" s="24"/>
      <c r="AL87" s="24"/>
    </row>
    <row r="88" spans="1:38" ht="79.2">
      <c r="A88" s="51">
        <v>85</v>
      </c>
      <c r="B88" s="51" t="str">
        <f t="shared" si="1"/>
        <v>0055</v>
      </c>
      <c r="C88" s="58" t="s">
        <v>145</v>
      </c>
      <c r="D88" s="71" t="s">
        <v>204</v>
      </c>
      <c r="E88" s="320" t="s">
        <v>1233</v>
      </c>
      <c r="F88" s="177" t="s">
        <v>1046</v>
      </c>
      <c r="G88" s="177" t="s">
        <v>344</v>
      </c>
      <c r="H88" s="55" t="s">
        <v>637</v>
      </c>
      <c r="I88" s="119" t="s">
        <v>4</v>
      </c>
      <c r="J88" s="54" t="s">
        <v>0</v>
      </c>
      <c r="K88" s="54" t="s">
        <v>451</v>
      </c>
      <c r="L88" s="77" t="s">
        <v>1271</v>
      </c>
      <c r="M88" s="54" t="s">
        <v>255</v>
      </c>
      <c r="N88" s="279" t="s">
        <v>1215</v>
      </c>
      <c r="O88" s="238" t="s">
        <v>84</v>
      </c>
      <c r="P88" s="64" t="str">
        <f ca="1">IF(AND(OR(INDIRECT("K" &amp; ROW())="NAV-Premium",INDIRECT("K" &amp; ROW())="DA-Premium"),INDIRECT("M" &amp; ROW())="PARTITION_SCHEMA128__NavPiviJpn", INDIRECT("O" &amp; ROW())="JPN_SDB"),'SDB vs GN'!$B$41, IF(INDIRECT("H" &amp; ROW())="Chenc",'SDB vs GN'!$B$40, VLOOKUP(INDIRECT("O" &amp; ROW()),'SDB vs GN'!$A$16:$B$38,2,FALSE)))</f>
        <v>727_NAM</v>
      </c>
      <c r="Q88" s="116" t="s">
        <v>20</v>
      </c>
      <c r="R88" s="66" t="s">
        <v>59</v>
      </c>
      <c r="S88" s="111" t="s">
        <v>10</v>
      </c>
      <c r="T88" s="58" t="s">
        <v>450</v>
      </c>
      <c r="U88" s="136" t="s">
        <v>816</v>
      </c>
      <c r="V88" s="101" t="s">
        <v>7</v>
      </c>
      <c r="W88" s="124" t="s">
        <v>2184</v>
      </c>
      <c r="X88" s="64" t="s">
        <v>521</v>
      </c>
      <c r="Y88" s="282" t="s">
        <v>1286</v>
      </c>
      <c r="Z88" s="282" t="s">
        <v>1592</v>
      </c>
      <c r="AA88" s="96"/>
      <c r="AB88" s="137" t="s">
        <v>218</v>
      </c>
      <c r="AC88" s="229" t="s">
        <v>518</v>
      </c>
      <c r="AD88" s="67" t="s">
        <v>808</v>
      </c>
      <c r="AE88" s="302"/>
      <c r="AF88" s="67"/>
      <c r="AG88" s="67"/>
      <c r="AH88" s="67" t="s">
        <v>633</v>
      </c>
      <c r="AI88" s="24"/>
      <c r="AJ88" s="24"/>
      <c r="AK88" s="24"/>
      <c r="AL88" s="24"/>
    </row>
    <row r="89" spans="1:38">
      <c r="A89" s="51">
        <v>86</v>
      </c>
      <c r="B89" s="51" t="str">
        <f t="shared" si="1"/>
        <v>0056</v>
      </c>
      <c r="C89" s="71" t="s">
        <v>508</v>
      </c>
      <c r="D89" s="71" t="s">
        <v>232</v>
      </c>
      <c r="E89" s="320" t="s">
        <v>1233</v>
      </c>
      <c r="F89" s="178" t="s">
        <v>1044</v>
      </c>
      <c r="G89" s="178" t="s">
        <v>345</v>
      </c>
      <c r="H89" s="55" t="s">
        <v>637</v>
      </c>
      <c r="I89" s="116" t="s">
        <v>815</v>
      </c>
      <c r="J89" s="54" t="s">
        <v>0</v>
      </c>
      <c r="K89" s="117" t="s">
        <v>452</v>
      </c>
      <c r="L89" s="77" t="s">
        <v>1271</v>
      </c>
      <c r="M89" s="54" t="s">
        <v>257</v>
      </c>
      <c r="N89" s="279" t="s">
        <v>1215</v>
      </c>
      <c r="O89" s="238" t="s">
        <v>84</v>
      </c>
      <c r="P89" s="64" t="str">
        <f ca="1">IF(AND(OR(INDIRECT("K" &amp; ROW())="NAV-Premium",INDIRECT("K" &amp; ROW())="DA-Premium"),INDIRECT("M" &amp; ROW())="PARTITION_SCHEMA128__NavPiviJpn", INDIRECT("O" &amp; ROW())="JPN_SDB"),'SDB vs GN'!$B$41, IF(INDIRECT("H" &amp; ROW())="Chenc",'SDB vs GN'!$B$40, VLOOKUP(INDIRECT("O" &amp; ROW()),'SDB vs GN'!$A$16:$B$38,2,FALSE)))</f>
        <v>727_NAM</v>
      </c>
      <c r="Q89" s="116" t="s">
        <v>20</v>
      </c>
      <c r="R89" s="58" t="s">
        <v>60</v>
      </c>
      <c r="S89" s="111" t="s">
        <v>10</v>
      </c>
      <c r="T89" s="58" t="s">
        <v>450</v>
      </c>
      <c r="U89" s="136" t="s">
        <v>816</v>
      </c>
      <c r="V89" s="173" t="s">
        <v>608</v>
      </c>
      <c r="W89" s="124" t="s">
        <v>447</v>
      </c>
      <c r="X89" s="64" t="s">
        <v>521</v>
      </c>
      <c r="Y89" s="282" t="s">
        <v>1286</v>
      </c>
      <c r="Z89" s="282" t="s">
        <v>1592</v>
      </c>
      <c r="AA89" s="37"/>
      <c r="AB89" s="134">
        <v>527</v>
      </c>
      <c r="AC89" s="230" t="s">
        <v>205</v>
      </c>
      <c r="AD89" s="67" t="s">
        <v>808</v>
      </c>
      <c r="AE89" s="302"/>
      <c r="AF89" s="67"/>
      <c r="AG89" s="67"/>
      <c r="AH89" s="44"/>
      <c r="AI89" s="24"/>
      <c r="AJ89" s="24"/>
      <c r="AK89" s="24"/>
      <c r="AL89" s="24"/>
    </row>
    <row r="90" spans="1:38" ht="66">
      <c r="A90" s="51">
        <v>87</v>
      </c>
      <c r="B90" s="51" t="str">
        <f t="shared" si="1"/>
        <v>0057</v>
      </c>
      <c r="C90" s="58" t="s">
        <v>1417</v>
      </c>
      <c r="D90" s="71" t="s">
        <v>204</v>
      </c>
      <c r="E90" s="320" t="s">
        <v>1233</v>
      </c>
      <c r="F90" s="177" t="s">
        <v>1046</v>
      </c>
      <c r="G90" s="177" t="s">
        <v>344</v>
      </c>
      <c r="H90" s="55" t="s">
        <v>637</v>
      </c>
      <c r="I90" s="119" t="s">
        <v>4</v>
      </c>
      <c r="J90" s="54" t="s">
        <v>0</v>
      </c>
      <c r="K90" s="54" t="s">
        <v>451</v>
      </c>
      <c r="L90" s="77" t="s">
        <v>1271</v>
      </c>
      <c r="M90" s="54" t="s">
        <v>255</v>
      </c>
      <c r="N90" s="279" t="s">
        <v>1215</v>
      </c>
      <c r="O90" s="238" t="s">
        <v>84</v>
      </c>
      <c r="P90" s="64" t="str">
        <f ca="1">IF(AND(OR(INDIRECT("K" &amp; ROW())="NAV-Premium",INDIRECT("K" &amp; ROW())="DA-Premium"),INDIRECT("M" &amp; ROW())="PARTITION_SCHEMA128__NavPiviJpn", INDIRECT("O" &amp; ROW())="JPN_SDB"),'SDB vs GN'!$B$41, IF(INDIRECT("H" &amp; ROW())="Chenc",'SDB vs GN'!$B$40, VLOOKUP(INDIRECT("O" &amp; ROW()),'SDB vs GN'!$A$16:$B$38,2,FALSE)))</f>
        <v>727_NAM</v>
      </c>
      <c r="Q90" s="116" t="s">
        <v>20</v>
      </c>
      <c r="R90" s="66" t="s">
        <v>59</v>
      </c>
      <c r="S90" s="111" t="s">
        <v>10</v>
      </c>
      <c r="T90" s="58" t="s">
        <v>450</v>
      </c>
      <c r="U90" s="136" t="s">
        <v>816</v>
      </c>
      <c r="V90" s="101" t="s">
        <v>7</v>
      </c>
      <c r="W90" s="124" t="s">
        <v>2184</v>
      </c>
      <c r="X90" s="64" t="s">
        <v>521</v>
      </c>
      <c r="Y90" s="282" t="s">
        <v>1286</v>
      </c>
      <c r="Z90" s="282" t="s">
        <v>1592</v>
      </c>
      <c r="AA90" s="37"/>
      <c r="AB90" s="41" t="s">
        <v>219</v>
      </c>
      <c r="AC90" s="229" t="s">
        <v>519</v>
      </c>
      <c r="AD90" s="67" t="s">
        <v>808</v>
      </c>
      <c r="AE90" s="302"/>
      <c r="AF90" s="67"/>
      <c r="AG90" s="67"/>
      <c r="AH90" s="72" t="s">
        <v>227</v>
      </c>
      <c r="AI90" s="24"/>
      <c r="AJ90" s="24"/>
      <c r="AK90" s="24"/>
      <c r="AL90" s="24"/>
    </row>
    <row r="91" spans="1:38">
      <c r="A91" s="82">
        <v>88</v>
      </c>
      <c r="B91" s="82" t="str">
        <f t="shared" si="1"/>
        <v>0058</v>
      </c>
      <c r="C91" s="86" t="s">
        <v>80</v>
      </c>
      <c r="D91" s="85" t="s">
        <v>187</v>
      </c>
      <c r="E91" s="281" t="s">
        <v>1233</v>
      </c>
      <c r="F91" s="178" t="s">
        <v>1044</v>
      </c>
      <c r="G91" s="178" t="s">
        <v>345</v>
      </c>
      <c r="H91" s="86" t="s">
        <v>637</v>
      </c>
      <c r="I91" s="99" t="s">
        <v>815</v>
      </c>
      <c r="J91" s="85" t="s">
        <v>0</v>
      </c>
      <c r="K91" s="138" t="s">
        <v>452</v>
      </c>
      <c r="L91" s="95" t="s">
        <v>1271</v>
      </c>
      <c r="M91" s="85" t="s">
        <v>256</v>
      </c>
      <c r="N91" s="281" t="s">
        <v>1215</v>
      </c>
      <c r="O91" s="87" t="s">
        <v>54</v>
      </c>
      <c r="P91" s="87" t="str">
        <f ca="1">IF(AND(OR(INDIRECT("K" &amp; ROW())="NAV-Premium",INDIRECT("K" &amp; ROW())="DA-Premium"),INDIRECT("M" &amp; ROW())="PARTITION_SCHEMA128__NavPiviJpn", INDIRECT("O" &amp; ROW())="JPN_SDB"),'SDB vs GN'!$B$41, IF(INDIRECT("H" &amp; ROW())="Chenc",'SDB vs GN'!$B$40, VLOOKUP(INDIRECT("O" &amp; ROW()),'SDB vs GN'!$A$16:$B$38,2,FALSE)))</f>
        <v>731_EUR</v>
      </c>
      <c r="Q91" s="99" t="s">
        <v>20</v>
      </c>
      <c r="R91" s="87" t="s">
        <v>61</v>
      </c>
      <c r="S91" s="89" t="s">
        <v>10</v>
      </c>
      <c r="T91" s="87" t="s">
        <v>449</v>
      </c>
      <c r="U91" s="139" t="s">
        <v>816</v>
      </c>
      <c r="V91" s="88" t="s">
        <v>1130</v>
      </c>
      <c r="W91" s="140" t="s">
        <v>447</v>
      </c>
      <c r="X91" s="87" t="s">
        <v>521</v>
      </c>
      <c r="Y91" s="281" t="s">
        <v>1286</v>
      </c>
      <c r="Z91" s="281" t="s">
        <v>1592</v>
      </c>
      <c r="AA91" s="96"/>
      <c r="AB91" s="91">
        <v>550</v>
      </c>
      <c r="AC91" s="221" t="s">
        <v>295</v>
      </c>
      <c r="AD91" s="193" t="s">
        <v>807</v>
      </c>
      <c r="AE91" s="242"/>
      <c r="AF91" s="242"/>
      <c r="AG91" s="242"/>
      <c r="AH91" s="245" t="s">
        <v>226</v>
      </c>
    </row>
    <row r="92" spans="1:38">
      <c r="A92" s="51">
        <v>88</v>
      </c>
      <c r="B92" s="51" t="str">
        <f t="shared" si="1"/>
        <v>0058</v>
      </c>
      <c r="C92" s="141" t="s">
        <v>80</v>
      </c>
      <c r="D92" s="142" t="s">
        <v>232</v>
      </c>
      <c r="E92" s="321" t="s">
        <v>1233</v>
      </c>
      <c r="F92" s="178" t="s">
        <v>1044</v>
      </c>
      <c r="G92" s="178" t="s">
        <v>345</v>
      </c>
      <c r="H92" s="55" t="s">
        <v>637</v>
      </c>
      <c r="I92" s="132" t="s">
        <v>815</v>
      </c>
      <c r="J92" s="142" t="s">
        <v>0</v>
      </c>
      <c r="K92" s="143" t="s">
        <v>452</v>
      </c>
      <c r="L92" s="144" t="s">
        <v>1271</v>
      </c>
      <c r="M92" s="54" t="s">
        <v>256</v>
      </c>
      <c r="N92" s="279" t="s">
        <v>1215</v>
      </c>
      <c r="O92" s="238" t="s">
        <v>54</v>
      </c>
      <c r="P92" s="64" t="str">
        <f ca="1">IF(AND(OR(INDIRECT("K" &amp; ROW())="NAV-Premium",INDIRECT("K" &amp; ROW())="DA-Premium"),INDIRECT("M" &amp; ROW())="PARTITION_SCHEMA128__NavPiviJpn", INDIRECT("O" &amp; ROW())="JPN_SDB"),'SDB vs GN'!$B$41, IF(INDIRECT("H" &amp; ROW())="Chenc",'SDB vs GN'!$B$40, VLOOKUP(INDIRECT("O" &amp; ROW()),'SDB vs GN'!$A$16:$B$38,2,FALSE)))</f>
        <v>731_EUR</v>
      </c>
      <c r="Q92" s="132" t="s">
        <v>20</v>
      </c>
      <c r="R92" s="141" t="s">
        <v>61</v>
      </c>
      <c r="S92" s="111" t="s">
        <v>10</v>
      </c>
      <c r="T92" s="145" t="s">
        <v>449</v>
      </c>
      <c r="U92" s="136" t="s">
        <v>816</v>
      </c>
      <c r="V92" s="173" t="s">
        <v>1130</v>
      </c>
      <c r="W92" s="146" t="s">
        <v>447</v>
      </c>
      <c r="X92" s="64" t="s">
        <v>521</v>
      </c>
      <c r="Y92" s="282" t="s">
        <v>1286</v>
      </c>
      <c r="Z92" s="282" t="s">
        <v>1592</v>
      </c>
      <c r="AA92" s="96"/>
      <c r="AB92" s="134" t="s">
        <v>225</v>
      </c>
      <c r="AC92" s="231" t="s">
        <v>208</v>
      </c>
      <c r="AD92" s="72" t="s">
        <v>808</v>
      </c>
      <c r="AE92" s="302"/>
      <c r="AF92" s="67"/>
      <c r="AG92" s="67"/>
      <c r="AH92" s="133" t="s">
        <v>253</v>
      </c>
      <c r="AI92" s="24"/>
      <c r="AJ92" s="24"/>
      <c r="AK92" s="24"/>
      <c r="AL92" s="24"/>
    </row>
    <row r="93" spans="1:38" ht="145.19999999999999">
      <c r="A93" s="51">
        <v>89</v>
      </c>
      <c r="B93" s="51" t="str">
        <f t="shared" si="1"/>
        <v>0059</v>
      </c>
      <c r="C93" s="94" t="s">
        <v>461</v>
      </c>
      <c r="D93" s="55" t="s">
        <v>187</v>
      </c>
      <c r="E93" s="282" t="s">
        <v>1233</v>
      </c>
      <c r="F93" s="178" t="s">
        <v>1044</v>
      </c>
      <c r="G93" s="178" t="s">
        <v>345</v>
      </c>
      <c r="H93" s="55" t="s">
        <v>637</v>
      </c>
      <c r="I93" s="79" t="s">
        <v>815</v>
      </c>
      <c r="J93" s="55" t="s">
        <v>0</v>
      </c>
      <c r="K93" s="79" t="s">
        <v>453</v>
      </c>
      <c r="L93" s="100" t="s">
        <v>1271</v>
      </c>
      <c r="M93" s="55" t="s">
        <v>256</v>
      </c>
      <c r="N93" s="282" t="s">
        <v>1215</v>
      </c>
      <c r="O93" s="238" t="s">
        <v>54</v>
      </c>
      <c r="P93" s="64" t="str">
        <f ca="1">IF(AND(OR(INDIRECT("K" &amp; ROW())="NAV-Premium",INDIRECT("K" &amp; ROW())="DA-Premium"),INDIRECT("M" &amp; ROW())="PARTITION_SCHEMA128__NavPiviJpn", INDIRECT("O" &amp; ROW())="JPN_SDB"),'SDB vs GN'!$B$41, IF(INDIRECT("H" &amp; ROW())="Chenc",'SDB vs GN'!$B$40, VLOOKUP(INDIRECT("O" &amp; ROW()),'SDB vs GN'!$A$16:$B$38,2,FALSE)))</f>
        <v>731_EUR</v>
      </c>
      <c r="Q93" s="79" t="s">
        <v>20</v>
      </c>
      <c r="R93" s="94" t="s">
        <v>61</v>
      </c>
      <c r="S93" s="103" t="s">
        <v>10</v>
      </c>
      <c r="T93" s="64" t="s">
        <v>449</v>
      </c>
      <c r="U93" s="159" t="s">
        <v>816</v>
      </c>
      <c r="V93" s="173" t="s">
        <v>1129</v>
      </c>
      <c r="W93" s="129" t="s">
        <v>447</v>
      </c>
      <c r="X93" s="64" t="s">
        <v>521</v>
      </c>
      <c r="Y93" s="282" t="s">
        <v>1286</v>
      </c>
      <c r="Z93" s="282" t="s">
        <v>1592</v>
      </c>
      <c r="AA93" s="37"/>
      <c r="AB93" s="105" t="s">
        <v>258</v>
      </c>
      <c r="AC93" s="229" t="s">
        <v>874</v>
      </c>
      <c r="AD93" s="72" t="s">
        <v>808</v>
      </c>
      <c r="AE93" s="302"/>
      <c r="AF93" s="67"/>
      <c r="AG93" s="67"/>
      <c r="AH93" s="72" t="s">
        <v>875</v>
      </c>
      <c r="AI93" s="24"/>
      <c r="AJ93" s="24"/>
      <c r="AK93" s="24"/>
      <c r="AL93" s="24"/>
    </row>
    <row r="94" spans="1:38" ht="52.8">
      <c r="A94" s="82">
        <v>90</v>
      </c>
      <c r="B94" s="82" t="str">
        <f t="shared" si="1"/>
        <v>005A</v>
      </c>
      <c r="C94" s="86" t="s">
        <v>211</v>
      </c>
      <c r="D94" s="86" t="s">
        <v>204</v>
      </c>
      <c r="E94" s="313" t="s">
        <v>1233</v>
      </c>
      <c r="F94" s="177" t="s">
        <v>1046</v>
      </c>
      <c r="G94" s="177" t="s">
        <v>344</v>
      </c>
      <c r="H94" s="86" t="s">
        <v>637</v>
      </c>
      <c r="I94" s="147" t="s">
        <v>4</v>
      </c>
      <c r="J94" s="85" t="s">
        <v>0</v>
      </c>
      <c r="K94" s="99" t="s">
        <v>110</v>
      </c>
      <c r="L94" s="95" t="s">
        <v>1271</v>
      </c>
      <c r="M94" s="85" t="s">
        <v>255</v>
      </c>
      <c r="N94" s="281" t="s">
        <v>1215</v>
      </c>
      <c r="O94" s="99" t="s">
        <v>53</v>
      </c>
      <c r="P94" s="87" t="str">
        <f ca="1">IF(AND(OR(INDIRECT("K" &amp; ROW())="NAV-Premium",INDIRECT("K" &amp; ROW())="DA-Premium"),INDIRECT("M" &amp; ROW())="PARTITION_SCHEMA128__NavPiviJpn", INDIRECT("O" &amp; ROW())="JPN_SDB"),'SDB vs GN'!$B$41, IF(INDIRECT("H" &amp; ROW())="Chenc",'SDB vs GN'!$B$40, VLOOKUP(INDIRECT("O" &amp; ROW()),'SDB vs GN'!$A$16:$B$38,2,FALSE)))</f>
        <v>No_Gracenote</v>
      </c>
      <c r="Q94" s="99" t="s">
        <v>20</v>
      </c>
      <c r="R94" s="89" t="s">
        <v>59</v>
      </c>
      <c r="S94" s="89" t="s">
        <v>10</v>
      </c>
      <c r="T94" s="87" t="s">
        <v>449</v>
      </c>
      <c r="U94" s="139" t="s">
        <v>816</v>
      </c>
      <c r="V94" s="148" t="s">
        <v>7</v>
      </c>
      <c r="W94" s="140" t="s">
        <v>2184</v>
      </c>
      <c r="X94" s="87" t="s">
        <v>521</v>
      </c>
      <c r="Y94" s="281" t="s">
        <v>1286</v>
      </c>
      <c r="Z94" s="281" t="s">
        <v>1592</v>
      </c>
      <c r="AA94" s="96"/>
      <c r="AB94" s="98" t="s">
        <v>220</v>
      </c>
      <c r="AC94" s="223" t="s">
        <v>296</v>
      </c>
      <c r="AD94" s="193" t="s">
        <v>807</v>
      </c>
      <c r="AE94" s="242"/>
      <c r="AF94" s="242"/>
      <c r="AG94" s="242"/>
      <c r="AH94" s="245" t="s">
        <v>226</v>
      </c>
    </row>
    <row r="95" spans="1:38" ht="409.6">
      <c r="A95" s="51">
        <v>90</v>
      </c>
      <c r="B95" s="51" t="str">
        <f t="shared" si="1"/>
        <v>005A</v>
      </c>
      <c r="C95" s="72" t="s">
        <v>2122</v>
      </c>
      <c r="D95" s="94" t="s">
        <v>230</v>
      </c>
      <c r="E95" s="314" t="s">
        <v>1233</v>
      </c>
      <c r="F95" s="177" t="s">
        <v>1046</v>
      </c>
      <c r="G95" s="177" t="s">
        <v>344</v>
      </c>
      <c r="H95" s="55" t="s">
        <v>637</v>
      </c>
      <c r="I95" s="158" t="s">
        <v>4</v>
      </c>
      <c r="J95" s="55" t="s">
        <v>0</v>
      </c>
      <c r="K95" s="79" t="s">
        <v>110</v>
      </c>
      <c r="L95" s="100" t="s">
        <v>1271</v>
      </c>
      <c r="M95" s="55" t="s">
        <v>255</v>
      </c>
      <c r="N95" s="282" t="s">
        <v>1215</v>
      </c>
      <c r="O95" s="239" t="s">
        <v>53</v>
      </c>
      <c r="P95" s="64" t="str">
        <f ca="1">IF(AND(OR(INDIRECT("K" &amp; ROW())="NAV-Premium",INDIRECT("K" &amp; ROW())="DA-Premium"),INDIRECT("M" &amp; ROW())="PARTITION_SCHEMA128__NavPiviJpn", INDIRECT("O" &amp; ROW())="JPN_SDB"),'SDB vs GN'!$B$41, IF(INDIRECT("H" &amp; ROW())="Chenc",'SDB vs GN'!$B$40, VLOOKUP(INDIRECT("O" &amp; ROW()),'SDB vs GN'!$A$16:$B$38,2,FALSE)))</f>
        <v>No_Gracenote</v>
      </c>
      <c r="Q95" s="79" t="s">
        <v>20</v>
      </c>
      <c r="R95" s="67" t="s">
        <v>59</v>
      </c>
      <c r="S95" s="103" t="s">
        <v>10</v>
      </c>
      <c r="T95" s="64" t="s">
        <v>449</v>
      </c>
      <c r="U95" s="159" t="s">
        <v>816</v>
      </c>
      <c r="V95" s="101" t="s">
        <v>7</v>
      </c>
      <c r="W95" s="129" t="s">
        <v>2184</v>
      </c>
      <c r="X95" s="64" t="s">
        <v>521</v>
      </c>
      <c r="Y95" s="282" t="s">
        <v>1286</v>
      </c>
      <c r="Z95" s="282" t="s">
        <v>1592</v>
      </c>
      <c r="AA95" s="96"/>
      <c r="AB95" s="105" t="s">
        <v>225</v>
      </c>
      <c r="AC95" s="229" t="s">
        <v>2257</v>
      </c>
      <c r="AD95" s="72" t="s">
        <v>808</v>
      </c>
      <c r="AE95" s="302"/>
      <c r="AF95" s="67"/>
      <c r="AG95" s="67"/>
      <c r="AH95" s="72" t="s">
        <v>2256</v>
      </c>
      <c r="AI95" s="24"/>
      <c r="AJ95" s="24"/>
      <c r="AK95" s="24"/>
      <c r="AL95" s="24"/>
    </row>
    <row r="96" spans="1:38" ht="39.6">
      <c r="A96" s="51">
        <v>91</v>
      </c>
      <c r="B96" s="51" t="str">
        <f t="shared" si="1"/>
        <v>005B</v>
      </c>
      <c r="C96" s="71" t="s">
        <v>437</v>
      </c>
      <c r="D96" s="54" t="s">
        <v>187</v>
      </c>
      <c r="E96" s="279" t="s">
        <v>1233</v>
      </c>
      <c r="F96" s="178" t="s">
        <v>1044</v>
      </c>
      <c r="G96" s="178" t="s">
        <v>345</v>
      </c>
      <c r="H96" s="55" t="s">
        <v>637</v>
      </c>
      <c r="I96" s="116" t="s">
        <v>815</v>
      </c>
      <c r="J96" s="54" t="s">
        <v>0</v>
      </c>
      <c r="K96" s="116" t="s">
        <v>453</v>
      </c>
      <c r="L96" s="77" t="s">
        <v>1271</v>
      </c>
      <c r="M96" s="54" t="s">
        <v>257</v>
      </c>
      <c r="N96" s="279" t="s">
        <v>1215</v>
      </c>
      <c r="O96" s="238" t="s">
        <v>84</v>
      </c>
      <c r="P96" s="64" t="str">
        <f ca="1">IF(AND(OR(INDIRECT("K" &amp; ROW())="NAV-Premium",INDIRECT("K" &amp; ROW())="DA-Premium"),INDIRECT("M" &amp; ROW())="PARTITION_SCHEMA128__NavPiviJpn", INDIRECT("O" &amp; ROW())="JPN_SDB"),'SDB vs GN'!$B$41, IF(INDIRECT("H" &amp; ROW())="Chenc",'SDB vs GN'!$B$40, VLOOKUP(INDIRECT("O" &amp; ROW()),'SDB vs GN'!$A$16:$B$38,2,FALSE)))</f>
        <v>727_NAM</v>
      </c>
      <c r="Q96" s="116" t="s">
        <v>20</v>
      </c>
      <c r="R96" s="58" t="s">
        <v>60</v>
      </c>
      <c r="S96" s="111" t="s">
        <v>10</v>
      </c>
      <c r="T96" s="58" t="s">
        <v>449</v>
      </c>
      <c r="U96" s="136" t="s">
        <v>816</v>
      </c>
      <c r="V96" s="173" t="s">
        <v>1127</v>
      </c>
      <c r="W96" s="124" t="s">
        <v>447</v>
      </c>
      <c r="X96" s="64" t="s">
        <v>521</v>
      </c>
      <c r="Y96" s="282" t="s">
        <v>1286</v>
      </c>
      <c r="Z96" s="282" t="s">
        <v>1592</v>
      </c>
      <c r="AA96" s="37"/>
      <c r="AB96" s="37">
        <v>435</v>
      </c>
      <c r="AC96" s="215" t="s">
        <v>455</v>
      </c>
      <c r="AD96" s="72" t="s">
        <v>808</v>
      </c>
      <c r="AE96" s="302"/>
      <c r="AF96" s="67"/>
      <c r="AG96" s="67"/>
      <c r="AH96" s="72" t="s">
        <v>456</v>
      </c>
      <c r="AI96" s="24"/>
      <c r="AJ96" s="24"/>
      <c r="AK96" s="24"/>
      <c r="AL96" s="24"/>
    </row>
    <row r="97" spans="1:38" ht="52.8">
      <c r="A97" s="51">
        <v>92</v>
      </c>
      <c r="B97" s="51" t="str">
        <f t="shared" si="1"/>
        <v>005C</v>
      </c>
      <c r="C97" s="94" t="s">
        <v>464</v>
      </c>
      <c r="D97" s="55" t="s">
        <v>187</v>
      </c>
      <c r="E97" s="282" t="s">
        <v>1233</v>
      </c>
      <c r="F97" s="178" t="s">
        <v>1044</v>
      </c>
      <c r="G97" s="178" t="s">
        <v>345</v>
      </c>
      <c r="H97" s="55" t="s">
        <v>637</v>
      </c>
      <c r="I97" s="79" t="s">
        <v>815</v>
      </c>
      <c r="J97" s="55" t="s">
        <v>0</v>
      </c>
      <c r="K97" s="79" t="s">
        <v>453</v>
      </c>
      <c r="L97" s="100" t="s">
        <v>1271</v>
      </c>
      <c r="M97" s="55" t="s">
        <v>254</v>
      </c>
      <c r="N97" s="282" t="s">
        <v>1215</v>
      </c>
      <c r="O97" s="238" t="s">
        <v>825</v>
      </c>
      <c r="P97" s="64" t="str">
        <f ca="1">IF(AND(OR(INDIRECT("K" &amp; ROW())="NAV-Premium",INDIRECT("K" &amp; ROW())="DA-Premium"),INDIRECT("M" &amp; ROW())="PARTITION_SCHEMA128__NavPiviJpn", INDIRECT("O" &amp; ROW())="JPN_SDB"),'SDB vs GN'!$B$41, IF(INDIRECT("H" &amp; ROW())="Chenc",'SDB vs GN'!$B$40, VLOOKUP(INDIRECT("O" &amp; ROW()),'SDB vs GN'!$A$16:$B$38,2,FALSE)))</f>
        <v>831_AUSKRJPN</v>
      </c>
      <c r="Q97" s="79" t="s">
        <v>20</v>
      </c>
      <c r="R97" s="67" t="s">
        <v>59</v>
      </c>
      <c r="S97" s="103" t="s">
        <v>10</v>
      </c>
      <c r="T97" s="64" t="s">
        <v>449</v>
      </c>
      <c r="U97" s="159" t="s">
        <v>816</v>
      </c>
      <c r="V97" s="175" t="s">
        <v>603</v>
      </c>
      <c r="W97" s="129" t="s">
        <v>447</v>
      </c>
      <c r="X97" s="64" t="s">
        <v>521</v>
      </c>
      <c r="Y97" s="282" t="s">
        <v>1286</v>
      </c>
      <c r="Z97" s="282" t="s">
        <v>1592</v>
      </c>
      <c r="AA97" s="37"/>
      <c r="AB97" s="131" t="s">
        <v>225</v>
      </c>
      <c r="AC97" s="229" t="s">
        <v>665</v>
      </c>
      <c r="AD97" s="72" t="s">
        <v>808</v>
      </c>
      <c r="AE97" s="302"/>
      <c r="AF97" s="67"/>
      <c r="AG97" s="67"/>
      <c r="AH97" s="72" t="s">
        <v>666</v>
      </c>
      <c r="AI97" s="24"/>
      <c r="AJ97" s="24"/>
      <c r="AK97" s="24"/>
      <c r="AL97" s="24"/>
    </row>
    <row r="98" spans="1:38">
      <c r="A98" s="82">
        <v>93</v>
      </c>
      <c r="B98" s="82" t="str">
        <f t="shared" si="1"/>
        <v>005D</v>
      </c>
      <c r="C98" s="86" t="s">
        <v>462</v>
      </c>
      <c r="D98" s="86" t="s">
        <v>204</v>
      </c>
      <c r="E98" s="313" t="s">
        <v>1233</v>
      </c>
      <c r="F98" s="177" t="s">
        <v>1046</v>
      </c>
      <c r="G98" s="177" t="s">
        <v>344</v>
      </c>
      <c r="H98" s="86" t="s">
        <v>637</v>
      </c>
      <c r="I98" s="147" t="s">
        <v>4</v>
      </c>
      <c r="J98" s="85" t="s">
        <v>0</v>
      </c>
      <c r="K98" s="99" t="s">
        <v>110</v>
      </c>
      <c r="L98" s="95" t="s">
        <v>1271</v>
      </c>
      <c r="M98" s="85" t="s">
        <v>255</v>
      </c>
      <c r="N98" s="281" t="s">
        <v>1215</v>
      </c>
      <c r="O98" s="99" t="s">
        <v>53</v>
      </c>
      <c r="P98" s="87" t="str">
        <f ca="1">IF(AND(OR(INDIRECT("K" &amp; ROW())="NAV-Premium",INDIRECT("K" &amp; ROW())="DA-Premium"),INDIRECT("M" &amp; ROW())="PARTITION_SCHEMA128__NavPiviJpn", INDIRECT("O" &amp; ROW())="JPN_SDB"),'SDB vs GN'!$B$41, IF(INDIRECT("H" &amp; ROW())="Chenc",'SDB vs GN'!$B$40, VLOOKUP(INDIRECT("O" &amp; ROW()),'SDB vs GN'!$A$16:$B$38,2,FALSE)))</f>
        <v>No_Gracenote</v>
      </c>
      <c r="Q98" s="99" t="s">
        <v>20</v>
      </c>
      <c r="R98" s="89" t="s">
        <v>61</v>
      </c>
      <c r="S98" s="89" t="s">
        <v>10</v>
      </c>
      <c r="T98" s="87" t="s">
        <v>449</v>
      </c>
      <c r="U98" s="139" t="s">
        <v>816</v>
      </c>
      <c r="V98" s="148" t="s">
        <v>7</v>
      </c>
      <c r="W98" s="140" t="s">
        <v>2184</v>
      </c>
      <c r="X98" s="87" t="s">
        <v>521</v>
      </c>
      <c r="Y98" s="281" t="s">
        <v>1286</v>
      </c>
      <c r="Z98" s="281" t="s">
        <v>1592</v>
      </c>
      <c r="AA98" s="96"/>
      <c r="AB98" s="91">
        <v>614</v>
      </c>
      <c r="AC98" s="223" t="s">
        <v>297</v>
      </c>
      <c r="AD98" s="193" t="s">
        <v>807</v>
      </c>
      <c r="AE98" s="242"/>
      <c r="AF98" s="242"/>
      <c r="AG98" s="242"/>
      <c r="AH98" s="245" t="s">
        <v>226</v>
      </c>
    </row>
    <row r="99" spans="1:38" ht="237.6">
      <c r="A99" s="51">
        <v>93</v>
      </c>
      <c r="B99" s="51" t="str">
        <f t="shared" si="1"/>
        <v>005D</v>
      </c>
      <c r="C99" s="94" t="s">
        <v>462</v>
      </c>
      <c r="D99" s="94" t="s">
        <v>230</v>
      </c>
      <c r="E99" s="314" t="s">
        <v>1233</v>
      </c>
      <c r="F99" s="177" t="s">
        <v>1046</v>
      </c>
      <c r="G99" s="177" t="s">
        <v>344</v>
      </c>
      <c r="H99" s="55" t="s">
        <v>637</v>
      </c>
      <c r="I99" s="158" t="s">
        <v>4</v>
      </c>
      <c r="J99" s="55" t="s">
        <v>0</v>
      </c>
      <c r="K99" s="79" t="s">
        <v>110</v>
      </c>
      <c r="L99" s="100" t="s">
        <v>1271</v>
      </c>
      <c r="M99" s="55" t="s">
        <v>255</v>
      </c>
      <c r="N99" s="282" t="s">
        <v>1215</v>
      </c>
      <c r="O99" s="239" t="s">
        <v>53</v>
      </c>
      <c r="P99" s="64" t="str">
        <f ca="1">IF(AND(OR(INDIRECT("K" &amp; ROW())="NAV-Premium",INDIRECT("K" &amp; ROW())="DA-Premium"),INDIRECT("M" &amp; ROW())="PARTITION_SCHEMA128__NavPiviJpn", INDIRECT("O" &amp; ROW())="JPN_SDB"),'SDB vs GN'!$B$41, IF(INDIRECT("H" &amp; ROW())="Chenc",'SDB vs GN'!$B$40, VLOOKUP(INDIRECT("O" &amp; ROW()),'SDB vs GN'!$A$16:$B$38,2,FALSE)))</f>
        <v>No_Gracenote</v>
      </c>
      <c r="Q99" s="79" t="s">
        <v>20</v>
      </c>
      <c r="R99" s="67" t="s">
        <v>61</v>
      </c>
      <c r="S99" s="103" t="s">
        <v>10</v>
      </c>
      <c r="T99" s="64" t="s">
        <v>449</v>
      </c>
      <c r="U99" s="159" t="s">
        <v>816</v>
      </c>
      <c r="V99" s="101" t="s">
        <v>7</v>
      </c>
      <c r="W99" s="129" t="s">
        <v>2184</v>
      </c>
      <c r="X99" s="64" t="s">
        <v>521</v>
      </c>
      <c r="Y99" s="282" t="s">
        <v>1286</v>
      </c>
      <c r="Z99" s="282" t="s">
        <v>1592</v>
      </c>
      <c r="AA99" s="96"/>
      <c r="AB99" s="105" t="s">
        <v>244</v>
      </c>
      <c r="AC99" s="229" t="s">
        <v>2259</v>
      </c>
      <c r="AD99" s="72" t="s">
        <v>808</v>
      </c>
      <c r="AE99" s="302"/>
      <c r="AF99" s="67"/>
      <c r="AG99" s="67"/>
      <c r="AH99" s="72" t="s">
        <v>2258</v>
      </c>
      <c r="AI99" s="24"/>
      <c r="AJ99" s="24"/>
      <c r="AK99" s="24"/>
      <c r="AL99" s="24"/>
    </row>
    <row r="100" spans="1:38">
      <c r="A100" s="82">
        <v>94</v>
      </c>
      <c r="B100" s="82" t="str">
        <f t="shared" si="1"/>
        <v>005E</v>
      </c>
      <c r="C100" s="86" t="s">
        <v>80</v>
      </c>
      <c r="D100" s="86" t="s">
        <v>232</v>
      </c>
      <c r="E100" s="313" t="s">
        <v>1233</v>
      </c>
      <c r="F100" s="178" t="s">
        <v>1044</v>
      </c>
      <c r="G100" s="178" t="s">
        <v>345</v>
      </c>
      <c r="H100" s="86" t="s">
        <v>637</v>
      </c>
      <c r="I100" s="99" t="s">
        <v>815</v>
      </c>
      <c r="J100" s="138" t="s">
        <v>0</v>
      </c>
      <c r="K100" s="138" t="s">
        <v>452</v>
      </c>
      <c r="L100" s="147" t="s">
        <v>1271</v>
      </c>
      <c r="M100" s="85" t="s">
        <v>256</v>
      </c>
      <c r="N100" s="281" t="s">
        <v>1215</v>
      </c>
      <c r="O100" s="87" t="s">
        <v>54</v>
      </c>
      <c r="P100" s="87" t="str">
        <f ca="1">IF(AND(OR(INDIRECT("K" &amp; ROW())="NAV-Premium",INDIRECT("K" &amp; ROW())="DA-Premium"),INDIRECT("M" &amp; ROW())="PARTITION_SCHEMA128__NavPiviJpn", INDIRECT("O" &amp; ROW())="JPN_SDB"),'SDB vs GN'!$B$41, IF(INDIRECT("H" &amp; ROW())="Chenc",'SDB vs GN'!$B$40, VLOOKUP(INDIRECT("O" &amp; ROW()),'SDB vs GN'!$A$16:$B$38,2,FALSE)))</f>
        <v>731_EUR</v>
      </c>
      <c r="Q100" s="99" t="s">
        <v>20</v>
      </c>
      <c r="R100" s="89" t="s">
        <v>61</v>
      </c>
      <c r="S100" s="148" t="s">
        <v>10</v>
      </c>
      <c r="T100" s="87" t="s">
        <v>449</v>
      </c>
      <c r="U100" s="139" t="s">
        <v>816</v>
      </c>
      <c r="V100" s="88" t="s">
        <v>1130</v>
      </c>
      <c r="W100" s="140" t="s">
        <v>447</v>
      </c>
      <c r="X100" s="87" t="s">
        <v>521</v>
      </c>
      <c r="Y100" s="281" t="s">
        <v>1286</v>
      </c>
      <c r="Z100" s="281" t="s">
        <v>1592</v>
      </c>
      <c r="AA100" s="96"/>
      <c r="AB100" s="91">
        <v>423</v>
      </c>
      <c r="AC100" s="221" t="s">
        <v>298</v>
      </c>
      <c r="AD100" s="193" t="s">
        <v>807</v>
      </c>
      <c r="AE100" s="242"/>
      <c r="AF100" s="242"/>
      <c r="AG100" s="242"/>
      <c r="AH100" s="245" t="s">
        <v>226</v>
      </c>
    </row>
    <row r="101" spans="1:38">
      <c r="A101" s="51">
        <v>94</v>
      </c>
      <c r="B101" s="51" t="str">
        <f t="shared" si="1"/>
        <v>005E</v>
      </c>
      <c r="C101" s="141" t="s">
        <v>80</v>
      </c>
      <c r="D101" s="142" t="s">
        <v>232</v>
      </c>
      <c r="E101" s="321" t="s">
        <v>1233</v>
      </c>
      <c r="F101" s="178" t="s">
        <v>1044</v>
      </c>
      <c r="G101" s="178" t="s">
        <v>345</v>
      </c>
      <c r="H101" s="55" t="s">
        <v>637</v>
      </c>
      <c r="I101" s="132" t="s">
        <v>815</v>
      </c>
      <c r="J101" s="143" t="s">
        <v>0</v>
      </c>
      <c r="K101" s="143" t="s">
        <v>452</v>
      </c>
      <c r="L101" s="149" t="s">
        <v>1271</v>
      </c>
      <c r="M101" s="54" t="s">
        <v>256</v>
      </c>
      <c r="N101" s="279" t="s">
        <v>1215</v>
      </c>
      <c r="O101" s="238" t="s">
        <v>54</v>
      </c>
      <c r="P101" s="64" t="str">
        <f ca="1">IF(AND(OR(INDIRECT("K" &amp; ROW())="NAV-Premium",INDIRECT("K" &amp; ROW())="DA-Premium"),INDIRECT("M" &amp; ROW())="PARTITION_SCHEMA128__NavPiviJpn", INDIRECT("O" &amp; ROW())="JPN_SDB"),'SDB vs GN'!$B$41, IF(INDIRECT("H" &amp; ROW())="Chenc",'SDB vs GN'!$B$40, VLOOKUP(INDIRECT("O" &amp; ROW()),'SDB vs GN'!$A$16:$B$38,2,FALSE)))</f>
        <v>731_EUR</v>
      </c>
      <c r="Q101" s="132" t="s">
        <v>20</v>
      </c>
      <c r="R101" s="150" t="s">
        <v>61</v>
      </c>
      <c r="S101" s="121" t="s">
        <v>10</v>
      </c>
      <c r="T101" s="141" t="s">
        <v>449</v>
      </c>
      <c r="U101" s="136" t="s">
        <v>816</v>
      </c>
      <c r="V101" s="173" t="s">
        <v>1130</v>
      </c>
      <c r="W101" s="146" t="s">
        <v>447</v>
      </c>
      <c r="X101" s="64" t="s">
        <v>521</v>
      </c>
      <c r="Y101" s="282" t="s">
        <v>1286</v>
      </c>
      <c r="Z101" s="282" t="s">
        <v>1592</v>
      </c>
      <c r="AA101" s="96"/>
      <c r="AB101" s="134" t="s">
        <v>225</v>
      </c>
      <c r="AC101" s="231" t="s">
        <v>212</v>
      </c>
      <c r="AD101" s="72" t="s">
        <v>808</v>
      </c>
      <c r="AE101" s="302"/>
      <c r="AF101" s="67"/>
      <c r="AG101" s="67"/>
      <c r="AH101" s="133" t="s">
        <v>253</v>
      </c>
      <c r="AI101" s="24"/>
      <c r="AJ101" s="24"/>
      <c r="AK101" s="24"/>
      <c r="AL101" s="24"/>
    </row>
    <row r="102" spans="1:38" ht="26.4">
      <c r="A102" s="82">
        <v>95</v>
      </c>
      <c r="B102" s="82" t="str">
        <f t="shared" si="1"/>
        <v>005F</v>
      </c>
      <c r="C102" s="86" t="s">
        <v>108</v>
      </c>
      <c r="D102" s="85" t="s">
        <v>187</v>
      </c>
      <c r="E102" s="281" t="s">
        <v>1233</v>
      </c>
      <c r="F102" s="178" t="s">
        <v>1044</v>
      </c>
      <c r="G102" s="178" t="s">
        <v>345</v>
      </c>
      <c r="H102" s="86" t="s">
        <v>638</v>
      </c>
      <c r="I102" s="99" t="s">
        <v>815</v>
      </c>
      <c r="J102" s="138" t="s">
        <v>0</v>
      </c>
      <c r="K102" s="138" t="s">
        <v>452</v>
      </c>
      <c r="L102" s="147" t="s">
        <v>1271</v>
      </c>
      <c r="M102" s="85" t="s">
        <v>257</v>
      </c>
      <c r="N102" s="281" t="s">
        <v>1215</v>
      </c>
      <c r="O102" s="87" t="s">
        <v>97</v>
      </c>
      <c r="P102" s="87" t="str">
        <f ca="1">IF(AND(OR(INDIRECT("K" &amp; ROW())="NAV-Premium",INDIRECT("K" &amp; ROW())="DA-Premium"),INDIRECT("M" &amp; ROW())="PARTITION_SCHEMA128__NavPiviJpn", INDIRECT("O" &amp; ROW())="JPN_SDB"),'SDB vs GN'!$B$41, IF(INDIRECT("H" &amp; ROW())="Chenc",'SDB vs GN'!$B$40, VLOOKUP(INDIRECT("O" &amp; ROW()),'SDB vs GN'!$A$16:$B$38,2,FALSE)))</f>
        <v>734_CN_831_AUSKRJPN_CHENC</v>
      </c>
      <c r="Q102" s="99" t="s">
        <v>20</v>
      </c>
      <c r="R102" s="89" t="s">
        <v>59</v>
      </c>
      <c r="S102" s="148" t="s">
        <v>10</v>
      </c>
      <c r="T102" s="87" t="s">
        <v>449</v>
      </c>
      <c r="U102" s="139" t="s">
        <v>816</v>
      </c>
      <c r="V102" s="88" t="s">
        <v>609</v>
      </c>
      <c r="W102" s="140" t="s">
        <v>447</v>
      </c>
      <c r="X102" s="87" t="s">
        <v>521</v>
      </c>
      <c r="Y102" s="281" t="s">
        <v>1286</v>
      </c>
      <c r="Z102" s="281" t="s">
        <v>1592</v>
      </c>
      <c r="AA102" s="96"/>
      <c r="AB102" s="91">
        <v>426</v>
      </c>
      <c r="AC102" s="232" t="s">
        <v>299</v>
      </c>
      <c r="AD102" s="193" t="s">
        <v>807</v>
      </c>
      <c r="AE102" s="242"/>
      <c r="AF102" s="242"/>
      <c r="AG102" s="242"/>
      <c r="AH102" s="245" t="s">
        <v>343</v>
      </c>
    </row>
    <row r="103" spans="1:38" ht="92.4">
      <c r="A103" s="51">
        <v>95</v>
      </c>
      <c r="B103" s="51" t="str">
        <f t="shared" si="1"/>
        <v>005F</v>
      </c>
      <c r="C103" s="94" t="s">
        <v>108</v>
      </c>
      <c r="D103" s="55" t="s">
        <v>232</v>
      </c>
      <c r="E103" s="282" t="s">
        <v>1233</v>
      </c>
      <c r="F103" s="178" t="s">
        <v>1044</v>
      </c>
      <c r="G103" s="178" t="s">
        <v>345</v>
      </c>
      <c r="H103" s="166" t="s">
        <v>638</v>
      </c>
      <c r="I103" s="79" t="s">
        <v>815</v>
      </c>
      <c r="J103" s="127" t="s">
        <v>0</v>
      </c>
      <c r="K103" s="127" t="s">
        <v>452</v>
      </c>
      <c r="L103" s="158" t="s">
        <v>1271</v>
      </c>
      <c r="M103" s="55" t="s">
        <v>257</v>
      </c>
      <c r="N103" s="282" t="s">
        <v>1215</v>
      </c>
      <c r="O103" s="238" t="s">
        <v>97</v>
      </c>
      <c r="P103"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103" s="79" t="s">
        <v>20</v>
      </c>
      <c r="R103" s="67" t="s">
        <v>59</v>
      </c>
      <c r="S103" s="157" t="s">
        <v>10</v>
      </c>
      <c r="T103" s="94" t="s">
        <v>449</v>
      </c>
      <c r="U103" s="159" t="s">
        <v>816</v>
      </c>
      <c r="V103" s="173" t="s">
        <v>609</v>
      </c>
      <c r="W103" s="129" t="s">
        <v>447</v>
      </c>
      <c r="X103" s="64" t="s">
        <v>521</v>
      </c>
      <c r="Y103" s="282" t="s">
        <v>1286</v>
      </c>
      <c r="Z103" s="282" t="s">
        <v>1592</v>
      </c>
      <c r="AA103" s="96"/>
      <c r="AB103" s="105" t="s">
        <v>259</v>
      </c>
      <c r="AC103" s="233" t="s">
        <v>706</v>
      </c>
      <c r="AD103" s="72" t="s">
        <v>808</v>
      </c>
      <c r="AE103" s="302"/>
      <c r="AF103" s="67"/>
      <c r="AG103" s="67"/>
      <c r="AH103" s="72" t="s">
        <v>705</v>
      </c>
      <c r="AI103" s="24"/>
      <c r="AJ103" s="24"/>
      <c r="AK103" s="24"/>
      <c r="AL103" s="24"/>
    </row>
    <row r="104" spans="1:38" ht="26.4">
      <c r="A104" s="82">
        <v>96</v>
      </c>
      <c r="B104" s="82" t="str">
        <f t="shared" si="1"/>
        <v>0060</v>
      </c>
      <c r="C104" s="87" t="s">
        <v>224</v>
      </c>
      <c r="D104" s="86" t="s">
        <v>204</v>
      </c>
      <c r="E104" s="313" t="s">
        <v>1233</v>
      </c>
      <c r="F104" s="177" t="s">
        <v>1046</v>
      </c>
      <c r="G104" s="177" t="s">
        <v>344</v>
      </c>
      <c r="H104" s="86" t="s">
        <v>637</v>
      </c>
      <c r="I104" s="147" t="s">
        <v>4</v>
      </c>
      <c r="J104" s="85" t="s">
        <v>0</v>
      </c>
      <c r="K104" s="85" t="s">
        <v>451</v>
      </c>
      <c r="L104" s="95" t="s">
        <v>1271</v>
      </c>
      <c r="M104" s="85" t="s">
        <v>255</v>
      </c>
      <c r="N104" s="281" t="s">
        <v>1215</v>
      </c>
      <c r="O104" s="85" t="s">
        <v>53</v>
      </c>
      <c r="P104" s="87" t="str">
        <f ca="1">IF(AND(OR(INDIRECT("K" &amp; ROW())="NAV-Premium",INDIRECT("K" &amp; ROW())="DA-Premium"),INDIRECT("M" &amp; ROW())="PARTITION_SCHEMA128__NavPiviJpn", INDIRECT("O" &amp; ROW())="JPN_SDB"),'SDB vs GN'!$B$41, IF(INDIRECT("H" &amp; ROW())="Chenc",'SDB vs GN'!$B$40, VLOOKUP(INDIRECT("O" &amp; ROW()),'SDB vs GN'!$A$16:$B$38,2,FALSE)))</f>
        <v>No_Gracenote</v>
      </c>
      <c r="Q104" s="99" t="s">
        <v>20</v>
      </c>
      <c r="R104" s="89" t="s">
        <v>59</v>
      </c>
      <c r="S104" s="89" t="s">
        <v>10</v>
      </c>
      <c r="T104" s="87" t="s">
        <v>449</v>
      </c>
      <c r="U104" s="139" t="s">
        <v>816</v>
      </c>
      <c r="V104" s="148" t="s">
        <v>7</v>
      </c>
      <c r="W104" s="140" t="s">
        <v>2184</v>
      </c>
      <c r="X104" s="87" t="s">
        <v>521</v>
      </c>
      <c r="Y104" s="281" t="s">
        <v>1286</v>
      </c>
      <c r="Z104" s="281" t="s">
        <v>1592</v>
      </c>
      <c r="AA104" s="96"/>
      <c r="AB104" s="91"/>
      <c r="AC104" s="223" t="s">
        <v>300</v>
      </c>
      <c r="AD104" s="193" t="s">
        <v>807</v>
      </c>
      <c r="AE104" s="242"/>
      <c r="AF104" s="242"/>
      <c r="AG104" s="242"/>
      <c r="AH104" s="245" t="s">
        <v>226</v>
      </c>
    </row>
    <row r="105" spans="1:38" ht="79.2">
      <c r="A105" s="51">
        <v>96</v>
      </c>
      <c r="B105" s="51" t="str">
        <f t="shared" si="1"/>
        <v>0060</v>
      </c>
      <c r="C105" s="145" t="s">
        <v>404</v>
      </c>
      <c r="D105" s="141" t="s">
        <v>230</v>
      </c>
      <c r="E105" s="322" t="s">
        <v>1233</v>
      </c>
      <c r="F105" s="177" t="s">
        <v>1046</v>
      </c>
      <c r="G105" s="177" t="s">
        <v>344</v>
      </c>
      <c r="H105" s="55" t="s">
        <v>637</v>
      </c>
      <c r="I105" s="149" t="s">
        <v>4</v>
      </c>
      <c r="J105" s="142" t="s">
        <v>0</v>
      </c>
      <c r="K105" s="142" t="s">
        <v>451</v>
      </c>
      <c r="L105" s="144" t="s">
        <v>1271</v>
      </c>
      <c r="M105" s="54" t="s">
        <v>255</v>
      </c>
      <c r="N105" s="279" t="s">
        <v>1215</v>
      </c>
      <c r="O105" s="238" t="s">
        <v>53</v>
      </c>
      <c r="P105" s="64" t="str">
        <f ca="1">IF(AND(OR(INDIRECT("K" &amp; ROW())="NAV-Premium",INDIRECT("K" &amp; ROW())="DA-Premium"),INDIRECT("M" &amp; ROW())="PARTITION_SCHEMA128__NavPiviJpn", INDIRECT("O" &amp; ROW())="JPN_SDB"),'SDB vs GN'!$B$41, IF(INDIRECT("H" &amp; ROW())="Chenc",'SDB vs GN'!$B$40, VLOOKUP(INDIRECT("O" &amp; ROW()),'SDB vs GN'!$A$16:$B$38,2,FALSE)))</f>
        <v>No_Gracenote</v>
      </c>
      <c r="Q105" s="132" t="s">
        <v>20</v>
      </c>
      <c r="R105" s="150" t="s">
        <v>59</v>
      </c>
      <c r="S105" s="111" t="s">
        <v>10</v>
      </c>
      <c r="T105" s="141" t="s">
        <v>449</v>
      </c>
      <c r="U105" s="136" t="s">
        <v>816</v>
      </c>
      <c r="V105" s="101" t="s">
        <v>7</v>
      </c>
      <c r="W105" s="146" t="s">
        <v>2184</v>
      </c>
      <c r="X105" s="64" t="s">
        <v>521</v>
      </c>
      <c r="Y105" s="282" t="s">
        <v>1286</v>
      </c>
      <c r="Z105" s="282" t="s">
        <v>1592</v>
      </c>
      <c r="AA105" s="96"/>
      <c r="AB105" s="105" t="s">
        <v>260</v>
      </c>
      <c r="AC105" s="228" t="s">
        <v>520</v>
      </c>
      <c r="AD105" s="72" t="s">
        <v>808</v>
      </c>
      <c r="AE105" s="302"/>
      <c r="AF105" s="67"/>
      <c r="AG105" s="67"/>
      <c r="AH105" s="133" t="s">
        <v>405</v>
      </c>
      <c r="AI105" s="24"/>
      <c r="AJ105" s="24"/>
      <c r="AK105" s="24"/>
      <c r="AL105" s="24"/>
    </row>
    <row r="106" spans="1:38" ht="39.6">
      <c r="A106" s="51">
        <v>97</v>
      </c>
      <c r="B106" s="81" t="str">
        <f t="shared" si="1"/>
        <v>0061</v>
      </c>
      <c r="C106" s="58" t="s">
        <v>216</v>
      </c>
      <c r="D106" s="54" t="s">
        <v>187</v>
      </c>
      <c r="E106" s="279" t="s">
        <v>1233</v>
      </c>
      <c r="F106" s="178" t="s">
        <v>1044</v>
      </c>
      <c r="G106" s="178" t="s">
        <v>345</v>
      </c>
      <c r="H106" s="55" t="s">
        <v>637</v>
      </c>
      <c r="I106" s="116" t="s">
        <v>815</v>
      </c>
      <c r="J106" s="54" t="s">
        <v>0</v>
      </c>
      <c r="K106" s="116" t="s">
        <v>453</v>
      </c>
      <c r="L106" s="77" t="s">
        <v>1271</v>
      </c>
      <c r="M106" s="54" t="s">
        <v>257</v>
      </c>
      <c r="N106" s="279" t="s">
        <v>1215</v>
      </c>
      <c r="O106" s="238" t="s">
        <v>84</v>
      </c>
      <c r="P106" s="64" t="str">
        <f ca="1">IF(AND(OR(INDIRECT("K" &amp; ROW())="NAV-Premium",INDIRECT("K" &amp; ROW())="DA-Premium"),INDIRECT("M" &amp; ROW())="PARTITION_SCHEMA128__NavPiviJpn", INDIRECT("O" &amp; ROW())="JPN_SDB"),'SDB vs GN'!$B$41, IF(INDIRECT("H" &amp; ROW())="Chenc",'SDB vs GN'!$B$40, VLOOKUP(INDIRECT("O" &amp; ROW()),'SDB vs GN'!$A$16:$B$38,2,FALSE)))</f>
        <v>727_NAM</v>
      </c>
      <c r="Q106" s="58" t="s">
        <v>20</v>
      </c>
      <c r="R106" s="110" t="s">
        <v>60</v>
      </c>
      <c r="S106" s="111" t="s">
        <v>10</v>
      </c>
      <c r="T106" s="58" t="s">
        <v>450</v>
      </c>
      <c r="U106" s="62" t="s">
        <v>816</v>
      </c>
      <c r="V106" s="173" t="s">
        <v>610</v>
      </c>
      <c r="W106" s="124" t="s">
        <v>447</v>
      </c>
      <c r="X106" s="64" t="s">
        <v>521</v>
      </c>
      <c r="Y106" s="282" t="s">
        <v>1286</v>
      </c>
      <c r="Z106" s="282" t="s">
        <v>1592</v>
      </c>
      <c r="AA106" s="37"/>
      <c r="AB106" s="37">
        <v>434</v>
      </c>
      <c r="AC106" s="215" t="s">
        <v>465</v>
      </c>
      <c r="AD106" s="72" t="s">
        <v>808</v>
      </c>
      <c r="AE106" s="302"/>
      <c r="AF106" s="67"/>
      <c r="AG106" s="67"/>
      <c r="AH106" s="72" t="s">
        <v>466</v>
      </c>
      <c r="AI106" s="24"/>
      <c r="AJ106" s="24"/>
      <c r="AK106" s="24"/>
      <c r="AL106" s="24"/>
    </row>
    <row r="107" spans="1:38" ht="39.6">
      <c r="A107" s="51">
        <v>98</v>
      </c>
      <c r="B107" s="81" t="str">
        <f t="shared" si="1"/>
        <v>0062</v>
      </c>
      <c r="C107" s="58" t="s">
        <v>222</v>
      </c>
      <c r="D107" s="116" t="s">
        <v>104</v>
      </c>
      <c r="E107" s="319" t="s">
        <v>1233</v>
      </c>
      <c r="F107" s="169" t="s">
        <v>1048</v>
      </c>
      <c r="G107" s="169" t="s">
        <v>347</v>
      </c>
      <c r="H107" s="55" t="s">
        <v>637</v>
      </c>
      <c r="I107" s="116" t="s">
        <v>815</v>
      </c>
      <c r="J107" s="54" t="s">
        <v>1</v>
      </c>
      <c r="K107" s="79" t="s">
        <v>748</v>
      </c>
      <c r="L107" s="116" t="s">
        <v>500</v>
      </c>
      <c r="M107" s="55" t="s">
        <v>1617</v>
      </c>
      <c r="N107" s="282" t="s">
        <v>1215</v>
      </c>
      <c r="O107" s="238" t="s">
        <v>54</v>
      </c>
      <c r="P107" s="64" t="str">
        <f ca="1">IF(AND(OR(INDIRECT("K" &amp; ROW())="NAV-Premium",INDIRECT("K" &amp; ROW())="DA-Premium"),INDIRECT("M" &amp; ROW())="PARTITION_SCHEMA128__NavPiviJpn", INDIRECT("O" &amp; ROW())="JPN_SDB"),'SDB vs GN'!$B$41, IF(INDIRECT("H" &amp; ROW())="Chenc",'SDB vs GN'!$B$40, VLOOKUP(INDIRECT("O" &amp; ROW()),'SDB vs GN'!$A$16:$B$38,2,FALSE)))</f>
        <v>731_EUR</v>
      </c>
      <c r="Q107" s="58" t="s">
        <v>20</v>
      </c>
      <c r="R107" s="123" t="s">
        <v>61</v>
      </c>
      <c r="S107" s="111" t="s">
        <v>10</v>
      </c>
      <c r="T107" s="116" t="s">
        <v>449</v>
      </c>
      <c r="U107" s="62" t="s">
        <v>816</v>
      </c>
      <c r="V107" s="172" t="s">
        <v>528</v>
      </c>
      <c r="W107" s="124" t="s">
        <v>447</v>
      </c>
      <c r="X107" s="64" t="s">
        <v>521</v>
      </c>
      <c r="Y107" s="282" t="s">
        <v>1286</v>
      </c>
      <c r="Z107" s="282" t="s">
        <v>1592</v>
      </c>
      <c r="AA107" s="37"/>
      <c r="AB107" s="131" t="s">
        <v>225</v>
      </c>
      <c r="AC107" s="215" t="s">
        <v>215</v>
      </c>
      <c r="AD107" s="72" t="s">
        <v>808</v>
      </c>
      <c r="AE107" s="302"/>
      <c r="AF107" s="67"/>
      <c r="AG107" s="67"/>
      <c r="AH107" s="97" t="s">
        <v>756</v>
      </c>
      <c r="AI107" s="24"/>
      <c r="AJ107" s="24"/>
      <c r="AK107" s="24"/>
      <c r="AL107" s="24"/>
    </row>
    <row r="108" spans="1:38" ht="224.4">
      <c r="A108" s="51">
        <v>99</v>
      </c>
      <c r="B108" s="81" t="str">
        <f t="shared" si="1"/>
        <v>0063</v>
      </c>
      <c r="C108" s="94" t="s">
        <v>498</v>
      </c>
      <c r="D108" s="55" t="s">
        <v>232</v>
      </c>
      <c r="E108" s="282" t="s">
        <v>1233</v>
      </c>
      <c r="F108" s="178" t="s">
        <v>1044</v>
      </c>
      <c r="G108" s="178" t="s">
        <v>345</v>
      </c>
      <c r="H108" s="55" t="s">
        <v>637</v>
      </c>
      <c r="I108" s="79" t="s">
        <v>815</v>
      </c>
      <c r="J108" s="55" t="s">
        <v>0</v>
      </c>
      <c r="K108" s="127" t="s">
        <v>452</v>
      </c>
      <c r="L108" s="100" t="s">
        <v>1271</v>
      </c>
      <c r="M108" s="55" t="s">
        <v>257</v>
      </c>
      <c r="N108" s="282" t="s">
        <v>1215</v>
      </c>
      <c r="O108" s="238" t="s">
        <v>84</v>
      </c>
      <c r="P108" s="64" t="str">
        <f ca="1">IF(AND(OR(INDIRECT("K" &amp; ROW())="NAV-Premium",INDIRECT("K" &amp; ROW())="DA-Premium"),INDIRECT("M" &amp; ROW())="PARTITION_SCHEMA128__NavPiviJpn", INDIRECT("O" &amp; ROW())="JPN_SDB"),'SDB vs GN'!$B$41, IF(INDIRECT("H" &amp; ROW())="Chenc",'SDB vs GN'!$B$40, VLOOKUP(INDIRECT("O" &amp; ROW()),'SDB vs GN'!$A$16:$B$38,2,FALSE)))</f>
        <v>727_NAM</v>
      </c>
      <c r="Q108" s="79" t="s">
        <v>20</v>
      </c>
      <c r="R108" s="67" t="s">
        <v>59</v>
      </c>
      <c r="S108" s="103" t="s">
        <v>10</v>
      </c>
      <c r="T108" s="64" t="s">
        <v>450</v>
      </c>
      <c r="U108" s="159" t="s">
        <v>816</v>
      </c>
      <c r="V108" s="173" t="s">
        <v>608</v>
      </c>
      <c r="W108" s="129" t="s">
        <v>447</v>
      </c>
      <c r="X108" s="64" t="s">
        <v>521</v>
      </c>
      <c r="Y108" s="282" t="s">
        <v>1286</v>
      </c>
      <c r="Z108" s="282" t="s">
        <v>1592</v>
      </c>
      <c r="AA108" s="37"/>
      <c r="AB108" s="131" t="s">
        <v>225</v>
      </c>
      <c r="AC108" s="229" t="s">
        <v>2313</v>
      </c>
      <c r="AD108" s="72" t="s">
        <v>808</v>
      </c>
      <c r="AE108" s="302"/>
      <c r="AF108" s="67"/>
      <c r="AG108" s="67"/>
      <c r="AH108" s="97" t="s">
        <v>2353</v>
      </c>
      <c r="AI108" s="24"/>
      <c r="AJ108" s="24"/>
      <c r="AK108" s="24"/>
      <c r="AL108" s="24"/>
    </row>
    <row r="109" spans="1:38" ht="39.6">
      <c r="A109" s="51">
        <v>100</v>
      </c>
      <c r="B109" s="81" t="str">
        <f t="shared" si="1"/>
        <v>0064</v>
      </c>
      <c r="C109" s="53" t="s">
        <v>498</v>
      </c>
      <c r="D109" s="54" t="s">
        <v>232</v>
      </c>
      <c r="E109" s="279" t="s">
        <v>1233</v>
      </c>
      <c r="F109" s="178" t="s">
        <v>1044</v>
      </c>
      <c r="G109" s="178" t="s">
        <v>345</v>
      </c>
      <c r="H109" s="55" t="s">
        <v>637</v>
      </c>
      <c r="I109" s="116" t="s">
        <v>815</v>
      </c>
      <c r="J109" s="54" t="s">
        <v>0</v>
      </c>
      <c r="K109" s="117" t="s">
        <v>452</v>
      </c>
      <c r="L109" s="77" t="s">
        <v>1271</v>
      </c>
      <c r="M109" s="54" t="s">
        <v>257</v>
      </c>
      <c r="N109" s="279" t="s">
        <v>1215</v>
      </c>
      <c r="O109" s="238" t="s">
        <v>84</v>
      </c>
      <c r="P109" s="64" t="str">
        <f ca="1">IF(AND(OR(INDIRECT("K" &amp; ROW())="NAV-Premium",INDIRECT("K" &amp; ROW())="DA-Premium"),INDIRECT("M" &amp; ROW())="PARTITION_SCHEMA128__NavPiviJpn", INDIRECT("O" &amp; ROW())="JPN_SDB"),'SDB vs GN'!$B$41, IF(INDIRECT("H" &amp; ROW())="Chenc",'SDB vs GN'!$B$40, VLOOKUP(INDIRECT("O" &amp; ROW()),'SDB vs GN'!$A$16:$B$38,2,FALSE)))</f>
        <v>727_NAM</v>
      </c>
      <c r="Q109" s="116" t="s">
        <v>20</v>
      </c>
      <c r="R109" s="66" t="s">
        <v>59</v>
      </c>
      <c r="S109" s="111" t="s">
        <v>10</v>
      </c>
      <c r="T109" s="58" t="s">
        <v>450</v>
      </c>
      <c r="U109" s="136" t="s">
        <v>816</v>
      </c>
      <c r="V109" s="173" t="s">
        <v>608</v>
      </c>
      <c r="W109" s="124" t="s">
        <v>447</v>
      </c>
      <c r="X109" s="64" t="s">
        <v>521</v>
      </c>
      <c r="Y109" s="282" t="s">
        <v>1286</v>
      </c>
      <c r="Z109" s="282" t="s">
        <v>1592</v>
      </c>
      <c r="AA109" s="37"/>
      <c r="AB109" s="131" t="s">
        <v>225</v>
      </c>
      <c r="AC109" s="230" t="s">
        <v>221</v>
      </c>
      <c r="AD109" s="72" t="s">
        <v>808</v>
      </c>
      <c r="AE109" s="302"/>
      <c r="AF109" s="67"/>
      <c r="AG109" s="67"/>
      <c r="AH109" s="73" t="s">
        <v>457</v>
      </c>
      <c r="AI109" s="24"/>
      <c r="AJ109" s="24"/>
      <c r="AK109" s="24"/>
      <c r="AL109" s="24"/>
    </row>
    <row r="110" spans="1:38" ht="52.8">
      <c r="A110" s="51">
        <v>101</v>
      </c>
      <c r="B110" s="81" t="str">
        <f t="shared" si="1"/>
        <v>0065</v>
      </c>
      <c r="C110" s="112" t="s">
        <v>425</v>
      </c>
      <c r="D110" s="55" t="s">
        <v>232</v>
      </c>
      <c r="E110" s="282" t="s">
        <v>1233</v>
      </c>
      <c r="F110" s="178" t="s">
        <v>1044</v>
      </c>
      <c r="G110" s="178" t="s">
        <v>345</v>
      </c>
      <c r="H110" s="55" t="s">
        <v>637</v>
      </c>
      <c r="I110" s="94" t="s">
        <v>815</v>
      </c>
      <c r="J110" s="112" t="s">
        <v>0</v>
      </c>
      <c r="K110" s="55" t="s">
        <v>452</v>
      </c>
      <c r="L110" s="100" t="s">
        <v>1271</v>
      </c>
      <c r="M110" s="55" t="s">
        <v>257</v>
      </c>
      <c r="N110" s="282" t="s">
        <v>1215</v>
      </c>
      <c r="O110" s="238" t="s">
        <v>84</v>
      </c>
      <c r="P110" s="64" t="str">
        <f ca="1">IF(AND(OR(INDIRECT("K" &amp; ROW())="NAV-Premium",INDIRECT("K" &amp; ROW())="DA-Premium"),INDIRECT("M" &amp; ROW())="PARTITION_SCHEMA128__NavPiviJpn", INDIRECT("O" &amp; ROW())="JPN_SDB"),'SDB vs GN'!$B$41, IF(INDIRECT("H" &amp; ROW())="Chenc",'SDB vs GN'!$B$40, VLOOKUP(INDIRECT("O" &amp; ROW()),'SDB vs GN'!$A$16:$B$38,2,FALSE)))</f>
        <v>727_NAM</v>
      </c>
      <c r="Q110" s="64" t="s">
        <v>20</v>
      </c>
      <c r="R110" s="64" t="s">
        <v>60</v>
      </c>
      <c r="S110" s="103" t="s">
        <v>10</v>
      </c>
      <c r="T110" s="64" t="s">
        <v>449</v>
      </c>
      <c r="U110" s="104" t="s">
        <v>816</v>
      </c>
      <c r="V110" s="173" t="s">
        <v>1128</v>
      </c>
      <c r="W110" s="76" t="s">
        <v>447</v>
      </c>
      <c r="X110" s="64" t="s">
        <v>521</v>
      </c>
      <c r="Y110" s="282" t="s">
        <v>1286</v>
      </c>
      <c r="Z110" s="282" t="s">
        <v>1592</v>
      </c>
      <c r="AA110" s="37"/>
      <c r="AB110" s="131" t="s">
        <v>225</v>
      </c>
      <c r="AC110" s="229" t="s">
        <v>503</v>
      </c>
      <c r="AD110" s="72" t="s">
        <v>808</v>
      </c>
      <c r="AE110" s="302"/>
      <c r="AF110" s="67"/>
      <c r="AG110" s="67"/>
      <c r="AH110" s="72" t="s">
        <v>504</v>
      </c>
      <c r="AI110" s="24"/>
      <c r="AJ110" s="24"/>
      <c r="AK110" s="24"/>
      <c r="AL110" s="24"/>
    </row>
    <row r="111" spans="1:38" ht="92.4">
      <c r="A111" s="51">
        <v>102</v>
      </c>
      <c r="B111" s="81" t="str">
        <f t="shared" si="1"/>
        <v>0066</v>
      </c>
      <c r="C111" s="71" t="s">
        <v>431</v>
      </c>
      <c r="D111" s="142" t="s">
        <v>232</v>
      </c>
      <c r="E111" s="321" t="s">
        <v>1233</v>
      </c>
      <c r="F111" s="178" t="s">
        <v>1044</v>
      </c>
      <c r="G111" s="178" t="s">
        <v>345</v>
      </c>
      <c r="H111" s="55" t="s">
        <v>637</v>
      </c>
      <c r="I111" s="141" t="s">
        <v>815</v>
      </c>
      <c r="J111" s="151" t="s">
        <v>0</v>
      </c>
      <c r="K111" s="142" t="s">
        <v>452</v>
      </c>
      <c r="L111" s="144" t="s">
        <v>1271</v>
      </c>
      <c r="M111" s="54" t="s">
        <v>254</v>
      </c>
      <c r="N111" s="279" t="s">
        <v>1215</v>
      </c>
      <c r="O111" s="238" t="s">
        <v>126</v>
      </c>
      <c r="P111" s="64" t="str">
        <f ca="1">IF(AND(OR(INDIRECT("K" &amp; ROW())="NAV-Premium",INDIRECT("K" &amp; ROW())="DA-Premium"),INDIRECT("M" &amp; ROW())="PARTITION_SCHEMA128__NavPiviJpn", INDIRECT("O" &amp; ROW())="JPN_SDB"),'SDB vs GN'!$B$41, IF(INDIRECT("H" &amp; ROW())="Chenc",'SDB vs GN'!$B$40, VLOOKUP(INDIRECT("O" &amp; ROW()),'SDB vs GN'!$A$16:$B$38,2,FALSE)))</f>
        <v>735_LA</v>
      </c>
      <c r="Q111" s="145" t="s">
        <v>20</v>
      </c>
      <c r="R111" s="150" t="s">
        <v>59</v>
      </c>
      <c r="S111" s="111" t="s">
        <v>10</v>
      </c>
      <c r="T111" s="145" t="s">
        <v>449</v>
      </c>
      <c r="U111" s="62" t="s">
        <v>816</v>
      </c>
      <c r="V111" s="173" t="s">
        <v>613</v>
      </c>
      <c r="W111" s="152" t="s">
        <v>447</v>
      </c>
      <c r="X111" s="64" t="s">
        <v>521</v>
      </c>
      <c r="Y111" s="282" t="s">
        <v>1286</v>
      </c>
      <c r="Z111" s="282" t="s">
        <v>1592</v>
      </c>
      <c r="AA111" s="37"/>
      <c r="AB111" s="131" t="s">
        <v>225</v>
      </c>
      <c r="AC111" s="229" t="s">
        <v>496</v>
      </c>
      <c r="AD111" s="72" t="s">
        <v>808</v>
      </c>
      <c r="AE111" s="302"/>
      <c r="AF111" s="67"/>
      <c r="AG111" s="67"/>
      <c r="AH111" s="72" t="s">
        <v>497</v>
      </c>
      <c r="AI111" s="24"/>
      <c r="AJ111" s="24"/>
      <c r="AK111" s="24"/>
      <c r="AL111" s="24"/>
    </row>
    <row r="112" spans="1:38" ht="132">
      <c r="A112" s="51">
        <v>103</v>
      </c>
      <c r="B112" s="81" t="str">
        <f t="shared" si="1"/>
        <v>0067</v>
      </c>
      <c r="C112" s="112" t="s">
        <v>436</v>
      </c>
      <c r="D112" s="55" t="s">
        <v>232</v>
      </c>
      <c r="E112" s="282" t="s">
        <v>1233</v>
      </c>
      <c r="F112" s="178" t="s">
        <v>1044</v>
      </c>
      <c r="G112" s="178" t="s">
        <v>345</v>
      </c>
      <c r="H112" s="55" t="s">
        <v>637</v>
      </c>
      <c r="I112" s="94" t="s">
        <v>815</v>
      </c>
      <c r="J112" s="112" t="s">
        <v>0</v>
      </c>
      <c r="K112" s="55" t="s">
        <v>452</v>
      </c>
      <c r="L112" s="100" t="s">
        <v>1271</v>
      </c>
      <c r="M112" s="55" t="s">
        <v>257</v>
      </c>
      <c r="N112" s="282" t="s">
        <v>1215</v>
      </c>
      <c r="O112" s="238" t="s">
        <v>84</v>
      </c>
      <c r="P112" s="64" t="str">
        <f ca="1">IF(AND(OR(INDIRECT("K" &amp; ROW())="NAV-Premium",INDIRECT("K" &amp; ROW())="DA-Premium"),INDIRECT("M" &amp; ROW())="PARTITION_SCHEMA128__NavPiviJpn", INDIRECT("O" &amp; ROW())="JPN_SDB"),'SDB vs GN'!$B$41, IF(INDIRECT("H" &amp; ROW())="Chenc",'SDB vs GN'!$B$40, VLOOKUP(INDIRECT("O" &amp; ROW()),'SDB vs GN'!$A$16:$B$38,2,FALSE)))</f>
        <v>727_NAM</v>
      </c>
      <c r="Q112" s="64" t="s">
        <v>20</v>
      </c>
      <c r="R112" s="64" t="s">
        <v>60</v>
      </c>
      <c r="S112" s="103" t="s">
        <v>10</v>
      </c>
      <c r="T112" s="64" t="s">
        <v>450</v>
      </c>
      <c r="U112" s="104" t="s">
        <v>816</v>
      </c>
      <c r="V112" s="173" t="s">
        <v>608</v>
      </c>
      <c r="W112" s="76" t="s">
        <v>447</v>
      </c>
      <c r="X112" s="64" t="s">
        <v>521</v>
      </c>
      <c r="Y112" s="282" t="s">
        <v>1286</v>
      </c>
      <c r="Z112" s="282" t="s">
        <v>1592</v>
      </c>
      <c r="AA112" s="96"/>
      <c r="AB112" s="131" t="s">
        <v>225</v>
      </c>
      <c r="AC112" s="229" t="s">
        <v>788</v>
      </c>
      <c r="AD112" s="72" t="s">
        <v>808</v>
      </c>
      <c r="AE112" s="302"/>
      <c r="AF112" s="67"/>
      <c r="AG112" s="67"/>
      <c r="AH112" s="72" t="s">
        <v>1107</v>
      </c>
      <c r="AI112" s="24"/>
      <c r="AJ112" s="24"/>
      <c r="AK112" s="24"/>
      <c r="AL112" s="24"/>
    </row>
    <row r="113" spans="1:38" ht="409.6">
      <c r="A113" s="51">
        <v>104</v>
      </c>
      <c r="B113" s="81" t="str">
        <f t="shared" si="1"/>
        <v>0068</v>
      </c>
      <c r="C113" s="64" t="s">
        <v>1418</v>
      </c>
      <c r="D113" s="94" t="s">
        <v>136</v>
      </c>
      <c r="E113" s="314" t="s">
        <v>1233</v>
      </c>
      <c r="F113" s="177" t="s">
        <v>1046</v>
      </c>
      <c r="G113" s="177" t="s">
        <v>344</v>
      </c>
      <c r="H113" s="55" t="s">
        <v>637</v>
      </c>
      <c r="I113" s="158" t="s">
        <v>4</v>
      </c>
      <c r="J113" s="55" t="s">
        <v>0</v>
      </c>
      <c r="K113" s="55" t="s">
        <v>451</v>
      </c>
      <c r="L113" s="100" t="s">
        <v>1271</v>
      </c>
      <c r="M113" s="55" t="s">
        <v>255</v>
      </c>
      <c r="N113" s="282" t="s">
        <v>1215</v>
      </c>
      <c r="O113" s="238" t="s">
        <v>84</v>
      </c>
      <c r="P113" s="64" t="str">
        <f ca="1">IF(AND(OR(INDIRECT("K" &amp; ROW())="NAV-Premium",INDIRECT("K" &amp; ROW())="DA-Premium"),INDIRECT("M" &amp; ROW())="PARTITION_SCHEMA128__NavPiviJpn", INDIRECT("O" &amp; ROW())="JPN_SDB"),'SDB vs GN'!$B$41, IF(INDIRECT("H" &amp; ROW())="Chenc",'SDB vs GN'!$B$40, VLOOKUP(INDIRECT("O" &amp; ROW()),'SDB vs GN'!$A$16:$B$38,2,FALSE)))</f>
        <v>727_NAM</v>
      </c>
      <c r="Q113" s="79" t="s">
        <v>20</v>
      </c>
      <c r="R113" s="67" t="s">
        <v>59</v>
      </c>
      <c r="S113" s="103" t="s">
        <v>10</v>
      </c>
      <c r="T113" s="64" t="s">
        <v>450</v>
      </c>
      <c r="U113" s="159" t="s">
        <v>816</v>
      </c>
      <c r="V113" s="101" t="s">
        <v>7</v>
      </c>
      <c r="W113" s="129" t="s">
        <v>2184</v>
      </c>
      <c r="X113" s="64" t="s">
        <v>521</v>
      </c>
      <c r="Y113" s="282" t="s">
        <v>1286</v>
      </c>
      <c r="Z113" s="282" t="s">
        <v>1592</v>
      </c>
      <c r="AA113" s="96"/>
      <c r="AB113" s="105" t="s">
        <v>225</v>
      </c>
      <c r="AC113" s="229" t="s">
        <v>2311</v>
      </c>
      <c r="AD113" s="72" t="s">
        <v>808</v>
      </c>
      <c r="AE113" s="302"/>
      <c r="AF113" s="67"/>
      <c r="AG113" s="67"/>
      <c r="AH113" s="97" t="s">
        <v>2354</v>
      </c>
      <c r="AI113" s="24"/>
      <c r="AJ113" s="24"/>
      <c r="AK113" s="24"/>
      <c r="AL113" s="24"/>
    </row>
    <row r="114" spans="1:38" ht="409.6">
      <c r="A114" s="51">
        <v>105</v>
      </c>
      <c r="B114" s="81" t="str">
        <f t="shared" si="1"/>
        <v>0069</v>
      </c>
      <c r="C114" s="94" t="s">
        <v>926</v>
      </c>
      <c r="D114" s="94" t="s">
        <v>136</v>
      </c>
      <c r="E114" s="314" t="s">
        <v>1233</v>
      </c>
      <c r="F114" s="177" t="s">
        <v>1046</v>
      </c>
      <c r="G114" s="177" t="s">
        <v>344</v>
      </c>
      <c r="H114" s="55" t="s">
        <v>637</v>
      </c>
      <c r="I114" s="158" t="s">
        <v>4</v>
      </c>
      <c r="J114" s="55" t="s">
        <v>0</v>
      </c>
      <c r="K114" s="79" t="s">
        <v>110</v>
      </c>
      <c r="L114" s="100" t="s">
        <v>1271</v>
      </c>
      <c r="M114" s="55" t="s">
        <v>255</v>
      </c>
      <c r="N114" s="282" t="s">
        <v>1215</v>
      </c>
      <c r="O114" s="238" t="s">
        <v>84</v>
      </c>
      <c r="P114" s="64" t="str">
        <f ca="1">IF(AND(OR(INDIRECT("K" &amp; ROW())="NAV-Premium",INDIRECT("K" &amp; ROW())="DA-Premium"),INDIRECT("M" &amp; ROW())="PARTITION_SCHEMA128__NavPiviJpn", INDIRECT("O" &amp; ROW())="JPN_SDB"),'SDB vs GN'!$B$41, IF(INDIRECT("H" &amp; ROW())="Chenc",'SDB vs GN'!$B$40, VLOOKUP(INDIRECT("O" &amp; ROW()),'SDB vs GN'!$A$16:$B$38,2,FALSE)))</f>
        <v>727_NAM</v>
      </c>
      <c r="Q114" s="79" t="s">
        <v>20</v>
      </c>
      <c r="R114" s="67" t="s">
        <v>59</v>
      </c>
      <c r="S114" s="103" t="s">
        <v>10</v>
      </c>
      <c r="T114" s="64" t="s">
        <v>450</v>
      </c>
      <c r="U114" s="159" t="s">
        <v>816</v>
      </c>
      <c r="V114" s="101" t="s">
        <v>7</v>
      </c>
      <c r="W114" s="129" t="s">
        <v>2184</v>
      </c>
      <c r="X114" s="64" t="s">
        <v>521</v>
      </c>
      <c r="Y114" s="282" t="s">
        <v>1286</v>
      </c>
      <c r="Z114" s="282" t="s">
        <v>1592</v>
      </c>
      <c r="AA114" s="96"/>
      <c r="AB114" s="105" t="s">
        <v>225</v>
      </c>
      <c r="AC114" s="229" t="s">
        <v>2113</v>
      </c>
      <c r="AD114" s="72" t="s">
        <v>808</v>
      </c>
      <c r="AE114" s="302"/>
      <c r="AF114" s="67"/>
      <c r="AG114" s="67"/>
      <c r="AH114" s="72" t="s">
        <v>2355</v>
      </c>
      <c r="AI114" s="24"/>
      <c r="AJ114" s="24"/>
      <c r="AK114" s="24"/>
      <c r="AL114" s="24"/>
    </row>
    <row r="115" spans="1:38" ht="39.6">
      <c r="A115" s="51">
        <v>106</v>
      </c>
      <c r="B115" s="51" t="str">
        <f t="shared" si="1"/>
        <v>006A</v>
      </c>
      <c r="C115" s="71" t="s">
        <v>433</v>
      </c>
      <c r="D115" s="142" t="s">
        <v>232</v>
      </c>
      <c r="E115" s="321" t="s">
        <v>1233</v>
      </c>
      <c r="F115" s="178" t="s">
        <v>1044</v>
      </c>
      <c r="G115" s="178" t="s">
        <v>345</v>
      </c>
      <c r="H115" s="55" t="s">
        <v>637</v>
      </c>
      <c r="I115" s="141" t="s">
        <v>815</v>
      </c>
      <c r="J115" s="142" t="s">
        <v>0</v>
      </c>
      <c r="K115" s="142" t="s">
        <v>452</v>
      </c>
      <c r="L115" s="144" t="s">
        <v>1271</v>
      </c>
      <c r="M115" s="54" t="s">
        <v>254</v>
      </c>
      <c r="N115" s="279" t="s">
        <v>1215</v>
      </c>
      <c r="O115" s="238" t="s">
        <v>97</v>
      </c>
      <c r="P115" s="64" t="str">
        <f ca="1">IF(AND(OR(INDIRECT("K" &amp; ROW())="NAV-Premium",INDIRECT("K" &amp; ROW())="DA-Premium"),INDIRECT("M" &amp; ROW())="PARTITION_SCHEMA128__NavPiviJpn", INDIRECT("O" &amp; ROW())="JPN_SDB"),'SDB vs GN'!$B$41, IF(INDIRECT("H" &amp; ROW())="Chenc",'SDB vs GN'!$B$40, VLOOKUP(INDIRECT("O" &amp; ROW()),'SDB vs GN'!$A$16:$B$38,2,FALSE)))</f>
        <v>734_CN_831_AUSKRJPN</v>
      </c>
      <c r="Q115" s="145" t="s">
        <v>20</v>
      </c>
      <c r="R115" s="150" t="s">
        <v>59</v>
      </c>
      <c r="S115" s="111" t="s">
        <v>10</v>
      </c>
      <c r="T115" s="145" t="s">
        <v>449</v>
      </c>
      <c r="U115" s="62" t="s">
        <v>816</v>
      </c>
      <c r="V115" s="173" t="s">
        <v>601</v>
      </c>
      <c r="W115" s="152" t="s">
        <v>447</v>
      </c>
      <c r="X115" s="64" t="s">
        <v>362</v>
      </c>
      <c r="Y115" s="282" t="s">
        <v>1286</v>
      </c>
      <c r="Z115" s="282" t="s">
        <v>1592</v>
      </c>
      <c r="AA115" s="37"/>
      <c r="AB115" s="134" t="s">
        <v>225</v>
      </c>
      <c r="AC115" s="228" t="s">
        <v>441</v>
      </c>
      <c r="AD115" s="72" t="s">
        <v>808</v>
      </c>
      <c r="AE115" s="302"/>
      <c r="AF115" s="67"/>
      <c r="AG115" s="67"/>
      <c r="AH115" s="72" t="s">
        <v>1231</v>
      </c>
      <c r="AI115" s="24"/>
      <c r="AJ115" s="24"/>
      <c r="AK115" s="24"/>
      <c r="AL115" s="24"/>
    </row>
    <row r="116" spans="1:38">
      <c r="A116" s="51">
        <v>107</v>
      </c>
      <c r="B116" s="51" t="str">
        <f t="shared" si="1"/>
        <v>006B</v>
      </c>
      <c r="C116" s="151" t="s">
        <v>240</v>
      </c>
      <c r="D116" s="142" t="s">
        <v>232</v>
      </c>
      <c r="E116" s="321" t="s">
        <v>1233</v>
      </c>
      <c r="F116" s="178" t="s">
        <v>1044</v>
      </c>
      <c r="G116" s="178" t="s">
        <v>345</v>
      </c>
      <c r="H116" s="55" t="s">
        <v>637</v>
      </c>
      <c r="I116" s="145" t="s">
        <v>815</v>
      </c>
      <c r="J116" s="142" t="s">
        <v>0</v>
      </c>
      <c r="K116" s="142" t="s">
        <v>452</v>
      </c>
      <c r="L116" s="144" t="s">
        <v>1271</v>
      </c>
      <c r="M116" s="54" t="s">
        <v>254</v>
      </c>
      <c r="N116" s="279" t="s">
        <v>1215</v>
      </c>
      <c r="O116" s="238" t="s">
        <v>73</v>
      </c>
      <c r="P116" s="64" t="str">
        <f ca="1">IF(AND(OR(INDIRECT("K" &amp; ROW())="NAV-Premium",INDIRECT("K" &amp; ROW())="DA-Premium"),INDIRECT("M" &amp; ROW())="PARTITION_SCHEMA128__NavPiviJpn", INDIRECT("O" &amp; ROW())="JPN_SDB"),'SDB vs GN'!$B$41, IF(INDIRECT("H" &amp; ROW())="Chenc",'SDB vs GN'!$B$40, VLOOKUP(INDIRECT("O" &amp; ROW()),'SDB vs GN'!$A$16:$B$38,2,FALSE)))</f>
        <v>731_EUR</v>
      </c>
      <c r="Q116" s="145" t="s">
        <v>20</v>
      </c>
      <c r="R116" s="150" t="s">
        <v>59</v>
      </c>
      <c r="S116" s="111" t="s">
        <v>10</v>
      </c>
      <c r="T116" s="145" t="s">
        <v>449</v>
      </c>
      <c r="U116" s="62" t="s">
        <v>816</v>
      </c>
      <c r="V116" s="173" t="s">
        <v>611</v>
      </c>
      <c r="W116" s="152" t="s">
        <v>447</v>
      </c>
      <c r="X116" s="64" t="s">
        <v>521</v>
      </c>
      <c r="Y116" s="282" t="s">
        <v>1286</v>
      </c>
      <c r="Z116" s="282" t="s">
        <v>1592</v>
      </c>
      <c r="AA116" s="96"/>
      <c r="AB116" s="134" t="s">
        <v>225</v>
      </c>
      <c r="AC116" s="228" t="s">
        <v>239</v>
      </c>
      <c r="AD116" s="72" t="s">
        <v>808</v>
      </c>
      <c r="AE116" s="302"/>
      <c r="AF116" s="67"/>
      <c r="AG116" s="67"/>
      <c r="AH116" s="73"/>
      <c r="AI116" s="24"/>
      <c r="AJ116" s="24"/>
      <c r="AK116" s="24"/>
      <c r="AL116" s="24"/>
    </row>
    <row r="117" spans="1:38" ht="39.6">
      <c r="A117" s="51">
        <v>108</v>
      </c>
      <c r="B117" s="51" t="str">
        <f t="shared" si="1"/>
        <v>006C</v>
      </c>
      <c r="C117" s="141" t="s">
        <v>80</v>
      </c>
      <c r="D117" s="142" t="s">
        <v>232</v>
      </c>
      <c r="E117" s="321" t="s">
        <v>1233</v>
      </c>
      <c r="F117" s="178" t="s">
        <v>1044</v>
      </c>
      <c r="G117" s="178" t="s">
        <v>345</v>
      </c>
      <c r="H117" s="55" t="s">
        <v>637</v>
      </c>
      <c r="I117" s="132" t="s">
        <v>815</v>
      </c>
      <c r="J117" s="143" t="s">
        <v>0</v>
      </c>
      <c r="K117" s="143" t="s">
        <v>452</v>
      </c>
      <c r="L117" s="149" t="s">
        <v>1271</v>
      </c>
      <c r="M117" s="54" t="s">
        <v>256</v>
      </c>
      <c r="N117" s="279" t="s">
        <v>1215</v>
      </c>
      <c r="O117" s="238" t="s">
        <v>54</v>
      </c>
      <c r="P117" s="64" t="str">
        <f ca="1">IF(AND(OR(INDIRECT("K" &amp; ROW())="NAV-Premium",INDIRECT("K" &amp; ROW())="DA-Premium"),INDIRECT("M" &amp; ROW())="PARTITION_SCHEMA128__NavPiviJpn", INDIRECT("O" &amp; ROW())="JPN_SDB"),'SDB vs GN'!$B$41, IF(INDIRECT("H" &amp; ROW())="Chenc",'SDB vs GN'!$B$40, VLOOKUP(INDIRECT("O" &amp; ROW()),'SDB vs GN'!$A$16:$B$38,2,FALSE)))</f>
        <v>731_EUR</v>
      </c>
      <c r="Q117" s="132" t="s">
        <v>20</v>
      </c>
      <c r="R117" s="150" t="s">
        <v>61</v>
      </c>
      <c r="S117" s="121" t="s">
        <v>10</v>
      </c>
      <c r="T117" s="141" t="s">
        <v>449</v>
      </c>
      <c r="U117" s="136" t="s">
        <v>816</v>
      </c>
      <c r="V117" s="173" t="s">
        <v>1130</v>
      </c>
      <c r="W117" s="146" t="s">
        <v>447</v>
      </c>
      <c r="X117" s="64" t="s">
        <v>521</v>
      </c>
      <c r="Y117" s="282" t="s">
        <v>1286</v>
      </c>
      <c r="Z117" s="282" t="s">
        <v>1592</v>
      </c>
      <c r="AA117" s="96"/>
      <c r="AB117" s="134" t="s">
        <v>225</v>
      </c>
      <c r="AC117" s="228" t="s">
        <v>691</v>
      </c>
      <c r="AD117" s="72" t="s">
        <v>808</v>
      </c>
      <c r="AE117" s="302"/>
      <c r="AF117" s="67"/>
      <c r="AG117" s="67"/>
      <c r="AH117" s="72" t="s">
        <v>690</v>
      </c>
      <c r="AI117" s="24"/>
      <c r="AJ117" s="24"/>
      <c r="AK117" s="24"/>
      <c r="AL117" s="24"/>
    </row>
    <row r="118" spans="1:38">
      <c r="A118" s="51">
        <v>109</v>
      </c>
      <c r="B118" s="51" t="str">
        <f t="shared" si="1"/>
        <v>006D</v>
      </c>
      <c r="C118" s="132" t="s">
        <v>242</v>
      </c>
      <c r="D118" s="141" t="s">
        <v>230</v>
      </c>
      <c r="E118" s="322" t="s">
        <v>1233</v>
      </c>
      <c r="F118" s="177" t="s">
        <v>1046</v>
      </c>
      <c r="G118" s="177" t="s">
        <v>344</v>
      </c>
      <c r="H118" s="55" t="s">
        <v>637</v>
      </c>
      <c r="I118" s="149" t="s">
        <v>4</v>
      </c>
      <c r="J118" s="143" t="s">
        <v>0</v>
      </c>
      <c r="K118" s="143" t="s">
        <v>451</v>
      </c>
      <c r="L118" s="149" t="s">
        <v>1271</v>
      </c>
      <c r="M118" s="54" t="s">
        <v>255</v>
      </c>
      <c r="N118" s="279" t="s">
        <v>1215</v>
      </c>
      <c r="O118" s="238" t="s">
        <v>53</v>
      </c>
      <c r="P118" s="64" t="str">
        <f ca="1">IF(AND(OR(INDIRECT("K" &amp; ROW())="NAV-Premium",INDIRECT("K" &amp; ROW())="DA-Premium"),INDIRECT("M" &amp; ROW())="PARTITION_SCHEMA128__NavPiviJpn", INDIRECT("O" &amp; ROW())="JPN_SDB"),'SDB vs GN'!$B$41, IF(INDIRECT("H" &amp; ROW())="Chenc",'SDB vs GN'!$B$40, VLOOKUP(INDIRECT("O" &amp; ROW()),'SDB vs GN'!$A$16:$B$38,2,FALSE)))</f>
        <v>No_Gracenote</v>
      </c>
      <c r="Q118" s="132" t="s">
        <v>20</v>
      </c>
      <c r="R118" s="153" t="s">
        <v>61</v>
      </c>
      <c r="S118" s="121" t="s">
        <v>10</v>
      </c>
      <c r="T118" s="132" t="s">
        <v>449</v>
      </c>
      <c r="U118" s="62" t="s">
        <v>816</v>
      </c>
      <c r="V118" s="101" t="s">
        <v>7</v>
      </c>
      <c r="W118" s="146" t="s">
        <v>2184</v>
      </c>
      <c r="X118" s="64" t="s">
        <v>521</v>
      </c>
      <c r="Y118" s="282" t="s">
        <v>1286</v>
      </c>
      <c r="Z118" s="282" t="s">
        <v>1592</v>
      </c>
      <c r="AA118" s="125"/>
      <c r="AB118" s="154" t="s">
        <v>225</v>
      </c>
      <c r="AC118" s="231" t="s">
        <v>241</v>
      </c>
      <c r="AD118" s="72" t="s">
        <v>808</v>
      </c>
      <c r="AE118" s="302"/>
      <c r="AF118" s="67"/>
      <c r="AG118" s="67"/>
      <c r="AH118" s="73"/>
      <c r="AI118" s="24"/>
      <c r="AJ118" s="24"/>
      <c r="AK118" s="24"/>
      <c r="AL118" s="24"/>
    </row>
    <row r="119" spans="1:38">
      <c r="A119" s="51">
        <v>110</v>
      </c>
      <c r="B119" s="51" t="str">
        <f t="shared" si="1"/>
        <v>006E</v>
      </c>
      <c r="C119" s="132" t="s">
        <v>146</v>
      </c>
      <c r="D119" s="141" t="s">
        <v>230</v>
      </c>
      <c r="E119" s="322" t="s">
        <v>1233</v>
      </c>
      <c r="F119" s="177" t="s">
        <v>1046</v>
      </c>
      <c r="G119" s="177" t="s">
        <v>344</v>
      </c>
      <c r="H119" s="55" t="s">
        <v>637</v>
      </c>
      <c r="I119" s="149" t="s">
        <v>4</v>
      </c>
      <c r="J119" s="143" t="s">
        <v>0</v>
      </c>
      <c r="K119" s="143" t="s">
        <v>451</v>
      </c>
      <c r="L119" s="149" t="s">
        <v>1271</v>
      </c>
      <c r="M119" s="54" t="s">
        <v>255</v>
      </c>
      <c r="N119" s="279" t="s">
        <v>1215</v>
      </c>
      <c r="O119" s="238" t="s">
        <v>53</v>
      </c>
      <c r="P119" s="64" t="str">
        <f ca="1">IF(AND(OR(INDIRECT("K" &amp; ROW())="NAV-Premium",INDIRECT("K" &amp; ROW())="DA-Premium"),INDIRECT("M" &amp; ROW())="PARTITION_SCHEMA128__NavPiviJpn", INDIRECT("O" &amp; ROW())="JPN_SDB"),'SDB vs GN'!$B$41, IF(INDIRECT("H" &amp; ROW())="Chenc",'SDB vs GN'!$B$40, VLOOKUP(INDIRECT("O" &amp; ROW()),'SDB vs GN'!$A$16:$B$38,2,FALSE)))</f>
        <v>No_Gracenote</v>
      </c>
      <c r="Q119" s="132" t="s">
        <v>20</v>
      </c>
      <c r="R119" s="150" t="s">
        <v>59</v>
      </c>
      <c r="S119" s="121" t="s">
        <v>10</v>
      </c>
      <c r="T119" s="132" t="s">
        <v>449</v>
      </c>
      <c r="U119" s="62" t="s">
        <v>816</v>
      </c>
      <c r="V119" s="101" t="s">
        <v>7</v>
      </c>
      <c r="W119" s="146" t="s">
        <v>2184</v>
      </c>
      <c r="X119" s="64" t="s">
        <v>521</v>
      </c>
      <c r="Y119" s="282" t="s">
        <v>1286</v>
      </c>
      <c r="Z119" s="282" t="s">
        <v>1592</v>
      </c>
      <c r="AA119" s="125"/>
      <c r="AB119" s="154" t="s">
        <v>225</v>
      </c>
      <c r="AC119" s="231" t="s">
        <v>243</v>
      </c>
      <c r="AD119" s="72" t="s">
        <v>808</v>
      </c>
      <c r="AE119" s="302"/>
      <c r="AF119" s="67"/>
      <c r="AG119" s="67"/>
      <c r="AH119" s="73"/>
      <c r="AI119" s="24"/>
      <c r="AJ119" s="24"/>
      <c r="AK119" s="24"/>
      <c r="AL119" s="24"/>
    </row>
    <row r="120" spans="1:38" s="36" customFormat="1">
      <c r="A120" s="51">
        <v>111</v>
      </c>
      <c r="B120" s="51" t="str">
        <f t="shared" si="1"/>
        <v>006F</v>
      </c>
      <c r="C120" s="170" t="s">
        <v>1461</v>
      </c>
      <c r="D120" s="61" t="s">
        <v>252</v>
      </c>
      <c r="E120" s="323" t="s">
        <v>1233</v>
      </c>
      <c r="F120" s="115" t="s">
        <v>1049</v>
      </c>
      <c r="G120" s="115" t="s">
        <v>346</v>
      </c>
      <c r="H120" s="55" t="s">
        <v>637</v>
      </c>
      <c r="I120" s="155" t="s">
        <v>815</v>
      </c>
      <c r="J120" s="55" t="s">
        <v>0</v>
      </c>
      <c r="K120" s="61" t="s">
        <v>454</v>
      </c>
      <c r="L120" s="100" t="s">
        <v>1317</v>
      </c>
      <c r="M120" s="55" t="s">
        <v>236</v>
      </c>
      <c r="N120" s="282" t="s">
        <v>1215</v>
      </c>
      <c r="O120" s="238" t="s">
        <v>54</v>
      </c>
      <c r="P120" s="64" t="str">
        <f ca="1">IF(AND(OR(INDIRECT("K" &amp; ROW())="NAV-Premium",INDIRECT("K" &amp; ROW())="DA-Premium"),INDIRECT("M" &amp; ROW())="PARTITION_SCHEMA128__NavPiviJpn", INDIRECT("O" &amp; ROW())="JPN_SDB"),'SDB vs GN'!$B$41, IF(INDIRECT("H" &amp; ROW())="Chenc",'SDB vs GN'!$B$40, VLOOKUP(INDIRECT("O" &amp; ROW()),'SDB vs GN'!$A$16:$B$38,2,FALSE)))</f>
        <v>731_EUR</v>
      </c>
      <c r="Q120" s="64" t="s">
        <v>480</v>
      </c>
      <c r="R120" s="64" t="s">
        <v>61</v>
      </c>
      <c r="S120" s="103" t="s">
        <v>10</v>
      </c>
      <c r="T120" s="64" t="s">
        <v>449</v>
      </c>
      <c r="U120" s="104" t="s">
        <v>816</v>
      </c>
      <c r="V120" s="174" t="s">
        <v>598</v>
      </c>
      <c r="W120" s="76" t="s">
        <v>447</v>
      </c>
      <c r="X120" s="64" t="s">
        <v>521</v>
      </c>
      <c r="Y120" s="282" t="s">
        <v>1286</v>
      </c>
      <c r="Z120" s="282" t="s">
        <v>1592</v>
      </c>
      <c r="AA120" s="96"/>
      <c r="AB120" s="131" t="s">
        <v>225</v>
      </c>
      <c r="AC120" s="229" t="s">
        <v>245</v>
      </c>
      <c r="AD120" s="72" t="s">
        <v>888</v>
      </c>
      <c r="AE120" s="302"/>
      <c r="AF120" s="67"/>
      <c r="AG120" s="67"/>
      <c r="AH120" s="73"/>
      <c r="AI120" s="383"/>
      <c r="AJ120" s="383"/>
      <c r="AK120" s="383"/>
    </row>
    <row r="121" spans="1:38" s="36" customFormat="1">
      <c r="A121" s="51">
        <v>112</v>
      </c>
      <c r="B121" s="51" t="str">
        <f t="shared" si="1"/>
        <v>0070</v>
      </c>
      <c r="C121" s="170" t="s">
        <v>1440</v>
      </c>
      <c r="D121" s="61" t="s">
        <v>252</v>
      </c>
      <c r="E121" s="323" t="s">
        <v>1233</v>
      </c>
      <c r="F121" s="115" t="s">
        <v>1049</v>
      </c>
      <c r="G121" s="115" t="s">
        <v>346</v>
      </c>
      <c r="H121" s="55" t="s">
        <v>637</v>
      </c>
      <c r="I121" s="155" t="s">
        <v>815</v>
      </c>
      <c r="J121" s="55" t="s">
        <v>0</v>
      </c>
      <c r="K121" s="61" t="s">
        <v>454</v>
      </c>
      <c r="L121" s="100" t="s">
        <v>1317</v>
      </c>
      <c r="M121" s="55" t="s">
        <v>238</v>
      </c>
      <c r="N121" s="282" t="s">
        <v>1215</v>
      </c>
      <c r="O121" s="238" t="s">
        <v>55</v>
      </c>
      <c r="P121" s="64" t="str">
        <f ca="1">IF(AND(OR(INDIRECT("K" &amp; ROW())="NAV-Premium",INDIRECT("K" &amp; ROW())="DA-Premium"),INDIRECT("M" &amp; ROW())="PARTITION_SCHEMA128__NavPiviJpn", INDIRECT("O" &amp; ROW())="JPN_SDB"),'SDB vs GN'!$B$41, IF(INDIRECT("H" &amp; ROW())="Chenc",'SDB vs GN'!$B$40, VLOOKUP(INDIRECT("O" &amp; ROW()),'SDB vs GN'!$A$16:$B$38,2,FALSE)))</f>
        <v>742_JPN_831_AUSKRJPN_CDDB</v>
      </c>
      <c r="Q121" s="64" t="s">
        <v>480</v>
      </c>
      <c r="R121" s="64" t="s">
        <v>133</v>
      </c>
      <c r="S121" s="103" t="s">
        <v>10</v>
      </c>
      <c r="T121" s="64" t="s">
        <v>449</v>
      </c>
      <c r="U121" s="104" t="s">
        <v>816</v>
      </c>
      <c r="V121" s="173" t="s">
        <v>619</v>
      </c>
      <c r="W121" s="76" t="s">
        <v>447</v>
      </c>
      <c r="X121" s="64" t="s">
        <v>523</v>
      </c>
      <c r="Y121" s="282" t="s">
        <v>1286</v>
      </c>
      <c r="Z121" s="282" t="s">
        <v>1592</v>
      </c>
      <c r="AA121" s="96"/>
      <c r="AB121" s="131" t="s">
        <v>225</v>
      </c>
      <c r="AC121" s="229" t="s">
        <v>246</v>
      </c>
      <c r="AD121" s="72" t="s">
        <v>888</v>
      </c>
      <c r="AE121" s="302"/>
      <c r="AF121" s="67"/>
      <c r="AG121" s="67"/>
      <c r="AH121" s="73"/>
      <c r="AI121" s="383"/>
      <c r="AJ121" s="383"/>
      <c r="AK121" s="383"/>
    </row>
    <row r="122" spans="1:38" s="36" customFormat="1">
      <c r="A122" s="51">
        <v>113</v>
      </c>
      <c r="B122" s="51" t="str">
        <f t="shared" si="1"/>
        <v>0071</v>
      </c>
      <c r="C122" s="170" t="s">
        <v>1466</v>
      </c>
      <c r="D122" s="61" t="s">
        <v>252</v>
      </c>
      <c r="E122" s="323" t="s">
        <v>1233</v>
      </c>
      <c r="F122" s="115" t="s">
        <v>1049</v>
      </c>
      <c r="G122" s="115" t="s">
        <v>346</v>
      </c>
      <c r="H122" s="55" t="s">
        <v>637</v>
      </c>
      <c r="I122" s="155" t="s">
        <v>815</v>
      </c>
      <c r="J122" s="55" t="s">
        <v>0</v>
      </c>
      <c r="K122" s="61" t="s">
        <v>454</v>
      </c>
      <c r="L122" s="100" t="s">
        <v>1317</v>
      </c>
      <c r="M122" s="55" t="s">
        <v>236</v>
      </c>
      <c r="N122" s="282" t="s">
        <v>1215</v>
      </c>
      <c r="O122" s="238" t="s">
        <v>825</v>
      </c>
      <c r="P122" s="64" t="str">
        <f ca="1">IF(AND(OR(INDIRECT("K" &amp; ROW())="NAV-Premium",INDIRECT("K" &amp; ROW())="DA-Premium"),INDIRECT("M" &amp; ROW())="PARTITION_SCHEMA128__NavPiviJpn", INDIRECT("O" &amp; ROW())="JPN_SDB"),'SDB vs GN'!$B$41, IF(INDIRECT("H" &amp; ROW())="Chenc",'SDB vs GN'!$B$40, VLOOKUP(INDIRECT("O" &amp; ROW()),'SDB vs GN'!$A$16:$B$38,2,FALSE)))</f>
        <v>831_AUSKRJPN</v>
      </c>
      <c r="Q122" s="64" t="s">
        <v>480</v>
      </c>
      <c r="R122" s="135" t="s">
        <v>59</v>
      </c>
      <c r="S122" s="103" t="s">
        <v>10</v>
      </c>
      <c r="T122" s="64" t="s">
        <v>449</v>
      </c>
      <c r="U122" s="104" t="s">
        <v>816</v>
      </c>
      <c r="V122" s="174" t="s">
        <v>599</v>
      </c>
      <c r="W122" s="76" t="s">
        <v>447</v>
      </c>
      <c r="X122" s="64" t="s">
        <v>521</v>
      </c>
      <c r="Y122" s="282" t="s">
        <v>1286</v>
      </c>
      <c r="Z122" s="282" t="s">
        <v>1592</v>
      </c>
      <c r="AA122" s="96"/>
      <c r="AB122" s="131" t="s">
        <v>225</v>
      </c>
      <c r="AC122" s="234" t="s">
        <v>247</v>
      </c>
      <c r="AD122" s="72" t="s">
        <v>888</v>
      </c>
      <c r="AE122" s="302"/>
      <c r="AF122" s="67"/>
      <c r="AG122" s="67"/>
      <c r="AH122" s="73"/>
      <c r="AI122" s="383"/>
      <c r="AJ122" s="383"/>
      <c r="AK122" s="383"/>
    </row>
    <row r="123" spans="1:38" s="36" customFormat="1">
      <c r="A123" s="51">
        <v>114</v>
      </c>
      <c r="B123" s="51" t="str">
        <f t="shared" si="1"/>
        <v>0072</v>
      </c>
      <c r="C123" s="170" t="s">
        <v>1459</v>
      </c>
      <c r="D123" s="61" t="s">
        <v>252</v>
      </c>
      <c r="E123" s="323" t="s">
        <v>1233</v>
      </c>
      <c r="F123" s="115" t="s">
        <v>1049</v>
      </c>
      <c r="G123" s="115" t="s">
        <v>346</v>
      </c>
      <c r="H123" s="55" t="s">
        <v>637</v>
      </c>
      <c r="I123" s="155" t="s">
        <v>815</v>
      </c>
      <c r="J123" s="55" t="s">
        <v>0</v>
      </c>
      <c r="K123" s="61" t="s">
        <v>454</v>
      </c>
      <c r="L123" s="100" t="s">
        <v>1317</v>
      </c>
      <c r="M123" s="55" t="s">
        <v>236</v>
      </c>
      <c r="N123" s="282" t="s">
        <v>1215</v>
      </c>
      <c r="O123" s="238" t="s">
        <v>84</v>
      </c>
      <c r="P123" s="64" t="str">
        <f ca="1">IF(AND(OR(INDIRECT("K" &amp; ROW())="NAV-Premium",INDIRECT("K" &amp; ROW())="DA-Premium"),INDIRECT("M" &amp; ROW())="PARTITION_SCHEMA128__NavPiviJpn", INDIRECT("O" &amp; ROW())="JPN_SDB"),'SDB vs GN'!$B$41, IF(INDIRECT("H" &amp; ROW())="Chenc",'SDB vs GN'!$B$40, VLOOKUP(INDIRECT("O" &amp; ROW()),'SDB vs GN'!$A$16:$B$38,2,FALSE)))</f>
        <v>727_NAM</v>
      </c>
      <c r="Q123" s="64" t="s">
        <v>480</v>
      </c>
      <c r="R123" s="64" t="s">
        <v>60</v>
      </c>
      <c r="S123" s="103" t="s">
        <v>10</v>
      </c>
      <c r="T123" s="79" t="s">
        <v>450</v>
      </c>
      <c r="U123" s="104" t="s">
        <v>816</v>
      </c>
      <c r="V123" s="175" t="s">
        <v>604</v>
      </c>
      <c r="W123" s="76" t="s">
        <v>447</v>
      </c>
      <c r="X123" s="64" t="s">
        <v>521</v>
      </c>
      <c r="Y123" s="282" t="s">
        <v>1286</v>
      </c>
      <c r="Z123" s="282" t="s">
        <v>1592</v>
      </c>
      <c r="AA123" s="96"/>
      <c r="AB123" s="131" t="s">
        <v>225</v>
      </c>
      <c r="AC123" s="229" t="s">
        <v>250</v>
      </c>
      <c r="AD123" s="72" t="s">
        <v>888</v>
      </c>
      <c r="AE123" s="302"/>
      <c r="AF123" s="67"/>
      <c r="AG123" s="67"/>
      <c r="AH123" s="72" t="s">
        <v>249</v>
      </c>
      <c r="AI123" s="383"/>
      <c r="AJ123" s="383"/>
      <c r="AK123" s="383"/>
    </row>
    <row r="124" spans="1:38">
      <c r="A124" s="51">
        <v>115</v>
      </c>
      <c r="B124" s="52" t="str">
        <f t="shared" si="1"/>
        <v>0073</v>
      </c>
      <c r="C124" s="253" t="s">
        <v>1441</v>
      </c>
      <c r="D124" s="196" t="s">
        <v>87</v>
      </c>
      <c r="E124" s="280" t="s">
        <v>1233</v>
      </c>
      <c r="F124" s="251" t="s">
        <v>1045</v>
      </c>
      <c r="G124" s="251" t="s">
        <v>878</v>
      </c>
      <c r="H124" s="196" t="s">
        <v>637</v>
      </c>
      <c r="I124" s="199" t="s">
        <v>5</v>
      </c>
      <c r="J124" s="196" t="s">
        <v>0</v>
      </c>
      <c r="K124" s="241" t="s">
        <v>452</v>
      </c>
      <c r="L124" s="254" t="s">
        <v>1271</v>
      </c>
      <c r="M124" s="196" t="s">
        <v>257</v>
      </c>
      <c r="N124" s="280" t="s">
        <v>1215</v>
      </c>
      <c r="O124" s="255" t="s">
        <v>55</v>
      </c>
      <c r="P124" s="203" t="str">
        <f ca="1">IF(AND(OR(INDIRECT("K" &amp; ROW())="NAV-Premium",INDIRECT("K" &amp; ROW())="DA-Premium"),INDIRECT("M" &amp; ROW())="PARTITION_SCHEMA128__NavPiviJpn", INDIRECT("O" &amp; ROW())="JPN_SDB"),'SDB vs GN'!$B$41, IF(INDIRECT("H" &amp; ROW())="Chenc",'SDB vs GN'!$B$40, VLOOKUP(INDIRECT("O" &amp; ROW()),'SDB vs GN'!$A$16:$B$38,2,FALSE)))</f>
        <v>742_JPN_831_AUSKRJPN</v>
      </c>
      <c r="Q124" s="198" t="s">
        <v>20</v>
      </c>
      <c r="R124" s="258" t="s">
        <v>59</v>
      </c>
      <c r="S124" s="201" t="s">
        <v>10</v>
      </c>
      <c r="T124" s="198" t="s">
        <v>449</v>
      </c>
      <c r="U124" s="202" t="s">
        <v>816</v>
      </c>
      <c r="V124" s="256" t="s">
        <v>602</v>
      </c>
      <c r="W124" s="203" t="s">
        <v>448</v>
      </c>
      <c r="X124" s="198" t="s">
        <v>521</v>
      </c>
      <c r="Y124" s="280" t="s">
        <v>1286</v>
      </c>
      <c r="Z124" s="280" t="s">
        <v>1592</v>
      </c>
      <c r="AA124" s="259"/>
      <c r="AB124" s="260" t="s">
        <v>225</v>
      </c>
      <c r="AC124" s="220" t="s">
        <v>302</v>
      </c>
      <c r="AD124" s="209" t="s">
        <v>824</v>
      </c>
      <c r="AE124" s="207"/>
      <c r="AF124" s="207"/>
      <c r="AG124" s="207"/>
      <c r="AH124" s="209" t="s">
        <v>303</v>
      </c>
    </row>
    <row r="125" spans="1:38">
      <c r="A125" s="51">
        <v>116</v>
      </c>
      <c r="B125" s="51" t="str">
        <f t="shared" si="1"/>
        <v>0074</v>
      </c>
      <c r="C125" s="253" t="s">
        <v>1442</v>
      </c>
      <c r="D125" s="196" t="s">
        <v>101</v>
      </c>
      <c r="E125" s="280" t="s">
        <v>1233</v>
      </c>
      <c r="F125" s="251" t="s">
        <v>1045</v>
      </c>
      <c r="G125" s="251" t="s">
        <v>878</v>
      </c>
      <c r="H125" s="196" t="s">
        <v>637</v>
      </c>
      <c r="I125" s="199" t="s">
        <v>5</v>
      </c>
      <c r="J125" s="196" t="s">
        <v>0</v>
      </c>
      <c r="K125" s="241" t="s">
        <v>452</v>
      </c>
      <c r="L125" s="254" t="s">
        <v>1271</v>
      </c>
      <c r="M125" s="196" t="s">
        <v>257</v>
      </c>
      <c r="N125" s="280" t="s">
        <v>1215</v>
      </c>
      <c r="O125" s="255" t="s">
        <v>55</v>
      </c>
      <c r="P125" s="203" t="str">
        <f ca="1">IF(AND(OR(INDIRECT("K" &amp; ROW())="NAV-Premium",INDIRECT("K" &amp; ROW())="DA-Premium"),INDIRECT("M" &amp; ROW())="PARTITION_SCHEMA128__NavPiviJpn", INDIRECT("O" &amp; ROW())="JPN_SDB"),'SDB vs GN'!$B$41, IF(INDIRECT("H" &amp; ROW())="Chenc",'SDB vs GN'!$B$40, VLOOKUP(INDIRECT("O" &amp; ROW()),'SDB vs GN'!$A$16:$B$38,2,FALSE)))</f>
        <v>742_JPN_831_AUSKRJPN</v>
      </c>
      <c r="Q125" s="198" t="s">
        <v>20</v>
      </c>
      <c r="R125" s="258" t="s">
        <v>59</v>
      </c>
      <c r="S125" s="201" t="s">
        <v>10</v>
      </c>
      <c r="T125" s="198" t="s">
        <v>450</v>
      </c>
      <c r="U125" s="202" t="s">
        <v>816</v>
      </c>
      <c r="V125" s="256" t="s">
        <v>602</v>
      </c>
      <c r="W125" s="203" t="s">
        <v>447</v>
      </c>
      <c r="X125" s="198" t="s">
        <v>521</v>
      </c>
      <c r="Y125" s="280" t="s">
        <v>1286</v>
      </c>
      <c r="Z125" s="280" t="s">
        <v>1592</v>
      </c>
      <c r="AA125" s="259"/>
      <c r="AB125" s="260" t="s">
        <v>225</v>
      </c>
      <c r="AC125" s="220" t="s">
        <v>301</v>
      </c>
      <c r="AD125" s="209" t="s">
        <v>824</v>
      </c>
      <c r="AE125" s="207"/>
      <c r="AF125" s="207"/>
      <c r="AG125" s="207"/>
      <c r="AH125" s="209" t="s">
        <v>303</v>
      </c>
    </row>
    <row r="126" spans="1:38" s="36" customFormat="1">
      <c r="A126" s="51">
        <v>117</v>
      </c>
      <c r="B126" s="51" t="str">
        <f t="shared" si="1"/>
        <v>0075</v>
      </c>
      <c r="C126" s="112" t="s">
        <v>1020</v>
      </c>
      <c r="D126" s="55" t="s">
        <v>90</v>
      </c>
      <c r="E126" s="282" t="s">
        <v>1233</v>
      </c>
      <c r="F126" s="248" t="s">
        <v>1052</v>
      </c>
      <c r="G126" s="78" t="s">
        <v>761</v>
      </c>
      <c r="H126" s="55" t="s">
        <v>637</v>
      </c>
      <c r="I126" s="94" t="s">
        <v>3</v>
      </c>
      <c r="J126" s="55" t="s">
        <v>1</v>
      </c>
      <c r="K126" s="79" t="s">
        <v>749</v>
      </c>
      <c r="L126" s="156" t="s">
        <v>856</v>
      </c>
      <c r="M126" s="55" t="s">
        <v>1614</v>
      </c>
      <c r="N126" s="282" t="s">
        <v>1215</v>
      </c>
      <c r="O126" s="238" t="s">
        <v>55</v>
      </c>
      <c r="P126" s="64" t="str">
        <f ca="1">IF(AND(OR(INDIRECT("K" &amp; ROW())="NAV-Premium",INDIRECT("K" &amp; ROW())="DA-Premium"),INDIRECT("M" &amp; ROW())="PARTITION_SCHEMA128__NavPiviJpn", INDIRECT("O" &amp; ROW())="JPN_SDB"),'SDB vs GN'!$B$41, IF(INDIRECT("H" &amp; ROW())="Chenc",'SDB vs GN'!$B$40, VLOOKUP(INDIRECT("O" &amp; ROW()),'SDB vs GN'!$A$16:$B$38,2,FALSE)))</f>
        <v>742_JPN_831_AUSKRJPN</v>
      </c>
      <c r="Q126" s="64" t="s">
        <v>20</v>
      </c>
      <c r="R126" s="247" t="s">
        <v>248</v>
      </c>
      <c r="S126" s="103" t="s">
        <v>10</v>
      </c>
      <c r="T126" s="64" t="s">
        <v>449</v>
      </c>
      <c r="U126" s="104" t="s">
        <v>12</v>
      </c>
      <c r="V126" s="68" t="s">
        <v>555</v>
      </c>
      <c r="W126" s="76" t="s">
        <v>448</v>
      </c>
      <c r="X126" s="64" t="s">
        <v>521</v>
      </c>
      <c r="Y126" s="282" t="s">
        <v>1286</v>
      </c>
      <c r="Z126" s="282" t="s">
        <v>1592</v>
      </c>
      <c r="AA126" s="96"/>
      <c r="AB126" s="131" t="s">
        <v>225</v>
      </c>
      <c r="AC126" s="235" t="s">
        <v>305</v>
      </c>
      <c r="AD126" s="72" t="s">
        <v>888</v>
      </c>
      <c r="AE126" s="302"/>
      <c r="AF126" s="67"/>
      <c r="AG126" s="67"/>
      <c r="AH126" s="72" t="s">
        <v>306</v>
      </c>
    </row>
    <row r="127" spans="1:38" s="36" customFormat="1">
      <c r="A127" s="51">
        <v>118</v>
      </c>
      <c r="B127" s="51" t="str">
        <f t="shared" si="1"/>
        <v>0076</v>
      </c>
      <c r="C127" s="79" t="s">
        <v>307</v>
      </c>
      <c r="D127" s="79" t="s">
        <v>143</v>
      </c>
      <c r="E127" s="295" t="s">
        <v>1233</v>
      </c>
      <c r="F127" s="248" t="s">
        <v>1052</v>
      </c>
      <c r="G127" s="78" t="s">
        <v>761</v>
      </c>
      <c r="H127" s="55" t="s">
        <v>637</v>
      </c>
      <c r="I127" s="94" t="s">
        <v>3</v>
      </c>
      <c r="J127" s="127" t="s">
        <v>1</v>
      </c>
      <c r="K127" s="79" t="s">
        <v>749</v>
      </c>
      <c r="L127" s="156" t="s">
        <v>856</v>
      </c>
      <c r="M127" s="55" t="s">
        <v>1614</v>
      </c>
      <c r="N127" s="282" t="s">
        <v>1215</v>
      </c>
      <c r="O127" s="238" t="s">
        <v>55</v>
      </c>
      <c r="P127" s="64" t="str">
        <f ca="1">IF(AND(OR(INDIRECT("K" &amp; ROW())="NAV-Premium",INDIRECT("K" &amp; ROW())="DA-Premium"),INDIRECT("M" &amp; ROW())="PARTITION_SCHEMA128__NavPiviJpn", INDIRECT("O" &amp; ROW())="JPN_SDB"),'SDB vs GN'!$B$41, IF(INDIRECT("H" &amp; ROW())="Chenc",'SDB vs GN'!$B$40, VLOOKUP(INDIRECT("O" &amp; ROW()),'SDB vs GN'!$A$16:$B$38,2,FALSE)))</f>
        <v>742_JPN_831_AUSKRJPN</v>
      </c>
      <c r="Q127" s="79" t="s">
        <v>20</v>
      </c>
      <c r="R127" s="247" t="s">
        <v>248</v>
      </c>
      <c r="S127" s="157" t="s">
        <v>10</v>
      </c>
      <c r="T127" s="79" t="s">
        <v>449</v>
      </c>
      <c r="U127" s="104" t="s">
        <v>12</v>
      </c>
      <c r="V127" s="68" t="s">
        <v>555</v>
      </c>
      <c r="W127" s="129" t="s">
        <v>447</v>
      </c>
      <c r="X127" s="64" t="s">
        <v>521</v>
      </c>
      <c r="Y127" s="282" t="s">
        <v>1286</v>
      </c>
      <c r="Z127" s="282" t="s">
        <v>1592</v>
      </c>
      <c r="AA127" s="96"/>
      <c r="AB127" s="131" t="s">
        <v>225</v>
      </c>
      <c r="AC127" s="229" t="s">
        <v>308</v>
      </c>
      <c r="AD127" s="72" t="s">
        <v>888</v>
      </c>
      <c r="AE127" s="302"/>
      <c r="AF127" s="67"/>
      <c r="AG127" s="67"/>
      <c r="AH127" s="72" t="s">
        <v>309</v>
      </c>
    </row>
    <row r="128" spans="1:38" ht="39.6">
      <c r="A128" s="51">
        <v>119</v>
      </c>
      <c r="B128" s="51" t="str">
        <f t="shared" si="1"/>
        <v>0077</v>
      </c>
      <c r="C128" s="94" t="s">
        <v>424</v>
      </c>
      <c r="D128" s="55" t="s">
        <v>232</v>
      </c>
      <c r="E128" s="282" t="s">
        <v>1233</v>
      </c>
      <c r="F128" s="178" t="s">
        <v>1044</v>
      </c>
      <c r="G128" s="178" t="s">
        <v>345</v>
      </c>
      <c r="H128" s="55" t="s">
        <v>637</v>
      </c>
      <c r="I128" s="79" t="s">
        <v>815</v>
      </c>
      <c r="J128" s="127" t="s">
        <v>0</v>
      </c>
      <c r="K128" s="127" t="s">
        <v>452</v>
      </c>
      <c r="L128" s="158" t="s">
        <v>1271</v>
      </c>
      <c r="M128" s="55" t="s">
        <v>254</v>
      </c>
      <c r="N128" s="282" t="s">
        <v>1215</v>
      </c>
      <c r="O128" s="238" t="s">
        <v>825</v>
      </c>
      <c r="P128" s="64" t="str">
        <f ca="1">IF(AND(OR(INDIRECT("K" &amp; ROW())="NAV-Premium",INDIRECT("K" &amp; ROW())="DA-Premium"),INDIRECT("M" &amp; ROW())="PARTITION_SCHEMA128__NavPiviJpn", INDIRECT("O" &amp; ROW())="JPN_SDB"),'SDB vs GN'!$B$41, IF(INDIRECT("H" &amp; ROW())="Chenc",'SDB vs GN'!$B$40, VLOOKUP(INDIRECT("O" &amp; ROW()),'SDB vs GN'!$A$16:$B$38,2,FALSE)))</f>
        <v>831_AUSKRJPN</v>
      </c>
      <c r="Q128" s="64" t="s">
        <v>20</v>
      </c>
      <c r="R128" s="67" t="s">
        <v>59</v>
      </c>
      <c r="S128" s="157" t="s">
        <v>10</v>
      </c>
      <c r="T128" s="79" t="s">
        <v>449</v>
      </c>
      <c r="U128" s="104" t="s">
        <v>816</v>
      </c>
      <c r="V128" s="173" t="s">
        <v>612</v>
      </c>
      <c r="W128" s="129" t="s">
        <v>447</v>
      </c>
      <c r="X128" s="64" t="s">
        <v>521</v>
      </c>
      <c r="Y128" s="282" t="s">
        <v>1286</v>
      </c>
      <c r="Z128" s="282" t="s">
        <v>1592</v>
      </c>
      <c r="AA128" s="37"/>
      <c r="AB128" s="134" t="s">
        <v>225</v>
      </c>
      <c r="AC128" s="229" t="s">
        <v>502</v>
      </c>
      <c r="AD128" s="72" t="s">
        <v>808</v>
      </c>
      <c r="AE128" s="302"/>
      <c r="AF128" s="67"/>
      <c r="AG128" s="67"/>
      <c r="AH128" s="67" t="s">
        <v>501</v>
      </c>
      <c r="AI128" s="24"/>
      <c r="AJ128" s="24"/>
      <c r="AK128" s="24"/>
      <c r="AL128" s="24"/>
    </row>
    <row r="129" spans="1:38" ht="39.6">
      <c r="A129" s="51">
        <v>120</v>
      </c>
      <c r="B129" s="51" t="str">
        <f t="shared" si="1"/>
        <v>0078</v>
      </c>
      <c r="C129" s="94" t="s">
        <v>376</v>
      </c>
      <c r="D129" s="55" t="s">
        <v>232</v>
      </c>
      <c r="E129" s="282" t="s">
        <v>1233</v>
      </c>
      <c r="F129" s="178" t="s">
        <v>1044</v>
      </c>
      <c r="G129" s="178" t="s">
        <v>345</v>
      </c>
      <c r="H129" s="55" t="s">
        <v>637</v>
      </c>
      <c r="I129" s="79" t="s">
        <v>815</v>
      </c>
      <c r="J129" s="127" t="s">
        <v>0</v>
      </c>
      <c r="K129" s="127" t="s">
        <v>452</v>
      </c>
      <c r="L129" s="158" t="s">
        <v>1271</v>
      </c>
      <c r="M129" s="55" t="s">
        <v>257</v>
      </c>
      <c r="N129" s="282" t="s">
        <v>1215</v>
      </c>
      <c r="O129" s="238" t="s">
        <v>126</v>
      </c>
      <c r="P129" s="64" t="str">
        <f ca="1">IF(AND(OR(INDIRECT("K" &amp; ROW())="NAV-Premium",INDIRECT("K" &amp; ROW())="DA-Premium"),INDIRECT("M" &amp; ROW())="PARTITION_SCHEMA128__NavPiviJpn", INDIRECT("O" &amp; ROW())="JPN_SDB"),'SDB vs GN'!$B$41, IF(INDIRECT("H" &amp; ROW())="Chenc",'SDB vs GN'!$B$40, VLOOKUP(INDIRECT("O" &amp; ROW()),'SDB vs GN'!$A$16:$B$38,2,FALSE)))</f>
        <v>735_LA</v>
      </c>
      <c r="Q129" s="79" t="s">
        <v>20</v>
      </c>
      <c r="R129" s="67" t="s">
        <v>59</v>
      </c>
      <c r="S129" s="157" t="s">
        <v>10</v>
      </c>
      <c r="T129" s="79" t="s">
        <v>449</v>
      </c>
      <c r="U129" s="104" t="s">
        <v>816</v>
      </c>
      <c r="V129" s="173" t="s">
        <v>613</v>
      </c>
      <c r="W129" s="129" t="s">
        <v>447</v>
      </c>
      <c r="X129" s="64" t="s">
        <v>521</v>
      </c>
      <c r="Y129" s="282" t="s">
        <v>1286</v>
      </c>
      <c r="Z129" s="282" t="s">
        <v>1592</v>
      </c>
      <c r="AA129" s="37"/>
      <c r="AB129" s="154" t="s">
        <v>225</v>
      </c>
      <c r="AC129" s="229" t="s">
        <v>401</v>
      </c>
      <c r="AD129" s="72" t="s">
        <v>808</v>
      </c>
      <c r="AE129" s="302"/>
      <c r="AF129" s="67"/>
      <c r="AG129" s="67"/>
      <c r="AH129" s="162" t="s">
        <v>634</v>
      </c>
      <c r="AI129" s="24"/>
      <c r="AJ129" s="24"/>
      <c r="AK129" s="24"/>
      <c r="AL129" s="24"/>
    </row>
    <row r="130" spans="1:38">
      <c r="A130" s="51">
        <v>121</v>
      </c>
      <c r="B130" s="51" t="str">
        <f t="shared" si="1"/>
        <v>0079</v>
      </c>
      <c r="C130" s="94" t="s">
        <v>425</v>
      </c>
      <c r="D130" s="55" t="s">
        <v>232</v>
      </c>
      <c r="E130" s="282" t="s">
        <v>1233</v>
      </c>
      <c r="F130" s="178" t="s">
        <v>1044</v>
      </c>
      <c r="G130" s="178" t="s">
        <v>345</v>
      </c>
      <c r="H130" s="55" t="s">
        <v>637</v>
      </c>
      <c r="I130" s="79" t="s">
        <v>815</v>
      </c>
      <c r="J130" s="127" t="s">
        <v>0</v>
      </c>
      <c r="K130" s="127" t="s">
        <v>452</v>
      </c>
      <c r="L130" s="158" t="s">
        <v>1271</v>
      </c>
      <c r="M130" s="55" t="s">
        <v>257</v>
      </c>
      <c r="N130" s="282" t="s">
        <v>1215</v>
      </c>
      <c r="O130" s="238" t="s">
        <v>84</v>
      </c>
      <c r="P130" s="64" t="str">
        <f ca="1">IF(AND(OR(INDIRECT("K" &amp; ROW())="NAV-Premium",INDIRECT("K" &amp; ROW())="DA-Premium"),INDIRECT("M" &amp; ROW())="PARTITION_SCHEMA128__NavPiviJpn", INDIRECT("O" &amp; ROW())="JPN_SDB"),'SDB vs GN'!$B$41, IF(INDIRECT("H" &amp; ROW())="Chenc",'SDB vs GN'!$B$40, VLOOKUP(INDIRECT("O" &amp; ROW()),'SDB vs GN'!$A$16:$B$38,2,FALSE)))</f>
        <v>727_NAM</v>
      </c>
      <c r="Q130" s="79" t="s">
        <v>20</v>
      </c>
      <c r="R130" s="64" t="s">
        <v>60</v>
      </c>
      <c r="S130" s="157" t="s">
        <v>10</v>
      </c>
      <c r="T130" s="64" t="s">
        <v>450</v>
      </c>
      <c r="U130" s="104" t="s">
        <v>816</v>
      </c>
      <c r="V130" s="173" t="s">
        <v>1128</v>
      </c>
      <c r="W130" s="129" t="s">
        <v>447</v>
      </c>
      <c r="X130" s="64" t="s">
        <v>521</v>
      </c>
      <c r="Y130" s="282" t="s">
        <v>1286</v>
      </c>
      <c r="Z130" s="282" t="s">
        <v>1592</v>
      </c>
      <c r="AA130" s="37"/>
      <c r="AB130" s="154" t="s">
        <v>225</v>
      </c>
      <c r="AC130" s="235" t="s">
        <v>379</v>
      </c>
      <c r="AD130" s="72" t="s">
        <v>808</v>
      </c>
      <c r="AE130" s="302"/>
      <c r="AF130" s="67"/>
      <c r="AG130" s="67"/>
      <c r="AH130" s="122" t="s">
        <v>444</v>
      </c>
      <c r="AI130" s="24"/>
      <c r="AJ130" s="24"/>
      <c r="AK130" s="24"/>
      <c r="AL130" s="24"/>
    </row>
    <row r="131" spans="1:38">
      <c r="A131" s="51">
        <v>122</v>
      </c>
      <c r="B131" s="51" t="str">
        <f t="shared" si="1"/>
        <v>007A</v>
      </c>
      <c r="C131" s="94" t="s">
        <v>388</v>
      </c>
      <c r="D131" s="55" t="s">
        <v>232</v>
      </c>
      <c r="E131" s="282" t="s">
        <v>1233</v>
      </c>
      <c r="F131" s="178" t="s">
        <v>1044</v>
      </c>
      <c r="G131" s="178" t="s">
        <v>345</v>
      </c>
      <c r="H131" s="55" t="s">
        <v>637</v>
      </c>
      <c r="I131" s="79" t="s">
        <v>815</v>
      </c>
      <c r="J131" s="127" t="s">
        <v>0</v>
      </c>
      <c r="K131" s="127" t="s">
        <v>452</v>
      </c>
      <c r="L131" s="158" t="s">
        <v>1271</v>
      </c>
      <c r="M131" s="55" t="s">
        <v>257</v>
      </c>
      <c r="N131" s="282" t="s">
        <v>1215</v>
      </c>
      <c r="O131" s="238" t="s">
        <v>97</v>
      </c>
      <c r="P131" s="64" t="str">
        <f ca="1">IF(AND(OR(INDIRECT("K" &amp; ROW())="NAV-Premium",INDIRECT("K" &amp; ROW())="DA-Premium"),INDIRECT("M" &amp; ROW())="PARTITION_SCHEMA128__NavPiviJpn", INDIRECT("O" &amp; ROW())="JPN_SDB"),'SDB vs GN'!$B$41, IF(INDIRECT("H" &amp; ROW())="Chenc",'SDB vs GN'!$B$40, VLOOKUP(INDIRECT("O" &amp; ROW()),'SDB vs GN'!$A$16:$B$38,2,FALSE)))</f>
        <v>734_CN_831_AUSKRJPN</v>
      </c>
      <c r="Q131" s="79" t="s">
        <v>20</v>
      </c>
      <c r="R131" s="67" t="s">
        <v>59</v>
      </c>
      <c r="S131" s="157" t="s">
        <v>10</v>
      </c>
      <c r="T131" s="79" t="s">
        <v>449</v>
      </c>
      <c r="U131" s="104" t="s">
        <v>816</v>
      </c>
      <c r="V131" s="173" t="s">
        <v>601</v>
      </c>
      <c r="W131" s="129" t="s">
        <v>447</v>
      </c>
      <c r="X131" s="64" t="s">
        <v>521</v>
      </c>
      <c r="Y131" s="282" t="s">
        <v>1286</v>
      </c>
      <c r="Z131" s="282" t="s">
        <v>1592</v>
      </c>
      <c r="AA131" s="37"/>
      <c r="AB131" s="154" t="s">
        <v>225</v>
      </c>
      <c r="AC131" s="235" t="s">
        <v>380</v>
      </c>
      <c r="AD131" s="72" t="s">
        <v>808</v>
      </c>
      <c r="AE131" s="302"/>
      <c r="AF131" s="67"/>
      <c r="AG131" s="67"/>
      <c r="AH131" s="122" t="s">
        <v>443</v>
      </c>
      <c r="AI131" s="24"/>
      <c r="AJ131" s="24"/>
      <c r="AK131" s="24"/>
      <c r="AL131" s="24"/>
    </row>
    <row r="132" spans="1:38">
      <c r="A132" s="51">
        <v>123</v>
      </c>
      <c r="B132" s="51" t="str">
        <f t="shared" ref="B132:B195" si="2">DEC2HEX(A132,4)</f>
        <v>007B</v>
      </c>
      <c r="C132" s="94" t="s">
        <v>402</v>
      </c>
      <c r="D132" s="55" t="s">
        <v>232</v>
      </c>
      <c r="E132" s="282" t="s">
        <v>1233</v>
      </c>
      <c r="F132" s="178" t="s">
        <v>1044</v>
      </c>
      <c r="G132" s="178" t="s">
        <v>345</v>
      </c>
      <c r="H132" s="55" t="s">
        <v>637</v>
      </c>
      <c r="I132" s="79" t="s">
        <v>815</v>
      </c>
      <c r="J132" s="127" t="s">
        <v>0</v>
      </c>
      <c r="K132" s="127" t="s">
        <v>452</v>
      </c>
      <c r="L132" s="158" t="s">
        <v>1271</v>
      </c>
      <c r="M132" s="55" t="s">
        <v>257</v>
      </c>
      <c r="N132" s="282" t="s">
        <v>1215</v>
      </c>
      <c r="O132" s="238" t="s">
        <v>97</v>
      </c>
      <c r="P132" s="64" t="str">
        <f ca="1">IF(AND(OR(INDIRECT("K" &amp; ROW())="NAV-Premium",INDIRECT("K" &amp; ROW())="DA-Premium"),INDIRECT("M" &amp; ROW())="PARTITION_SCHEMA128__NavPiviJpn", INDIRECT("O" &amp; ROW())="JPN_SDB"),'SDB vs GN'!$B$41, IF(INDIRECT("H" &amp; ROW())="Chenc",'SDB vs GN'!$B$40, VLOOKUP(INDIRECT("O" &amp; ROW()),'SDB vs GN'!$A$16:$B$38,2,FALSE)))</f>
        <v>734_CN_831_AUSKRJPN</v>
      </c>
      <c r="Q132" s="79" t="s">
        <v>20</v>
      </c>
      <c r="R132" s="67" t="s">
        <v>59</v>
      </c>
      <c r="S132" s="157" t="s">
        <v>10</v>
      </c>
      <c r="T132" s="79" t="s">
        <v>449</v>
      </c>
      <c r="U132" s="104" t="s">
        <v>816</v>
      </c>
      <c r="V132" s="173" t="s">
        <v>614</v>
      </c>
      <c r="W132" s="129" t="s">
        <v>447</v>
      </c>
      <c r="X132" s="64" t="s">
        <v>521</v>
      </c>
      <c r="Y132" s="282" t="s">
        <v>1286</v>
      </c>
      <c r="Z132" s="282" t="s">
        <v>1592</v>
      </c>
      <c r="AA132" s="37"/>
      <c r="AB132" s="154" t="s">
        <v>225</v>
      </c>
      <c r="AC132" s="235" t="s">
        <v>381</v>
      </c>
      <c r="AD132" s="72" t="s">
        <v>808</v>
      </c>
      <c r="AE132" s="302"/>
      <c r="AF132" s="67"/>
      <c r="AG132" s="67"/>
      <c r="AH132" s="122" t="s">
        <v>442</v>
      </c>
      <c r="AI132" s="24"/>
      <c r="AJ132" s="24"/>
      <c r="AK132" s="24"/>
      <c r="AL132" s="24"/>
    </row>
    <row r="133" spans="1:38" s="27" customFormat="1">
      <c r="A133" s="160">
        <v>124</v>
      </c>
      <c r="B133" s="160" t="str">
        <f t="shared" si="2"/>
        <v>007C</v>
      </c>
      <c r="C133" s="76" t="s">
        <v>403</v>
      </c>
      <c r="D133" s="55" t="s">
        <v>232</v>
      </c>
      <c r="E133" s="282" t="s">
        <v>1233</v>
      </c>
      <c r="F133" s="177" t="s">
        <v>1046</v>
      </c>
      <c r="G133" s="177" t="s">
        <v>344</v>
      </c>
      <c r="H133" s="55" t="s">
        <v>637</v>
      </c>
      <c r="I133" s="158" t="s">
        <v>4</v>
      </c>
      <c r="J133" s="127" t="s">
        <v>0</v>
      </c>
      <c r="K133" s="127" t="s">
        <v>451</v>
      </c>
      <c r="L133" s="158" t="s">
        <v>1271</v>
      </c>
      <c r="M133" s="55" t="s">
        <v>255</v>
      </c>
      <c r="N133" s="282" t="s">
        <v>1215</v>
      </c>
      <c r="O133" s="238" t="s">
        <v>828</v>
      </c>
      <c r="P133" s="64" t="str">
        <f ca="1">IF(AND(OR(INDIRECT("K" &amp; ROW())="NAV-Premium",INDIRECT("K" &amp; ROW())="DA-Premium"),INDIRECT("M" &amp; ROW())="PARTITION_SCHEMA128__NavPiviJpn", INDIRECT("O" &amp; ROW())="JPN_SDB"),'SDB vs GN'!$B$41, IF(INDIRECT("H" &amp; ROW())="Chenc",'SDB vs GN'!$B$40, VLOOKUP(INDIRECT("O" &amp; ROW()),'SDB vs GN'!$A$16:$B$38,2,FALSE)))</f>
        <v>735_LA_831_AUSKRJPN</v>
      </c>
      <c r="Q133" s="79" t="s">
        <v>20</v>
      </c>
      <c r="R133" s="162" t="s">
        <v>59</v>
      </c>
      <c r="S133" s="157" t="s">
        <v>10</v>
      </c>
      <c r="T133" s="79" t="s">
        <v>449</v>
      </c>
      <c r="U133" s="104" t="s">
        <v>816</v>
      </c>
      <c r="V133" s="101" t="s">
        <v>7</v>
      </c>
      <c r="W133" s="164" t="s">
        <v>2184</v>
      </c>
      <c r="X133" s="64" t="s">
        <v>521</v>
      </c>
      <c r="Y133" s="282" t="s">
        <v>1286</v>
      </c>
      <c r="Z133" s="282" t="s">
        <v>1592</v>
      </c>
      <c r="AA133" s="42"/>
      <c r="AB133" s="154" t="s">
        <v>225</v>
      </c>
      <c r="AC133" s="235" t="s">
        <v>382</v>
      </c>
      <c r="AD133" s="72" t="s">
        <v>808</v>
      </c>
      <c r="AE133" s="302"/>
      <c r="AF133" s="67"/>
      <c r="AG133" s="67"/>
      <c r="AH133" s="161" t="s">
        <v>445</v>
      </c>
      <c r="AI133" s="384"/>
      <c r="AJ133" s="384"/>
      <c r="AK133" s="384"/>
      <c r="AL133" s="384"/>
    </row>
    <row r="134" spans="1:38" s="27" customFormat="1">
      <c r="A134" s="160">
        <v>125</v>
      </c>
      <c r="B134" s="160" t="str">
        <f t="shared" si="2"/>
        <v>007D</v>
      </c>
      <c r="C134" s="76" t="s">
        <v>389</v>
      </c>
      <c r="D134" s="55" t="s">
        <v>232</v>
      </c>
      <c r="E134" s="282" t="s">
        <v>1233</v>
      </c>
      <c r="F134" s="177" t="s">
        <v>1046</v>
      </c>
      <c r="G134" s="177" t="s">
        <v>344</v>
      </c>
      <c r="H134" s="55" t="s">
        <v>637</v>
      </c>
      <c r="I134" s="158" t="s">
        <v>4</v>
      </c>
      <c r="J134" s="127" t="s">
        <v>0</v>
      </c>
      <c r="K134" s="127" t="s">
        <v>451</v>
      </c>
      <c r="L134" s="158" t="s">
        <v>1271</v>
      </c>
      <c r="M134" s="55" t="s">
        <v>255</v>
      </c>
      <c r="N134" s="282" t="s">
        <v>1215</v>
      </c>
      <c r="O134" s="238" t="s">
        <v>827</v>
      </c>
      <c r="P134" s="64" t="str">
        <f ca="1">IF(AND(OR(INDIRECT("K" &amp; ROW())="NAV-Premium",INDIRECT("K" &amp; ROW())="DA-Premium"),INDIRECT("M" &amp; ROW())="PARTITION_SCHEMA128__NavPiviJpn", INDIRECT("O" &amp; ROW())="JPN_SDB"),'SDB vs GN'!$B$41, IF(INDIRECT("H" &amp; ROW())="Chenc",'SDB vs GN'!$B$40, VLOOKUP(INDIRECT("O" &amp; ROW()),'SDB vs GN'!$A$16:$B$38,2,FALSE)))</f>
        <v>734_CN_831_AUSKRJPN</v>
      </c>
      <c r="Q134" s="64" t="s">
        <v>20</v>
      </c>
      <c r="R134" s="67" t="s">
        <v>59</v>
      </c>
      <c r="S134" s="157" t="s">
        <v>10</v>
      </c>
      <c r="T134" s="79" t="s">
        <v>449</v>
      </c>
      <c r="U134" s="104" t="s">
        <v>816</v>
      </c>
      <c r="V134" s="101" t="s">
        <v>7</v>
      </c>
      <c r="W134" s="164" t="s">
        <v>2184</v>
      </c>
      <c r="X134" s="64" t="s">
        <v>521</v>
      </c>
      <c r="Y134" s="282" t="s">
        <v>1286</v>
      </c>
      <c r="Z134" s="282" t="s">
        <v>1592</v>
      </c>
      <c r="AA134" s="42"/>
      <c r="AB134" s="154" t="s">
        <v>225</v>
      </c>
      <c r="AC134" s="235" t="s">
        <v>383</v>
      </c>
      <c r="AD134" s="72" t="s">
        <v>808</v>
      </c>
      <c r="AE134" s="302"/>
      <c r="AF134" s="67"/>
      <c r="AG134" s="67"/>
      <c r="AH134" s="161" t="s">
        <v>446</v>
      </c>
      <c r="AI134" s="384"/>
      <c r="AJ134" s="384"/>
      <c r="AK134" s="384"/>
      <c r="AL134" s="384"/>
    </row>
    <row r="135" spans="1:38">
      <c r="A135" s="51">
        <v>126</v>
      </c>
      <c r="B135" s="51" t="str">
        <f t="shared" si="2"/>
        <v>007E</v>
      </c>
      <c r="C135" s="94" t="s">
        <v>390</v>
      </c>
      <c r="D135" s="94" t="s">
        <v>136</v>
      </c>
      <c r="E135" s="314" t="s">
        <v>1233</v>
      </c>
      <c r="F135" s="177" t="s">
        <v>1046</v>
      </c>
      <c r="G135" s="177" t="s">
        <v>344</v>
      </c>
      <c r="H135" s="55" t="s">
        <v>637</v>
      </c>
      <c r="I135" s="158" t="s">
        <v>4</v>
      </c>
      <c r="J135" s="127" t="s">
        <v>0</v>
      </c>
      <c r="K135" s="127" t="s">
        <v>451</v>
      </c>
      <c r="L135" s="158" t="s">
        <v>1271</v>
      </c>
      <c r="M135" s="55" t="s">
        <v>255</v>
      </c>
      <c r="N135" s="282" t="s">
        <v>1215</v>
      </c>
      <c r="O135" s="249" t="s">
        <v>828</v>
      </c>
      <c r="P135" s="64" t="str">
        <f ca="1">IF(AND(OR(INDIRECT("K" &amp; ROW())="NAV-Premium",INDIRECT("K" &amp; ROW())="DA-Premium"),INDIRECT("M" &amp; ROW())="PARTITION_SCHEMA128__NavPiviJpn", INDIRECT("O" &amp; ROW())="JPN_SDB"),'SDB vs GN'!$B$41, IF(INDIRECT("H" &amp; ROW())="Chenc",'SDB vs GN'!$B$40, VLOOKUP(INDIRECT("O" &amp; ROW()),'SDB vs GN'!$A$16:$B$38,2,FALSE)))</f>
        <v>735_LA_831_AUSKRJPN</v>
      </c>
      <c r="Q135" s="64" t="s">
        <v>20</v>
      </c>
      <c r="R135" s="67" t="s">
        <v>59</v>
      </c>
      <c r="S135" s="157" t="s">
        <v>10</v>
      </c>
      <c r="T135" s="79" t="s">
        <v>449</v>
      </c>
      <c r="U135" s="104" t="s">
        <v>816</v>
      </c>
      <c r="V135" s="101" t="s">
        <v>7</v>
      </c>
      <c r="W135" s="129" t="s">
        <v>2184</v>
      </c>
      <c r="X135" s="64" t="s">
        <v>521</v>
      </c>
      <c r="Y135" s="282" t="s">
        <v>1286</v>
      </c>
      <c r="Z135" s="282" t="s">
        <v>1592</v>
      </c>
      <c r="AA135" s="37"/>
      <c r="AB135" s="154" t="s">
        <v>225</v>
      </c>
      <c r="AC135" s="229" t="s">
        <v>387</v>
      </c>
      <c r="AD135" s="72" t="s">
        <v>808</v>
      </c>
      <c r="AE135" s="302"/>
      <c r="AF135" s="67"/>
      <c r="AG135" s="67"/>
      <c r="AH135" s="122" t="s">
        <v>393</v>
      </c>
      <c r="AI135" s="24"/>
      <c r="AJ135" s="24"/>
      <c r="AK135" s="24"/>
      <c r="AL135" s="24"/>
    </row>
    <row r="136" spans="1:38">
      <c r="A136" s="51">
        <v>127</v>
      </c>
      <c r="B136" s="51" t="str">
        <f t="shared" si="2"/>
        <v>007F</v>
      </c>
      <c r="C136" s="94" t="s">
        <v>391</v>
      </c>
      <c r="D136" s="94" t="s">
        <v>136</v>
      </c>
      <c r="E136" s="314" t="s">
        <v>1233</v>
      </c>
      <c r="F136" s="177" t="s">
        <v>1046</v>
      </c>
      <c r="G136" s="177" t="s">
        <v>344</v>
      </c>
      <c r="H136" s="55" t="s">
        <v>637</v>
      </c>
      <c r="I136" s="158" t="s">
        <v>4</v>
      </c>
      <c r="J136" s="127" t="s">
        <v>0</v>
      </c>
      <c r="K136" s="127" t="s">
        <v>451</v>
      </c>
      <c r="L136" s="158" t="s">
        <v>1271</v>
      </c>
      <c r="M136" s="55" t="s">
        <v>255</v>
      </c>
      <c r="N136" s="282" t="s">
        <v>1215</v>
      </c>
      <c r="O136" s="239" t="s">
        <v>828</v>
      </c>
      <c r="P136" s="64" t="str">
        <f ca="1">IF(AND(OR(INDIRECT("K" &amp; ROW())="NAV-Premium",INDIRECT("K" &amp; ROW())="DA-Premium"),INDIRECT("M" &amp; ROW())="PARTITION_SCHEMA128__NavPiviJpn", INDIRECT("O" &amp; ROW())="JPN_SDB"),'SDB vs GN'!$B$41, IF(INDIRECT("H" &amp; ROW())="Chenc",'SDB vs GN'!$B$40, VLOOKUP(INDIRECT("O" &amp; ROW()),'SDB vs GN'!$A$16:$B$38,2,FALSE)))</f>
        <v>735_LA_831_AUSKRJPN</v>
      </c>
      <c r="Q136" s="79" t="s">
        <v>20</v>
      </c>
      <c r="R136" s="67" t="s">
        <v>59</v>
      </c>
      <c r="S136" s="157" t="s">
        <v>10</v>
      </c>
      <c r="T136" s="79" t="s">
        <v>449</v>
      </c>
      <c r="U136" s="104" t="s">
        <v>816</v>
      </c>
      <c r="V136" s="101" t="s">
        <v>7</v>
      </c>
      <c r="W136" s="129" t="s">
        <v>2184</v>
      </c>
      <c r="X136" s="64" t="s">
        <v>521</v>
      </c>
      <c r="Y136" s="282" t="s">
        <v>1286</v>
      </c>
      <c r="Z136" s="282" t="s">
        <v>1592</v>
      </c>
      <c r="AA136" s="37"/>
      <c r="AB136" s="154" t="s">
        <v>225</v>
      </c>
      <c r="AC136" s="235" t="s">
        <v>384</v>
      </c>
      <c r="AD136" s="72" t="s">
        <v>808</v>
      </c>
      <c r="AE136" s="302"/>
      <c r="AF136" s="67"/>
      <c r="AG136" s="67"/>
      <c r="AH136" s="122" t="s">
        <v>394</v>
      </c>
      <c r="AI136" s="24"/>
      <c r="AJ136" s="24"/>
      <c r="AK136" s="24"/>
      <c r="AL136" s="24"/>
    </row>
    <row r="137" spans="1:38">
      <c r="A137" s="51">
        <v>128</v>
      </c>
      <c r="B137" s="51" t="str">
        <f t="shared" si="2"/>
        <v>0080</v>
      </c>
      <c r="C137" s="94" t="s">
        <v>870</v>
      </c>
      <c r="D137" s="55" t="s">
        <v>232</v>
      </c>
      <c r="E137" s="282" t="s">
        <v>1233</v>
      </c>
      <c r="F137" s="178" t="s">
        <v>1044</v>
      </c>
      <c r="G137" s="178" t="s">
        <v>345</v>
      </c>
      <c r="H137" s="55" t="s">
        <v>637</v>
      </c>
      <c r="I137" s="79" t="s">
        <v>815</v>
      </c>
      <c r="J137" s="127" t="s">
        <v>0</v>
      </c>
      <c r="K137" s="127" t="s">
        <v>452</v>
      </c>
      <c r="L137" s="158" t="s">
        <v>1271</v>
      </c>
      <c r="M137" s="55" t="s">
        <v>257</v>
      </c>
      <c r="N137" s="282" t="s">
        <v>1215</v>
      </c>
      <c r="O137" s="238" t="s">
        <v>825</v>
      </c>
      <c r="P137" s="64" t="str">
        <f ca="1">IF(AND(OR(INDIRECT("K" &amp; ROW())="NAV-Premium",INDIRECT("K" &amp; ROW())="DA-Premium"),INDIRECT("M" &amp; ROW())="PARTITION_SCHEMA128__NavPiviJpn", INDIRECT("O" &amp; ROW())="JPN_SDB"),'SDB vs GN'!$B$41, IF(INDIRECT("H" &amp; ROW())="Chenc",'SDB vs GN'!$B$40, VLOOKUP(INDIRECT("O" &amp; ROW()),'SDB vs GN'!$A$16:$B$38,2,FALSE)))</f>
        <v>831_AUSKRJPN</v>
      </c>
      <c r="Q137" s="79" t="s">
        <v>20</v>
      </c>
      <c r="R137" s="67" t="s">
        <v>59</v>
      </c>
      <c r="S137" s="157" t="s">
        <v>10</v>
      </c>
      <c r="T137" s="79" t="s">
        <v>449</v>
      </c>
      <c r="U137" s="104" t="s">
        <v>816</v>
      </c>
      <c r="V137" s="175" t="s">
        <v>605</v>
      </c>
      <c r="W137" s="129" t="s">
        <v>447</v>
      </c>
      <c r="X137" s="64" t="s">
        <v>521</v>
      </c>
      <c r="Y137" s="282" t="s">
        <v>1286</v>
      </c>
      <c r="Z137" s="282" t="s">
        <v>1592</v>
      </c>
      <c r="AA137" s="37"/>
      <c r="AB137" s="154" t="s">
        <v>225</v>
      </c>
      <c r="AC137" s="235" t="s">
        <v>386</v>
      </c>
      <c r="AD137" s="72" t="s">
        <v>808</v>
      </c>
      <c r="AE137" s="302"/>
      <c r="AF137" s="67"/>
      <c r="AG137" s="67"/>
      <c r="AH137" s="122" t="s">
        <v>395</v>
      </c>
      <c r="AI137" s="24"/>
      <c r="AJ137" s="24"/>
      <c r="AK137" s="24"/>
      <c r="AL137" s="24"/>
    </row>
    <row r="138" spans="1:38">
      <c r="A138" s="51">
        <v>129</v>
      </c>
      <c r="B138" s="51" t="str">
        <f t="shared" si="2"/>
        <v>0081</v>
      </c>
      <c r="C138" s="94" t="s">
        <v>375</v>
      </c>
      <c r="D138" s="55" t="s">
        <v>232</v>
      </c>
      <c r="E138" s="282" t="s">
        <v>1233</v>
      </c>
      <c r="F138" s="178" t="s">
        <v>1044</v>
      </c>
      <c r="G138" s="178" t="s">
        <v>345</v>
      </c>
      <c r="H138" s="55" t="s">
        <v>637</v>
      </c>
      <c r="I138" s="79" t="s">
        <v>815</v>
      </c>
      <c r="J138" s="127" t="s">
        <v>0</v>
      </c>
      <c r="K138" s="127" t="s">
        <v>452</v>
      </c>
      <c r="L138" s="158" t="s">
        <v>1271</v>
      </c>
      <c r="M138" s="55" t="s">
        <v>257</v>
      </c>
      <c r="N138" s="282" t="s">
        <v>1215</v>
      </c>
      <c r="O138" s="238" t="s">
        <v>826</v>
      </c>
      <c r="P138" s="64" t="str">
        <f ca="1">IF(AND(OR(INDIRECT("K" &amp; ROW())="NAV-Premium",INDIRECT("K" &amp; ROW())="DA-Premium"),INDIRECT("M" &amp; ROW())="PARTITION_SCHEMA128__NavPiviJpn", INDIRECT("O" &amp; ROW())="JPN_SDB"),'SDB vs GN'!$B$41, IF(INDIRECT("H" &amp; ROW())="Chenc",'SDB vs GN'!$B$40, VLOOKUP(INDIRECT("O" &amp; ROW()),'SDB vs GN'!$A$16:$B$38,2,FALSE)))</f>
        <v>731_EUR</v>
      </c>
      <c r="Q138" s="79" t="s">
        <v>20</v>
      </c>
      <c r="R138" s="67" t="s">
        <v>59</v>
      </c>
      <c r="S138" s="157" t="s">
        <v>10</v>
      </c>
      <c r="T138" s="79" t="s">
        <v>449</v>
      </c>
      <c r="U138" s="104" t="s">
        <v>816</v>
      </c>
      <c r="V138" s="172" t="s">
        <v>606</v>
      </c>
      <c r="W138" s="129" t="s">
        <v>447</v>
      </c>
      <c r="X138" s="64" t="s">
        <v>521</v>
      </c>
      <c r="Y138" s="282" t="s">
        <v>1286</v>
      </c>
      <c r="Z138" s="282" t="s">
        <v>1592</v>
      </c>
      <c r="AA138" s="37"/>
      <c r="AB138" s="154" t="s">
        <v>225</v>
      </c>
      <c r="AC138" s="235" t="s">
        <v>385</v>
      </c>
      <c r="AD138" s="72" t="s">
        <v>808</v>
      </c>
      <c r="AE138" s="302"/>
      <c r="AF138" s="67"/>
      <c r="AG138" s="67"/>
      <c r="AH138" s="122" t="s">
        <v>463</v>
      </c>
      <c r="AI138" s="24"/>
      <c r="AJ138" s="24"/>
      <c r="AK138" s="24"/>
      <c r="AL138" s="24"/>
    </row>
    <row r="139" spans="1:38" ht="52.8">
      <c r="A139" s="51">
        <v>130</v>
      </c>
      <c r="B139" s="51" t="str">
        <f t="shared" si="2"/>
        <v>0082</v>
      </c>
      <c r="C139" s="94" t="s">
        <v>431</v>
      </c>
      <c r="D139" s="55" t="s">
        <v>187</v>
      </c>
      <c r="E139" s="282" t="s">
        <v>1233</v>
      </c>
      <c r="F139" s="178" t="s">
        <v>1044</v>
      </c>
      <c r="G139" s="178" t="s">
        <v>345</v>
      </c>
      <c r="H139" s="55" t="s">
        <v>637</v>
      </c>
      <c r="I139" s="79" t="s">
        <v>815</v>
      </c>
      <c r="J139" s="94" t="s">
        <v>0</v>
      </c>
      <c r="K139" s="79" t="s">
        <v>453</v>
      </c>
      <c r="L139" s="158" t="s">
        <v>1271</v>
      </c>
      <c r="M139" s="55" t="s">
        <v>254</v>
      </c>
      <c r="N139" s="282" t="s">
        <v>1215</v>
      </c>
      <c r="O139" s="238" t="s">
        <v>126</v>
      </c>
      <c r="P139" s="64" t="str">
        <f ca="1">IF(AND(OR(INDIRECT("K" &amp; ROW())="NAV-Premium",INDIRECT("K" &amp; ROW())="DA-Premium"),INDIRECT("M" &amp; ROW())="PARTITION_SCHEMA128__NavPiviJpn", INDIRECT("O" &amp; ROW())="JPN_SDB"),'SDB vs GN'!$B$41, IF(INDIRECT("H" &amp; ROW())="Chenc",'SDB vs GN'!$B$40, VLOOKUP(INDIRECT("O" &amp; ROW()),'SDB vs GN'!$A$16:$B$38,2,FALSE)))</f>
        <v>735_LA</v>
      </c>
      <c r="Q139" s="79" t="s">
        <v>396</v>
      </c>
      <c r="R139" s="67" t="s">
        <v>59</v>
      </c>
      <c r="S139" s="157" t="s">
        <v>10</v>
      </c>
      <c r="T139" s="79" t="s">
        <v>449</v>
      </c>
      <c r="U139" s="104" t="s">
        <v>816</v>
      </c>
      <c r="V139" s="172" t="s">
        <v>616</v>
      </c>
      <c r="W139" s="129" t="s">
        <v>447</v>
      </c>
      <c r="X139" s="64" t="s">
        <v>521</v>
      </c>
      <c r="Y139" s="282" t="s">
        <v>1286</v>
      </c>
      <c r="Z139" s="282" t="s">
        <v>1592</v>
      </c>
      <c r="AA139" s="37"/>
      <c r="AB139" s="154" t="s">
        <v>225</v>
      </c>
      <c r="AC139" s="229" t="s">
        <v>662</v>
      </c>
      <c r="AD139" s="72" t="s">
        <v>808</v>
      </c>
      <c r="AE139" s="302"/>
      <c r="AF139" s="67"/>
      <c r="AG139" s="67"/>
      <c r="AH139" s="67" t="s">
        <v>663</v>
      </c>
      <c r="AI139" s="24"/>
      <c r="AJ139" s="24"/>
      <c r="AK139" s="24"/>
      <c r="AL139" s="24"/>
    </row>
    <row r="140" spans="1:38" ht="52.8">
      <c r="A140" s="51">
        <v>131</v>
      </c>
      <c r="B140" s="51" t="str">
        <f t="shared" si="2"/>
        <v>0083</v>
      </c>
      <c r="C140" s="76" t="s">
        <v>887</v>
      </c>
      <c r="D140" s="55" t="s">
        <v>187</v>
      </c>
      <c r="E140" s="282" t="s">
        <v>1233</v>
      </c>
      <c r="F140" s="178" t="s">
        <v>1044</v>
      </c>
      <c r="G140" s="178" t="s">
        <v>345</v>
      </c>
      <c r="H140" s="55" t="s">
        <v>637</v>
      </c>
      <c r="I140" s="79" t="s">
        <v>815</v>
      </c>
      <c r="J140" s="94" t="s">
        <v>0</v>
      </c>
      <c r="K140" s="79" t="s">
        <v>453</v>
      </c>
      <c r="L140" s="158" t="s">
        <v>1271</v>
      </c>
      <c r="M140" s="55" t="s">
        <v>254</v>
      </c>
      <c r="N140" s="282" t="s">
        <v>1215</v>
      </c>
      <c r="O140" s="238" t="s">
        <v>825</v>
      </c>
      <c r="P140" s="64" t="str">
        <f ca="1">IF(AND(OR(INDIRECT("K" &amp; ROW())="NAV-Premium",INDIRECT("K" &amp; ROW())="DA-Premium"),INDIRECT("M" &amp; ROW())="PARTITION_SCHEMA128__NavPiviJpn", INDIRECT("O" &amp; ROW())="JPN_SDB"),'SDB vs GN'!$B$41, IF(INDIRECT("H" &amp; ROW())="Chenc",'SDB vs GN'!$B$40, VLOOKUP(INDIRECT("O" &amp; ROW()),'SDB vs GN'!$A$16:$B$38,2,FALSE)))</f>
        <v>831_AUSKRJPN</v>
      </c>
      <c r="Q140" s="79" t="s">
        <v>396</v>
      </c>
      <c r="R140" s="67" t="s">
        <v>59</v>
      </c>
      <c r="S140" s="157" t="s">
        <v>10</v>
      </c>
      <c r="T140" s="79" t="s">
        <v>449</v>
      </c>
      <c r="U140" s="104" t="s">
        <v>816</v>
      </c>
      <c r="V140" s="172" t="s">
        <v>617</v>
      </c>
      <c r="W140" s="129" t="s">
        <v>447</v>
      </c>
      <c r="X140" s="64" t="s">
        <v>521</v>
      </c>
      <c r="Y140" s="282" t="s">
        <v>1286</v>
      </c>
      <c r="Z140" s="282" t="s">
        <v>1592</v>
      </c>
      <c r="AA140" s="37"/>
      <c r="AB140" s="154" t="s">
        <v>225</v>
      </c>
      <c r="AC140" s="229" t="s">
        <v>670</v>
      </c>
      <c r="AD140" s="72" t="s">
        <v>808</v>
      </c>
      <c r="AE140" s="302"/>
      <c r="AF140" s="67"/>
      <c r="AG140" s="67"/>
      <c r="AH140" s="67" t="s">
        <v>671</v>
      </c>
      <c r="AI140" s="24"/>
      <c r="AJ140" s="24"/>
      <c r="AK140" s="24"/>
      <c r="AL140" s="24"/>
    </row>
    <row r="141" spans="1:38" ht="79.2">
      <c r="A141" s="51">
        <v>132</v>
      </c>
      <c r="B141" s="51" t="str">
        <f t="shared" si="2"/>
        <v>0084</v>
      </c>
      <c r="C141" s="94" t="s">
        <v>440</v>
      </c>
      <c r="D141" s="94" t="s">
        <v>136</v>
      </c>
      <c r="E141" s="314" t="s">
        <v>1233</v>
      </c>
      <c r="F141" s="177" t="s">
        <v>1046</v>
      </c>
      <c r="G141" s="177" t="s">
        <v>344</v>
      </c>
      <c r="H141" s="55" t="s">
        <v>637</v>
      </c>
      <c r="I141" s="158" t="s">
        <v>4</v>
      </c>
      <c r="J141" s="94" t="s">
        <v>0</v>
      </c>
      <c r="K141" s="127" t="s">
        <v>451</v>
      </c>
      <c r="L141" s="158" t="s">
        <v>1271</v>
      </c>
      <c r="M141" s="55" t="s">
        <v>255</v>
      </c>
      <c r="N141" s="282" t="s">
        <v>1215</v>
      </c>
      <c r="O141" s="238" t="s">
        <v>827</v>
      </c>
      <c r="P141" s="64" t="str">
        <f ca="1">IF(AND(OR(INDIRECT("K" &amp; ROW())="NAV-Premium",INDIRECT("K" &amp; ROW())="DA-Premium"),INDIRECT("M" &amp; ROW())="PARTITION_SCHEMA128__NavPiviJpn", INDIRECT("O" &amp; ROW())="JPN_SDB"),'SDB vs GN'!$B$41, IF(INDIRECT("H" &amp; ROW())="Chenc",'SDB vs GN'!$B$40, VLOOKUP(INDIRECT("O" &amp; ROW()),'SDB vs GN'!$A$16:$B$38,2,FALSE)))</f>
        <v>734_CN_831_AUSKRJPN</v>
      </c>
      <c r="Q141" s="79" t="s">
        <v>396</v>
      </c>
      <c r="R141" s="67" t="s">
        <v>59</v>
      </c>
      <c r="S141" s="157" t="s">
        <v>10</v>
      </c>
      <c r="T141" s="79" t="s">
        <v>449</v>
      </c>
      <c r="U141" s="104" t="s">
        <v>816</v>
      </c>
      <c r="V141" s="172" t="s">
        <v>7</v>
      </c>
      <c r="W141" s="129" t="s">
        <v>2184</v>
      </c>
      <c r="X141" s="64" t="s">
        <v>521</v>
      </c>
      <c r="Y141" s="282" t="s">
        <v>1286</v>
      </c>
      <c r="Z141" s="282" t="s">
        <v>1592</v>
      </c>
      <c r="AA141" s="37"/>
      <c r="AB141" s="131" t="s">
        <v>420</v>
      </c>
      <c r="AC141" s="226" t="s">
        <v>865</v>
      </c>
      <c r="AD141" s="72" t="s">
        <v>808</v>
      </c>
      <c r="AE141" s="302"/>
      <c r="AF141" s="67"/>
      <c r="AG141" s="67"/>
      <c r="AH141" s="67" t="s">
        <v>866</v>
      </c>
      <c r="AI141" s="24"/>
      <c r="AJ141" s="24"/>
      <c r="AK141" s="24"/>
      <c r="AL141" s="24"/>
    </row>
    <row r="142" spans="1:38">
      <c r="A142" s="51">
        <v>133</v>
      </c>
      <c r="B142" s="51" t="str">
        <f t="shared" si="2"/>
        <v>0085</v>
      </c>
      <c r="C142" s="94" t="s">
        <v>1478</v>
      </c>
      <c r="D142" s="55" t="s">
        <v>232</v>
      </c>
      <c r="E142" s="282" t="s">
        <v>1233</v>
      </c>
      <c r="F142" s="178" t="s">
        <v>1044</v>
      </c>
      <c r="G142" s="178" t="s">
        <v>345</v>
      </c>
      <c r="H142" s="55" t="s">
        <v>637</v>
      </c>
      <c r="I142" s="79" t="s">
        <v>815</v>
      </c>
      <c r="J142" s="94" t="s">
        <v>0</v>
      </c>
      <c r="K142" s="127" t="s">
        <v>452</v>
      </c>
      <c r="L142" s="158" t="s">
        <v>1271</v>
      </c>
      <c r="M142" s="55" t="s">
        <v>254</v>
      </c>
      <c r="N142" s="282" t="s">
        <v>1215</v>
      </c>
      <c r="O142" s="238" t="s">
        <v>97</v>
      </c>
      <c r="P142" s="64" t="str">
        <f ca="1">IF(AND(OR(INDIRECT("K" &amp; ROW())="NAV-Premium",INDIRECT("K" &amp; ROW())="DA-Premium"),INDIRECT("M" &amp; ROW())="PARTITION_SCHEMA128__NavPiviJpn", INDIRECT("O" &amp; ROW())="JPN_SDB"),'SDB vs GN'!$B$41, IF(INDIRECT("H" &amp; ROW())="Chenc",'SDB vs GN'!$B$40, VLOOKUP(INDIRECT("O" &amp; ROW()),'SDB vs GN'!$A$16:$B$38,2,FALSE)))</f>
        <v>734_CN_831_AUSKRJPN</v>
      </c>
      <c r="Q142" s="79" t="s">
        <v>396</v>
      </c>
      <c r="R142" s="64" t="s">
        <v>61</v>
      </c>
      <c r="S142" s="157" t="s">
        <v>10</v>
      </c>
      <c r="T142" s="79" t="s">
        <v>449</v>
      </c>
      <c r="U142" s="104" t="s">
        <v>816</v>
      </c>
      <c r="V142" s="172" t="s">
        <v>601</v>
      </c>
      <c r="W142" s="129" t="s">
        <v>447</v>
      </c>
      <c r="X142" s="64" t="s">
        <v>521</v>
      </c>
      <c r="Y142" s="282" t="s">
        <v>1286</v>
      </c>
      <c r="Z142" s="282" t="s">
        <v>1592</v>
      </c>
      <c r="AA142" s="37"/>
      <c r="AB142" s="154" t="s">
        <v>225</v>
      </c>
      <c r="AC142" s="229" t="s">
        <v>1246</v>
      </c>
      <c r="AD142" s="72" t="s">
        <v>808</v>
      </c>
      <c r="AE142" s="302"/>
      <c r="AF142" s="67"/>
      <c r="AG142" s="67"/>
      <c r="AH142" s="67" t="s">
        <v>1245</v>
      </c>
      <c r="AI142" s="24"/>
      <c r="AJ142" s="24"/>
      <c r="AK142" s="24"/>
      <c r="AL142" s="24"/>
    </row>
    <row r="143" spans="1:38" ht="105.6">
      <c r="A143" s="51">
        <v>134</v>
      </c>
      <c r="B143" s="51" t="str">
        <f t="shared" si="2"/>
        <v>0086</v>
      </c>
      <c r="C143" s="94" t="s">
        <v>419</v>
      </c>
      <c r="D143" s="94" t="s">
        <v>136</v>
      </c>
      <c r="E143" s="314" t="s">
        <v>1233</v>
      </c>
      <c r="F143" s="177" t="s">
        <v>1046</v>
      </c>
      <c r="G143" s="177" t="s">
        <v>344</v>
      </c>
      <c r="H143" s="55" t="s">
        <v>637</v>
      </c>
      <c r="I143" s="158" t="s">
        <v>4</v>
      </c>
      <c r="J143" s="94" t="s">
        <v>0</v>
      </c>
      <c r="K143" s="127" t="s">
        <v>451</v>
      </c>
      <c r="L143" s="158" t="s">
        <v>1271</v>
      </c>
      <c r="M143" s="55" t="s">
        <v>255</v>
      </c>
      <c r="N143" s="282" t="s">
        <v>1215</v>
      </c>
      <c r="O143" s="249" t="s">
        <v>828</v>
      </c>
      <c r="P143" s="64" t="str">
        <f ca="1">IF(AND(OR(INDIRECT("K" &amp; ROW())="NAV-Premium",INDIRECT("K" &amp; ROW())="DA-Premium"),INDIRECT("M" &amp; ROW())="PARTITION_SCHEMA128__NavPiviJpn", INDIRECT("O" &amp; ROW())="JPN_SDB"),'SDB vs GN'!$B$41, IF(INDIRECT("H" &amp; ROW())="Chenc",'SDB vs GN'!$B$40, VLOOKUP(INDIRECT("O" &amp; ROW()),'SDB vs GN'!$A$16:$B$38,2,FALSE)))</f>
        <v>735_LA_831_AUSKRJPN</v>
      </c>
      <c r="Q143" s="79" t="s">
        <v>396</v>
      </c>
      <c r="R143" s="67" t="s">
        <v>59</v>
      </c>
      <c r="S143" s="157" t="s">
        <v>10</v>
      </c>
      <c r="T143" s="79" t="s">
        <v>449</v>
      </c>
      <c r="U143" s="104" t="s">
        <v>816</v>
      </c>
      <c r="V143" s="172" t="s">
        <v>7</v>
      </c>
      <c r="W143" s="129" t="s">
        <v>2184</v>
      </c>
      <c r="X143" s="64" t="s">
        <v>521</v>
      </c>
      <c r="Y143" s="282" t="s">
        <v>1286</v>
      </c>
      <c r="Z143" s="282" t="s">
        <v>1592</v>
      </c>
      <c r="AA143" s="37"/>
      <c r="AB143" s="131" t="s">
        <v>225</v>
      </c>
      <c r="AC143" s="229" t="s">
        <v>820</v>
      </c>
      <c r="AD143" s="72" t="s">
        <v>808</v>
      </c>
      <c r="AE143" s="302"/>
      <c r="AF143" s="67"/>
      <c r="AG143" s="67"/>
      <c r="AH143" s="72" t="s">
        <v>821</v>
      </c>
      <c r="AI143" s="24"/>
      <c r="AJ143" s="24"/>
      <c r="AK143" s="24"/>
      <c r="AL143" s="24"/>
    </row>
    <row r="144" spans="1:38">
      <c r="A144" s="51">
        <v>135</v>
      </c>
      <c r="B144" s="51" t="str">
        <f t="shared" si="2"/>
        <v>0087</v>
      </c>
      <c r="C144" s="94" t="s">
        <v>430</v>
      </c>
      <c r="D144" s="55" t="s">
        <v>232</v>
      </c>
      <c r="E144" s="282" t="s">
        <v>1233</v>
      </c>
      <c r="F144" s="178" t="s">
        <v>1044</v>
      </c>
      <c r="G144" s="178" t="s">
        <v>345</v>
      </c>
      <c r="H144" s="55" t="s">
        <v>637</v>
      </c>
      <c r="I144" s="79" t="s">
        <v>815</v>
      </c>
      <c r="J144" s="94" t="s">
        <v>0</v>
      </c>
      <c r="K144" s="127" t="s">
        <v>452</v>
      </c>
      <c r="L144" s="158" t="s">
        <v>1271</v>
      </c>
      <c r="M144" s="55" t="s">
        <v>254</v>
      </c>
      <c r="N144" s="282" t="s">
        <v>1215</v>
      </c>
      <c r="O144" s="238" t="s">
        <v>97</v>
      </c>
      <c r="P144" s="64" t="str">
        <f ca="1">IF(AND(OR(INDIRECT("K" &amp; ROW())="NAV-Premium",INDIRECT("K" &amp; ROW())="DA-Premium"),INDIRECT("M" &amp; ROW())="PARTITION_SCHEMA128__NavPiviJpn", INDIRECT("O" &amp; ROW())="JPN_SDB"),'SDB vs GN'!$B$41, IF(INDIRECT("H" &amp; ROW())="Chenc",'SDB vs GN'!$B$40, VLOOKUP(INDIRECT("O" &amp; ROW()),'SDB vs GN'!$A$16:$B$38,2,FALSE)))</f>
        <v>734_CN_831_AUSKRJPN</v>
      </c>
      <c r="Q144" s="79" t="s">
        <v>396</v>
      </c>
      <c r="R144" s="67" t="s">
        <v>59</v>
      </c>
      <c r="S144" s="157" t="s">
        <v>10</v>
      </c>
      <c r="T144" s="79" t="s">
        <v>449</v>
      </c>
      <c r="U144" s="104" t="s">
        <v>816</v>
      </c>
      <c r="V144" s="172" t="s">
        <v>601</v>
      </c>
      <c r="W144" s="129" t="s">
        <v>447</v>
      </c>
      <c r="X144" s="64" t="s">
        <v>362</v>
      </c>
      <c r="Y144" s="282" t="s">
        <v>1286</v>
      </c>
      <c r="Z144" s="282" t="s">
        <v>1592</v>
      </c>
      <c r="AA144" s="37"/>
      <c r="AB144" s="154" t="s">
        <v>225</v>
      </c>
      <c r="AC144" s="229" t="s">
        <v>399</v>
      </c>
      <c r="AD144" s="72" t="s">
        <v>808</v>
      </c>
      <c r="AE144" s="302"/>
      <c r="AF144" s="67"/>
      <c r="AG144" s="67"/>
      <c r="AH144" s="94" t="s">
        <v>426</v>
      </c>
      <c r="AI144" s="24"/>
      <c r="AJ144" s="24"/>
      <c r="AK144" s="24"/>
      <c r="AL144" s="24"/>
    </row>
    <row r="145" spans="1:38">
      <c r="A145" s="51">
        <v>136</v>
      </c>
      <c r="B145" s="51" t="str">
        <f t="shared" si="2"/>
        <v>0088</v>
      </c>
      <c r="C145" s="94" t="s">
        <v>402</v>
      </c>
      <c r="D145" s="55" t="s">
        <v>232</v>
      </c>
      <c r="E145" s="282" t="s">
        <v>1233</v>
      </c>
      <c r="F145" s="178" t="s">
        <v>1044</v>
      </c>
      <c r="G145" s="178" t="s">
        <v>345</v>
      </c>
      <c r="H145" s="55" t="s">
        <v>637</v>
      </c>
      <c r="I145" s="79" t="s">
        <v>815</v>
      </c>
      <c r="J145" s="94" t="s">
        <v>0</v>
      </c>
      <c r="K145" s="127" t="s">
        <v>452</v>
      </c>
      <c r="L145" s="158" t="s">
        <v>1271</v>
      </c>
      <c r="M145" s="55" t="s">
        <v>254</v>
      </c>
      <c r="N145" s="282" t="s">
        <v>1215</v>
      </c>
      <c r="O145" s="238" t="s">
        <v>97</v>
      </c>
      <c r="P145" s="64" t="str">
        <f ca="1">IF(AND(OR(INDIRECT("K" &amp; ROW())="NAV-Premium",INDIRECT("K" &amp; ROW())="DA-Premium"),INDIRECT("M" &amp; ROW())="PARTITION_SCHEMA128__NavPiviJpn", INDIRECT("O" &amp; ROW())="JPN_SDB"),'SDB vs GN'!$B$41, IF(INDIRECT("H" &amp; ROW())="Chenc",'SDB vs GN'!$B$40, VLOOKUP(INDIRECT("O" &amp; ROW()),'SDB vs GN'!$A$16:$B$38,2,FALSE)))</f>
        <v>734_CN_831_AUSKRJPN</v>
      </c>
      <c r="Q145" s="79" t="s">
        <v>396</v>
      </c>
      <c r="R145" s="67" t="s">
        <v>59</v>
      </c>
      <c r="S145" s="157" t="s">
        <v>10</v>
      </c>
      <c r="T145" s="79" t="s">
        <v>449</v>
      </c>
      <c r="U145" s="104" t="s">
        <v>816</v>
      </c>
      <c r="V145" s="172" t="s">
        <v>614</v>
      </c>
      <c r="W145" s="129" t="s">
        <v>447</v>
      </c>
      <c r="X145" s="64" t="s">
        <v>521</v>
      </c>
      <c r="Y145" s="282" t="s">
        <v>1286</v>
      </c>
      <c r="Z145" s="282" t="s">
        <v>1592</v>
      </c>
      <c r="AA145" s="37"/>
      <c r="AB145" s="154" t="s">
        <v>225</v>
      </c>
      <c r="AC145" s="229" t="s">
        <v>357</v>
      </c>
      <c r="AD145" s="72" t="s">
        <v>808</v>
      </c>
      <c r="AE145" s="302"/>
      <c r="AF145" s="67"/>
      <c r="AG145" s="67"/>
      <c r="AH145" s="94" t="s">
        <v>421</v>
      </c>
      <c r="AI145" s="24"/>
      <c r="AJ145" s="24"/>
      <c r="AK145" s="24"/>
      <c r="AL145" s="24"/>
    </row>
    <row r="146" spans="1:38" ht="26.4">
      <c r="A146" s="51">
        <v>137</v>
      </c>
      <c r="B146" s="51" t="str">
        <f t="shared" si="2"/>
        <v>0089</v>
      </c>
      <c r="C146" s="94" t="s">
        <v>423</v>
      </c>
      <c r="D146" s="55" t="s">
        <v>232</v>
      </c>
      <c r="E146" s="282" t="s">
        <v>1233</v>
      </c>
      <c r="F146" s="178" t="s">
        <v>1044</v>
      </c>
      <c r="G146" s="178" t="s">
        <v>345</v>
      </c>
      <c r="H146" s="55" t="s">
        <v>637</v>
      </c>
      <c r="I146" s="79" t="s">
        <v>815</v>
      </c>
      <c r="J146" s="94" t="s">
        <v>0</v>
      </c>
      <c r="K146" s="127" t="s">
        <v>452</v>
      </c>
      <c r="L146" s="158" t="s">
        <v>1271</v>
      </c>
      <c r="M146" s="55" t="s">
        <v>254</v>
      </c>
      <c r="N146" s="282" t="s">
        <v>1215</v>
      </c>
      <c r="O146" s="238" t="s">
        <v>97</v>
      </c>
      <c r="P146" s="64" t="str">
        <f ca="1">IF(AND(OR(INDIRECT("K" &amp; ROW())="NAV-Premium",INDIRECT("K" &amp; ROW())="DA-Premium"),INDIRECT("M" &amp; ROW())="PARTITION_SCHEMA128__NavPiviJpn", INDIRECT("O" &amp; ROW())="JPN_SDB"),'SDB vs GN'!$B$41, IF(INDIRECT("H" &amp; ROW())="Chenc",'SDB vs GN'!$B$40, VLOOKUP(INDIRECT("O" &amp; ROW()),'SDB vs GN'!$A$16:$B$38,2,FALSE)))</f>
        <v>734_CN_831_AUSKRJPN</v>
      </c>
      <c r="Q146" s="79" t="s">
        <v>396</v>
      </c>
      <c r="R146" s="67" t="s">
        <v>59</v>
      </c>
      <c r="S146" s="157" t="s">
        <v>10</v>
      </c>
      <c r="T146" s="79" t="s">
        <v>449</v>
      </c>
      <c r="U146" s="104" t="s">
        <v>816</v>
      </c>
      <c r="V146" s="172" t="s">
        <v>601</v>
      </c>
      <c r="W146" s="129" t="s">
        <v>447</v>
      </c>
      <c r="X146" s="64" t="s">
        <v>521</v>
      </c>
      <c r="Y146" s="282" t="s">
        <v>1286</v>
      </c>
      <c r="Z146" s="282" t="s">
        <v>1592</v>
      </c>
      <c r="AA146" s="37"/>
      <c r="AB146" s="154" t="s">
        <v>225</v>
      </c>
      <c r="AC146" s="229" t="s">
        <v>458</v>
      </c>
      <c r="AD146" s="72" t="s">
        <v>808</v>
      </c>
      <c r="AE146" s="302"/>
      <c r="AF146" s="67"/>
      <c r="AG146" s="67"/>
      <c r="AH146" s="72" t="s">
        <v>459</v>
      </c>
      <c r="AI146" s="24"/>
      <c r="AJ146" s="24"/>
      <c r="AK146" s="24"/>
      <c r="AL146" s="24"/>
    </row>
    <row r="147" spans="1:38" ht="52.8">
      <c r="A147" s="51">
        <v>138</v>
      </c>
      <c r="B147" s="51" t="str">
        <f t="shared" si="2"/>
        <v>008A</v>
      </c>
      <c r="C147" s="94" t="s">
        <v>434</v>
      </c>
      <c r="D147" s="94" t="s">
        <v>136</v>
      </c>
      <c r="E147" s="314" t="s">
        <v>1233</v>
      </c>
      <c r="F147" s="177" t="s">
        <v>1046</v>
      </c>
      <c r="G147" s="177" t="s">
        <v>344</v>
      </c>
      <c r="H147" s="55" t="s">
        <v>637</v>
      </c>
      <c r="I147" s="158" t="s">
        <v>4</v>
      </c>
      <c r="J147" s="94" t="s">
        <v>0</v>
      </c>
      <c r="K147" s="127" t="s">
        <v>451</v>
      </c>
      <c r="L147" s="158" t="s">
        <v>1271</v>
      </c>
      <c r="M147" s="55" t="s">
        <v>255</v>
      </c>
      <c r="N147" s="282" t="s">
        <v>1215</v>
      </c>
      <c r="O147" s="238" t="s">
        <v>827</v>
      </c>
      <c r="P147" s="64" t="str">
        <f ca="1">IF(AND(OR(INDIRECT("K" &amp; ROW())="NAV-Premium",INDIRECT("K" &amp; ROW())="DA-Premium"),INDIRECT("M" &amp; ROW())="PARTITION_SCHEMA128__NavPiviJpn", INDIRECT("O" &amp; ROW())="JPN_SDB"),'SDB vs GN'!$B$41, IF(INDIRECT("H" &amp; ROW())="Chenc",'SDB vs GN'!$B$40, VLOOKUP(INDIRECT("O" &amp; ROW()),'SDB vs GN'!$A$16:$B$38,2,FALSE)))</f>
        <v>734_CN_831_AUSKRJPN</v>
      </c>
      <c r="Q147" s="79" t="s">
        <v>396</v>
      </c>
      <c r="R147" s="67" t="s">
        <v>59</v>
      </c>
      <c r="S147" s="157" t="s">
        <v>10</v>
      </c>
      <c r="T147" s="79" t="s">
        <v>449</v>
      </c>
      <c r="U147" s="104" t="s">
        <v>816</v>
      </c>
      <c r="V147" s="172" t="s">
        <v>7</v>
      </c>
      <c r="W147" s="129" t="s">
        <v>2184</v>
      </c>
      <c r="X147" s="64" t="s">
        <v>521</v>
      </c>
      <c r="Y147" s="282" t="s">
        <v>1286</v>
      </c>
      <c r="Z147" s="282" t="s">
        <v>1592</v>
      </c>
      <c r="AA147" s="37"/>
      <c r="AB147" s="131" t="s">
        <v>244</v>
      </c>
      <c r="AC147" s="229" t="s">
        <v>863</v>
      </c>
      <c r="AD147" s="72" t="s">
        <v>808</v>
      </c>
      <c r="AE147" s="302"/>
      <c r="AF147" s="67"/>
      <c r="AG147" s="67"/>
      <c r="AH147" s="67" t="s">
        <v>864</v>
      </c>
      <c r="AI147" s="24"/>
      <c r="AJ147" s="24"/>
      <c r="AK147" s="24"/>
      <c r="AL147" s="24"/>
    </row>
    <row r="148" spans="1:38">
      <c r="A148" s="51">
        <v>139</v>
      </c>
      <c r="B148" s="51" t="str">
        <f t="shared" si="2"/>
        <v>008B</v>
      </c>
      <c r="C148" s="94" t="s">
        <v>869</v>
      </c>
      <c r="D148" s="55" t="s">
        <v>232</v>
      </c>
      <c r="E148" s="282" t="s">
        <v>1233</v>
      </c>
      <c r="F148" s="178" t="s">
        <v>1044</v>
      </c>
      <c r="G148" s="178" t="s">
        <v>345</v>
      </c>
      <c r="H148" s="55" t="s">
        <v>637</v>
      </c>
      <c r="I148" s="79" t="s">
        <v>815</v>
      </c>
      <c r="J148" s="94" t="s">
        <v>0</v>
      </c>
      <c r="K148" s="127" t="s">
        <v>452</v>
      </c>
      <c r="L148" s="158" t="s">
        <v>1271</v>
      </c>
      <c r="M148" s="55" t="s">
        <v>254</v>
      </c>
      <c r="N148" s="282" t="s">
        <v>1215</v>
      </c>
      <c r="O148" s="238" t="s">
        <v>825</v>
      </c>
      <c r="P148" s="64" t="str">
        <f ca="1">IF(AND(OR(INDIRECT("K" &amp; ROW())="NAV-Premium",INDIRECT("K" &amp; ROW())="DA-Premium"),INDIRECT("M" &amp; ROW())="PARTITION_SCHEMA128__NavPiviJpn", INDIRECT("O" &amp; ROW())="JPN_SDB"),'SDB vs GN'!$B$41, IF(INDIRECT("H" &amp; ROW())="Chenc",'SDB vs GN'!$B$40, VLOOKUP(INDIRECT("O" &amp; ROW()),'SDB vs GN'!$A$16:$B$38,2,FALSE)))</f>
        <v>831_AUSKRJPN</v>
      </c>
      <c r="Q148" s="79" t="s">
        <v>396</v>
      </c>
      <c r="R148" s="67" t="s">
        <v>59</v>
      </c>
      <c r="S148" s="157" t="s">
        <v>10</v>
      </c>
      <c r="T148" s="79" t="s">
        <v>449</v>
      </c>
      <c r="U148" s="104" t="s">
        <v>816</v>
      </c>
      <c r="V148" s="172" t="s">
        <v>605</v>
      </c>
      <c r="W148" s="129" t="s">
        <v>447</v>
      </c>
      <c r="X148" s="64" t="s">
        <v>521</v>
      </c>
      <c r="Y148" s="282" t="s">
        <v>1286</v>
      </c>
      <c r="Z148" s="282" t="s">
        <v>1592</v>
      </c>
      <c r="AA148" s="37"/>
      <c r="AB148" s="154" t="s">
        <v>225</v>
      </c>
      <c r="AC148" s="229" t="s">
        <v>397</v>
      </c>
      <c r="AD148" s="72" t="s">
        <v>808</v>
      </c>
      <c r="AE148" s="302"/>
      <c r="AF148" s="67"/>
      <c r="AG148" s="67"/>
      <c r="AH148" s="94" t="s">
        <v>422</v>
      </c>
      <c r="AI148" s="24"/>
      <c r="AJ148" s="24"/>
      <c r="AK148" s="24"/>
      <c r="AL148" s="24"/>
    </row>
    <row r="149" spans="1:38">
      <c r="A149" s="51">
        <v>140</v>
      </c>
      <c r="B149" s="51" t="str">
        <f t="shared" si="2"/>
        <v>008C</v>
      </c>
      <c r="C149" s="94" t="s">
        <v>427</v>
      </c>
      <c r="D149" s="55" t="s">
        <v>232</v>
      </c>
      <c r="E149" s="282" t="s">
        <v>1233</v>
      </c>
      <c r="F149" s="178" t="s">
        <v>1044</v>
      </c>
      <c r="G149" s="178" t="s">
        <v>345</v>
      </c>
      <c r="H149" s="55" t="s">
        <v>637</v>
      </c>
      <c r="I149" s="79" t="s">
        <v>815</v>
      </c>
      <c r="J149" s="94" t="s">
        <v>0</v>
      </c>
      <c r="K149" s="127" t="s">
        <v>452</v>
      </c>
      <c r="L149" s="158" t="s">
        <v>1271</v>
      </c>
      <c r="M149" s="55" t="s">
        <v>254</v>
      </c>
      <c r="N149" s="282" t="s">
        <v>1215</v>
      </c>
      <c r="O149" s="238" t="s">
        <v>826</v>
      </c>
      <c r="P149" s="64" t="str">
        <f ca="1">IF(AND(OR(INDIRECT("K" &amp; ROW())="NAV-Premium",INDIRECT("K" &amp; ROW())="DA-Premium"),INDIRECT("M" &amp; ROW())="PARTITION_SCHEMA128__NavPiviJpn", INDIRECT("O" &amp; ROW())="JPN_SDB"),'SDB vs GN'!$B$41, IF(INDIRECT("H" &amp; ROW())="Chenc",'SDB vs GN'!$B$40, VLOOKUP(INDIRECT("O" &amp; ROW()),'SDB vs GN'!$A$16:$B$38,2,FALSE)))</f>
        <v>731_EUR</v>
      </c>
      <c r="Q149" s="79" t="s">
        <v>396</v>
      </c>
      <c r="R149" s="67" t="s">
        <v>59</v>
      </c>
      <c r="S149" s="157" t="s">
        <v>10</v>
      </c>
      <c r="T149" s="79" t="s">
        <v>449</v>
      </c>
      <c r="U149" s="104" t="s">
        <v>816</v>
      </c>
      <c r="V149" s="172" t="s">
        <v>606</v>
      </c>
      <c r="W149" s="129" t="s">
        <v>447</v>
      </c>
      <c r="X149" s="64" t="s">
        <v>521</v>
      </c>
      <c r="Y149" s="282" t="s">
        <v>1286</v>
      </c>
      <c r="Z149" s="282" t="s">
        <v>1592</v>
      </c>
      <c r="AA149" s="37"/>
      <c r="AB149" s="154" t="s">
        <v>225</v>
      </c>
      <c r="AC149" s="235" t="s">
        <v>398</v>
      </c>
      <c r="AD149" s="72" t="s">
        <v>808</v>
      </c>
      <c r="AE149" s="302"/>
      <c r="AF149" s="67"/>
      <c r="AG149" s="67"/>
      <c r="AH149" s="64" t="s">
        <v>428</v>
      </c>
      <c r="AI149" s="24"/>
      <c r="AJ149" s="24"/>
      <c r="AK149" s="24"/>
      <c r="AL149" s="24"/>
    </row>
    <row r="150" spans="1:38">
      <c r="A150" s="51">
        <v>141</v>
      </c>
      <c r="B150" s="51" t="str">
        <f t="shared" si="2"/>
        <v>008D</v>
      </c>
      <c r="C150" s="94" t="s">
        <v>429</v>
      </c>
      <c r="D150" s="94" t="s">
        <v>230</v>
      </c>
      <c r="E150" s="314" t="s">
        <v>1233</v>
      </c>
      <c r="F150" s="177" t="s">
        <v>1046</v>
      </c>
      <c r="G150" s="177" t="s">
        <v>344</v>
      </c>
      <c r="H150" s="55" t="s">
        <v>637</v>
      </c>
      <c r="I150" s="94" t="s">
        <v>4</v>
      </c>
      <c r="J150" s="94" t="s">
        <v>0</v>
      </c>
      <c r="K150" s="64" t="s">
        <v>451</v>
      </c>
      <c r="L150" s="94" t="s">
        <v>1271</v>
      </c>
      <c r="M150" s="94" t="s">
        <v>255</v>
      </c>
      <c r="N150" s="282" t="s">
        <v>1215</v>
      </c>
      <c r="O150" s="238" t="s">
        <v>53</v>
      </c>
      <c r="P150" s="64" t="str">
        <f ca="1">IF(AND(OR(INDIRECT("K" &amp; ROW())="NAV-Premium",INDIRECT("K" &amp; ROW())="DA-Premium"),INDIRECT("M" &amp; ROW())="PARTITION_SCHEMA128__NavPiviJpn", INDIRECT("O" &amp; ROW())="JPN_SDB"),'SDB vs GN'!$B$41, IF(INDIRECT("H" &amp; ROW())="Chenc",'SDB vs GN'!$B$40, VLOOKUP(INDIRECT("O" &amp; ROW()),'SDB vs GN'!$A$16:$B$38,2,FALSE)))</f>
        <v>No_Gracenote</v>
      </c>
      <c r="Q150" s="79" t="s">
        <v>396</v>
      </c>
      <c r="R150" s="94" t="s">
        <v>59</v>
      </c>
      <c r="S150" s="157" t="s">
        <v>10</v>
      </c>
      <c r="T150" s="94" t="s">
        <v>449</v>
      </c>
      <c r="U150" s="104" t="s">
        <v>816</v>
      </c>
      <c r="V150" s="172" t="s">
        <v>7</v>
      </c>
      <c r="W150" s="76" t="s">
        <v>2184</v>
      </c>
      <c r="X150" s="94" t="s">
        <v>521</v>
      </c>
      <c r="Y150" s="282" t="s">
        <v>1286</v>
      </c>
      <c r="Z150" s="282" t="s">
        <v>1592</v>
      </c>
      <c r="AA150" s="96"/>
      <c r="AB150" s="154" t="s">
        <v>225</v>
      </c>
      <c r="AC150" s="235" t="s">
        <v>406</v>
      </c>
      <c r="AD150" s="72" t="s">
        <v>808</v>
      </c>
      <c r="AE150" s="302"/>
      <c r="AF150" s="67"/>
      <c r="AG150" s="67"/>
      <c r="AH150" s="72" t="s">
        <v>435</v>
      </c>
      <c r="AI150" s="24"/>
      <c r="AJ150" s="24"/>
      <c r="AK150" s="24"/>
      <c r="AL150" s="24"/>
    </row>
    <row r="151" spans="1:38">
      <c r="A151" s="51">
        <v>142</v>
      </c>
      <c r="B151" s="51" t="str">
        <f t="shared" si="2"/>
        <v>008E</v>
      </c>
      <c r="C151" s="112" t="s">
        <v>436</v>
      </c>
      <c r="D151" s="55" t="s">
        <v>95</v>
      </c>
      <c r="E151" s="282" t="s">
        <v>1233</v>
      </c>
      <c r="F151" s="178" t="s">
        <v>1044</v>
      </c>
      <c r="G151" s="178" t="s">
        <v>345</v>
      </c>
      <c r="H151" s="55" t="s">
        <v>637</v>
      </c>
      <c r="I151" s="94" t="s">
        <v>815</v>
      </c>
      <c r="J151" s="55" t="s">
        <v>0</v>
      </c>
      <c r="K151" s="55" t="s">
        <v>452</v>
      </c>
      <c r="L151" s="100" t="s">
        <v>1271</v>
      </c>
      <c r="M151" s="55" t="s">
        <v>257</v>
      </c>
      <c r="N151" s="282" t="s">
        <v>1215</v>
      </c>
      <c r="O151" s="238" t="s">
        <v>84</v>
      </c>
      <c r="P151" s="64" t="str">
        <f ca="1">IF(AND(OR(INDIRECT("K" &amp; ROW())="NAV-Premium",INDIRECT("K" &amp; ROW())="DA-Premium"),INDIRECT("M" &amp; ROW())="PARTITION_SCHEMA128__NavPiviJpn", INDIRECT("O" &amp; ROW())="JPN_SDB"),'SDB vs GN'!$B$41, IF(INDIRECT("H" &amp; ROW())="Chenc",'SDB vs GN'!$B$40, VLOOKUP(INDIRECT("O" &amp; ROW()),'SDB vs GN'!$A$16:$B$38,2,FALSE)))</f>
        <v>727_NAM</v>
      </c>
      <c r="Q151" s="64" t="s">
        <v>20</v>
      </c>
      <c r="R151" s="102" t="s">
        <v>60</v>
      </c>
      <c r="S151" s="103" t="s">
        <v>10</v>
      </c>
      <c r="T151" s="64" t="s">
        <v>450</v>
      </c>
      <c r="U151" s="104" t="s">
        <v>816</v>
      </c>
      <c r="V151" s="173" t="s">
        <v>608</v>
      </c>
      <c r="W151" s="76" t="s">
        <v>447</v>
      </c>
      <c r="X151" s="64" t="s">
        <v>522</v>
      </c>
      <c r="Y151" s="282" t="s">
        <v>1286</v>
      </c>
      <c r="Z151" s="282" t="s">
        <v>1592</v>
      </c>
      <c r="AA151" s="96"/>
      <c r="AB151" s="154" t="s">
        <v>225</v>
      </c>
      <c r="AC151" s="229" t="s">
        <v>414</v>
      </c>
      <c r="AD151" s="72" t="s">
        <v>808</v>
      </c>
      <c r="AE151" s="302"/>
      <c r="AF151" s="67"/>
      <c r="AG151" s="67"/>
      <c r="AH151" s="72" t="s">
        <v>636</v>
      </c>
    </row>
    <row r="152" spans="1:38" ht="79.2">
      <c r="A152" s="51">
        <v>143</v>
      </c>
      <c r="B152" s="51" t="str">
        <f t="shared" si="2"/>
        <v>008F</v>
      </c>
      <c r="C152" s="94" t="s">
        <v>771</v>
      </c>
      <c r="D152" s="94" t="s">
        <v>136</v>
      </c>
      <c r="E152" s="314" t="s">
        <v>1233</v>
      </c>
      <c r="F152" s="177" t="s">
        <v>1046</v>
      </c>
      <c r="G152" s="177" t="s">
        <v>344</v>
      </c>
      <c r="H152" s="55" t="s">
        <v>637</v>
      </c>
      <c r="I152" s="94" t="s">
        <v>4</v>
      </c>
      <c r="J152" s="55" t="s">
        <v>0</v>
      </c>
      <c r="K152" s="64" t="s">
        <v>451</v>
      </c>
      <c r="L152" s="100" t="s">
        <v>1271</v>
      </c>
      <c r="M152" s="55" t="s">
        <v>255</v>
      </c>
      <c r="N152" s="282" t="s">
        <v>1215</v>
      </c>
      <c r="O152" s="238" t="s">
        <v>828</v>
      </c>
      <c r="P152" s="64" t="str">
        <f ca="1">IF(AND(OR(INDIRECT("K" &amp; ROW())="NAV-Premium",INDIRECT("K" &amp; ROW())="DA-Premium"),INDIRECT("M" &amp; ROW())="PARTITION_SCHEMA128__NavPiviJpn", INDIRECT("O" &amp; ROW())="JPN_SDB"),'SDB vs GN'!$B$41, IF(INDIRECT("H" &amp; ROW())="Chenc",'SDB vs GN'!$B$40, VLOOKUP(INDIRECT("O" &amp; ROW()),'SDB vs GN'!$A$16:$B$38,2,FALSE)))</f>
        <v>735_LA_831_AUSKRJPN</v>
      </c>
      <c r="Q152" s="64" t="s">
        <v>20</v>
      </c>
      <c r="R152" s="94" t="s">
        <v>59</v>
      </c>
      <c r="S152" s="103" t="s">
        <v>10</v>
      </c>
      <c r="T152" s="94" t="s">
        <v>449</v>
      </c>
      <c r="U152" s="104" t="s">
        <v>816</v>
      </c>
      <c r="V152" s="172" t="s">
        <v>7</v>
      </c>
      <c r="W152" s="76" t="s">
        <v>2184</v>
      </c>
      <c r="X152" s="64" t="s">
        <v>521</v>
      </c>
      <c r="Y152" s="282" t="s">
        <v>1286</v>
      </c>
      <c r="Z152" s="282" t="s">
        <v>1592</v>
      </c>
      <c r="AA152" s="37"/>
      <c r="AB152" s="131" t="s">
        <v>225</v>
      </c>
      <c r="AC152" s="229" t="s">
        <v>846</v>
      </c>
      <c r="AD152" s="72" t="s">
        <v>808</v>
      </c>
      <c r="AE152" s="302"/>
      <c r="AF152" s="67"/>
      <c r="AG152" s="67"/>
      <c r="AH152" s="72" t="s">
        <v>845</v>
      </c>
      <c r="AI152" s="24"/>
      <c r="AJ152" s="24"/>
      <c r="AK152" s="24"/>
      <c r="AL152" s="24"/>
    </row>
    <row r="153" spans="1:38" ht="198">
      <c r="A153" s="51">
        <v>144</v>
      </c>
      <c r="B153" s="51" t="str">
        <f t="shared" si="2"/>
        <v>0090</v>
      </c>
      <c r="C153" s="94" t="s">
        <v>916</v>
      </c>
      <c r="D153" s="94" t="s">
        <v>136</v>
      </c>
      <c r="E153" s="314" t="s">
        <v>1233</v>
      </c>
      <c r="F153" s="177" t="s">
        <v>1046</v>
      </c>
      <c r="G153" s="177" t="s">
        <v>344</v>
      </c>
      <c r="H153" s="55" t="s">
        <v>637</v>
      </c>
      <c r="I153" s="94" t="s">
        <v>4</v>
      </c>
      <c r="J153" s="94" t="s">
        <v>0</v>
      </c>
      <c r="K153" s="127" t="s">
        <v>451</v>
      </c>
      <c r="L153" s="94" t="s">
        <v>1271</v>
      </c>
      <c r="M153" s="55" t="s">
        <v>255</v>
      </c>
      <c r="N153" s="282" t="s">
        <v>1215</v>
      </c>
      <c r="O153" s="238" t="s">
        <v>827</v>
      </c>
      <c r="P153" s="64" t="str">
        <f ca="1">IF(AND(OR(INDIRECT("K" &amp; ROW())="NAV-Premium",INDIRECT("K" &amp; ROW())="DA-Premium"),INDIRECT("M" &amp; ROW())="PARTITION_SCHEMA128__NavPiviJpn", INDIRECT("O" &amp; ROW())="JPN_SDB"),'SDB vs GN'!$B$41, IF(INDIRECT("H" &amp; ROW())="Chenc",'SDB vs GN'!$B$40, VLOOKUP(INDIRECT("O" &amp; ROW()),'SDB vs GN'!$A$16:$B$38,2,FALSE)))</f>
        <v>734_CN_831_AUSKRJPN</v>
      </c>
      <c r="Q153" s="79" t="s">
        <v>396</v>
      </c>
      <c r="R153" s="67" t="s">
        <v>59</v>
      </c>
      <c r="S153" s="157" t="s">
        <v>10</v>
      </c>
      <c r="T153" s="79" t="s">
        <v>449</v>
      </c>
      <c r="U153" s="104" t="s">
        <v>816</v>
      </c>
      <c r="V153" s="172" t="s">
        <v>7</v>
      </c>
      <c r="W153" s="76" t="s">
        <v>2184</v>
      </c>
      <c r="X153" s="64" t="s">
        <v>521</v>
      </c>
      <c r="Y153" s="282" t="s">
        <v>1286</v>
      </c>
      <c r="Z153" s="282" t="s">
        <v>1592</v>
      </c>
      <c r="AA153" s="37"/>
      <c r="AB153" s="154" t="s">
        <v>225</v>
      </c>
      <c r="AC153" s="229" t="s">
        <v>2098</v>
      </c>
      <c r="AD153" s="72" t="s">
        <v>808</v>
      </c>
      <c r="AE153" s="302"/>
      <c r="AF153" s="67"/>
      <c r="AG153" s="67"/>
      <c r="AH153" s="67" t="s">
        <v>2356</v>
      </c>
      <c r="AI153" s="24"/>
      <c r="AJ153" s="24"/>
      <c r="AK153" s="24"/>
      <c r="AL153" s="24"/>
    </row>
    <row r="154" spans="1:38" ht="118.8">
      <c r="A154" s="51">
        <v>145</v>
      </c>
      <c r="B154" s="51" t="str">
        <f t="shared" si="2"/>
        <v>0091</v>
      </c>
      <c r="C154" s="79" t="s">
        <v>408</v>
      </c>
      <c r="D154" s="94" t="s">
        <v>136</v>
      </c>
      <c r="E154" s="314" t="s">
        <v>1233</v>
      </c>
      <c r="F154" s="177" t="s">
        <v>1046</v>
      </c>
      <c r="G154" s="177" t="s">
        <v>344</v>
      </c>
      <c r="H154" s="55" t="s">
        <v>637</v>
      </c>
      <c r="I154" s="94" t="s">
        <v>4</v>
      </c>
      <c r="J154" s="55" t="s">
        <v>0</v>
      </c>
      <c r="K154" s="127" t="s">
        <v>451</v>
      </c>
      <c r="L154" s="94" t="s">
        <v>1271</v>
      </c>
      <c r="M154" s="55" t="s">
        <v>255</v>
      </c>
      <c r="N154" s="282" t="s">
        <v>1215</v>
      </c>
      <c r="O154" s="237" t="s">
        <v>781</v>
      </c>
      <c r="P154" s="64" t="str">
        <f ca="1">IF(AND(OR(INDIRECT("K" &amp; ROW())="NAV-Premium",INDIRECT("K" &amp; ROW())="DA-Premium"),INDIRECT("M" &amp; ROW())="PARTITION_SCHEMA128__NavPiviJpn", INDIRECT("O" &amp; ROW())="JPN_SDB"),'SDB vs GN'!$B$41, IF(INDIRECT("H" &amp; ROW())="Chenc",'SDB vs GN'!$B$40, VLOOKUP(INDIRECT("O" &amp; ROW()),'SDB vs GN'!$A$16:$B$38,2,FALSE)))</f>
        <v>731_EUR</v>
      </c>
      <c r="Q154" s="79" t="s">
        <v>396</v>
      </c>
      <c r="R154" s="64" t="s">
        <v>61</v>
      </c>
      <c r="S154" s="157" t="s">
        <v>10</v>
      </c>
      <c r="T154" s="79" t="s">
        <v>449</v>
      </c>
      <c r="U154" s="104" t="s">
        <v>816</v>
      </c>
      <c r="V154" s="172" t="s">
        <v>7</v>
      </c>
      <c r="W154" s="76" t="s">
        <v>2184</v>
      </c>
      <c r="X154" s="64" t="s">
        <v>521</v>
      </c>
      <c r="Y154" s="282" t="s">
        <v>1286</v>
      </c>
      <c r="Z154" s="282" t="s">
        <v>1592</v>
      </c>
      <c r="AA154" s="37"/>
      <c r="AB154" s="154" t="s">
        <v>225</v>
      </c>
      <c r="AC154" s="229" t="s">
        <v>1588</v>
      </c>
      <c r="AD154" s="72" t="s">
        <v>808</v>
      </c>
      <c r="AE154" s="302"/>
      <c r="AF154" s="67"/>
      <c r="AG154" s="67"/>
      <c r="AH154" s="72" t="s">
        <v>2357</v>
      </c>
      <c r="AI154" s="24"/>
      <c r="AJ154" s="24"/>
      <c r="AK154" s="24"/>
      <c r="AL154" s="24"/>
    </row>
    <row r="155" spans="1:38" ht="105.6">
      <c r="A155" s="51">
        <v>146</v>
      </c>
      <c r="B155" s="51" t="str">
        <f t="shared" si="2"/>
        <v>0092</v>
      </c>
      <c r="C155" s="64" t="s">
        <v>1318</v>
      </c>
      <c r="D155" s="94" t="s">
        <v>104</v>
      </c>
      <c r="E155" s="314" t="s">
        <v>1233</v>
      </c>
      <c r="F155" s="169" t="s">
        <v>1048</v>
      </c>
      <c r="G155" s="169" t="s">
        <v>347</v>
      </c>
      <c r="H155" s="55" t="s">
        <v>637</v>
      </c>
      <c r="I155" s="94" t="s">
        <v>815</v>
      </c>
      <c r="J155" s="55" t="s">
        <v>1</v>
      </c>
      <c r="K155" s="79" t="s">
        <v>750</v>
      </c>
      <c r="L155" s="79" t="s">
        <v>500</v>
      </c>
      <c r="M155" s="55" t="s">
        <v>1617</v>
      </c>
      <c r="N155" s="282" t="s">
        <v>1215</v>
      </c>
      <c r="O155" s="238" t="s">
        <v>54</v>
      </c>
      <c r="P155" s="64" t="str">
        <f ca="1">IF(AND(OR(INDIRECT("K" &amp; ROW())="NAV-Premium",INDIRECT("K" &amp; ROW())="DA-Premium"),INDIRECT("M" &amp; ROW())="PARTITION_SCHEMA128__NavPiviJpn", INDIRECT("O" &amp; ROW())="JPN_SDB"),'SDB vs GN'!$B$41, IF(INDIRECT("H" &amp; ROW())="Chenc",'SDB vs GN'!$B$40, VLOOKUP(INDIRECT("O" &amp; ROW()),'SDB vs GN'!$A$16:$B$38,2,FALSE)))</f>
        <v>731_EUR</v>
      </c>
      <c r="Q155" s="79" t="s">
        <v>396</v>
      </c>
      <c r="R155" s="135" t="s">
        <v>59</v>
      </c>
      <c r="S155" s="157" t="s">
        <v>10</v>
      </c>
      <c r="T155" s="64" t="s">
        <v>449</v>
      </c>
      <c r="U155" s="104" t="s">
        <v>816</v>
      </c>
      <c r="V155" s="172" t="s">
        <v>528</v>
      </c>
      <c r="W155" s="76" t="s">
        <v>447</v>
      </c>
      <c r="X155" s="64" t="s">
        <v>521</v>
      </c>
      <c r="Y155" s="282" t="s">
        <v>1286</v>
      </c>
      <c r="Z155" s="282" t="s">
        <v>1592</v>
      </c>
      <c r="AA155" s="37"/>
      <c r="AB155" s="131" t="s">
        <v>420</v>
      </c>
      <c r="AC155" s="229" t="s">
        <v>1346</v>
      </c>
      <c r="AD155" s="72" t="s">
        <v>808</v>
      </c>
      <c r="AE155" s="302"/>
      <c r="AF155" s="67"/>
      <c r="AG155" s="67"/>
      <c r="AH155" s="72" t="s">
        <v>2358</v>
      </c>
      <c r="AI155" s="24"/>
      <c r="AJ155" s="24"/>
      <c r="AK155" s="24"/>
      <c r="AL155" s="24"/>
    </row>
    <row r="156" spans="1:38" ht="211.2">
      <c r="A156" s="51">
        <v>147</v>
      </c>
      <c r="B156" s="51" t="str">
        <f t="shared" si="2"/>
        <v>0093</v>
      </c>
      <c r="C156" s="64" t="s">
        <v>1322</v>
      </c>
      <c r="D156" s="94" t="s">
        <v>104</v>
      </c>
      <c r="E156" s="314" t="s">
        <v>1233</v>
      </c>
      <c r="F156" s="169" t="s">
        <v>1048</v>
      </c>
      <c r="G156" s="169" t="s">
        <v>347</v>
      </c>
      <c r="H156" s="55" t="s">
        <v>637</v>
      </c>
      <c r="I156" s="94" t="s">
        <v>815</v>
      </c>
      <c r="J156" s="127" t="s">
        <v>1</v>
      </c>
      <c r="K156" s="79" t="s">
        <v>750</v>
      </c>
      <c r="L156" s="79" t="s">
        <v>500</v>
      </c>
      <c r="M156" s="55" t="s">
        <v>1617</v>
      </c>
      <c r="N156" s="282" t="s">
        <v>1215</v>
      </c>
      <c r="O156" s="238" t="s">
        <v>54</v>
      </c>
      <c r="P156" s="64" t="str">
        <f ca="1">IF(AND(OR(INDIRECT("K" &amp; ROW())="NAV-Premium",INDIRECT("K" &amp; ROW())="DA-Premium"),INDIRECT("M" &amp; ROW())="PARTITION_SCHEMA128__NavPiviJpn", INDIRECT("O" &amp; ROW())="JPN_SDB"),'SDB vs GN'!$B$41, IF(INDIRECT("H" &amp; ROW())="Chenc",'SDB vs GN'!$B$40, VLOOKUP(INDIRECT("O" &amp; ROW()),'SDB vs GN'!$A$16:$B$38,2,FALSE)))</f>
        <v>731_EUR</v>
      </c>
      <c r="Q156" s="79" t="s">
        <v>396</v>
      </c>
      <c r="R156" s="165" t="s">
        <v>61</v>
      </c>
      <c r="S156" s="157" t="s">
        <v>10</v>
      </c>
      <c r="T156" s="79" t="s">
        <v>449</v>
      </c>
      <c r="U156" s="104" t="s">
        <v>816</v>
      </c>
      <c r="V156" s="172" t="s">
        <v>528</v>
      </c>
      <c r="W156" s="129" t="s">
        <v>447</v>
      </c>
      <c r="X156" s="64" t="s">
        <v>521</v>
      </c>
      <c r="Y156" s="282" t="s">
        <v>1286</v>
      </c>
      <c r="Z156" s="282" t="s">
        <v>1592</v>
      </c>
      <c r="AA156" s="37"/>
      <c r="AB156" s="131" t="s">
        <v>225</v>
      </c>
      <c r="AC156" s="229" t="s">
        <v>1770</v>
      </c>
      <c r="AD156" s="72" t="s">
        <v>808</v>
      </c>
      <c r="AE156" s="302"/>
      <c r="AF156" s="67"/>
      <c r="AG156" s="67"/>
      <c r="AH156" s="72" t="s">
        <v>1771</v>
      </c>
      <c r="AI156" s="24"/>
      <c r="AJ156" s="24"/>
      <c r="AK156" s="24"/>
      <c r="AL156" s="24"/>
    </row>
    <row r="157" spans="1:38" ht="26.4">
      <c r="A157" s="51">
        <v>148</v>
      </c>
      <c r="B157" s="51" t="str">
        <f t="shared" si="2"/>
        <v>0094</v>
      </c>
      <c r="C157" s="269" t="s">
        <v>709</v>
      </c>
      <c r="D157" s="269" t="s">
        <v>106</v>
      </c>
      <c r="E157" s="324" t="s">
        <v>1233</v>
      </c>
      <c r="F157" s="118" t="s">
        <v>1050</v>
      </c>
      <c r="G157" s="118" t="s">
        <v>760</v>
      </c>
      <c r="H157" s="196" t="s">
        <v>637</v>
      </c>
      <c r="I157" s="272" t="s">
        <v>4</v>
      </c>
      <c r="J157" s="273" t="s">
        <v>1</v>
      </c>
      <c r="K157" s="269" t="s">
        <v>752</v>
      </c>
      <c r="L157" s="269" t="s">
        <v>500</v>
      </c>
      <c r="M157" s="196" t="s">
        <v>1616</v>
      </c>
      <c r="N157" s="280" t="s">
        <v>1215</v>
      </c>
      <c r="O157" s="274" t="s">
        <v>53</v>
      </c>
      <c r="P157" s="203" t="str">
        <f ca="1">IF(AND(OR(INDIRECT("K" &amp; ROW())="NAV-Premium",INDIRECT("K" &amp; ROW())="DA-Premium"),INDIRECT("M" &amp; ROW())="PARTITION_SCHEMA128__NavPiviJpn", INDIRECT("O" &amp; ROW())="JPN_SDB"),'SDB vs GN'!$B$41, IF(INDIRECT("H" &amp; ROW())="Chenc",'SDB vs GN'!$B$40, VLOOKUP(INDIRECT("O" &amp; ROW()),'SDB vs GN'!$A$16:$B$38,2,FALSE)))</f>
        <v>No_Gracenote</v>
      </c>
      <c r="Q157" s="269" t="s">
        <v>20</v>
      </c>
      <c r="R157" s="207" t="s">
        <v>59</v>
      </c>
      <c r="S157" s="275" t="s">
        <v>10</v>
      </c>
      <c r="T157" s="269" t="s">
        <v>449</v>
      </c>
      <c r="U157" s="202" t="s">
        <v>816</v>
      </c>
      <c r="V157" s="205" t="s">
        <v>7</v>
      </c>
      <c r="W157" s="276" t="s">
        <v>2184</v>
      </c>
      <c r="X157" s="198" t="s">
        <v>521</v>
      </c>
      <c r="Y157" s="280" t="s">
        <v>1286</v>
      </c>
      <c r="Z157" s="280" t="s">
        <v>1592</v>
      </c>
      <c r="AA157" s="206"/>
      <c r="AB157" s="277" t="s">
        <v>468</v>
      </c>
      <c r="AC157" s="220" t="s">
        <v>467</v>
      </c>
      <c r="AD157" s="209" t="s">
        <v>824</v>
      </c>
      <c r="AE157" s="207"/>
      <c r="AF157" s="207"/>
      <c r="AG157" s="207"/>
      <c r="AH157" s="209" t="s">
        <v>469</v>
      </c>
      <c r="AI157" s="24"/>
      <c r="AJ157" s="24"/>
      <c r="AK157" s="24"/>
      <c r="AL157" s="24"/>
    </row>
    <row r="158" spans="1:38">
      <c r="A158" s="51">
        <v>149</v>
      </c>
      <c r="B158" s="51" t="str">
        <f t="shared" si="2"/>
        <v>0095</v>
      </c>
      <c r="C158" s="94" t="s">
        <v>460</v>
      </c>
      <c r="D158" s="55" t="s">
        <v>232</v>
      </c>
      <c r="E158" s="282" t="s">
        <v>1233</v>
      </c>
      <c r="F158" s="178" t="s">
        <v>1044</v>
      </c>
      <c r="G158" s="178" t="s">
        <v>345</v>
      </c>
      <c r="H158" s="55" t="s">
        <v>637</v>
      </c>
      <c r="I158" s="79" t="s">
        <v>815</v>
      </c>
      <c r="J158" s="94" t="s">
        <v>0</v>
      </c>
      <c r="K158" s="127" t="s">
        <v>452</v>
      </c>
      <c r="L158" s="158" t="s">
        <v>1271</v>
      </c>
      <c r="M158" s="55" t="s">
        <v>254</v>
      </c>
      <c r="N158" s="282" t="s">
        <v>1215</v>
      </c>
      <c r="O158" s="238" t="s">
        <v>97</v>
      </c>
      <c r="P158" s="64" t="str">
        <f ca="1">IF(AND(OR(INDIRECT("K" &amp; ROW())="NAV-Premium",INDIRECT("K" &amp; ROW())="DA-Premium"),INDIRECT("M" &amp; ROW())="PARTITION_SCHEMA128__NavPiviJpn", INDIRECT("O" &amp; ROW())="JPN_SDB"),'SDB vs GN'!$B$41, IF(INDIRECT("H" &amp; ROW())="Chenc",'SDB vs GN'!$B$40, VLOOKUP(INDIRECT("O" &amp; ROW()),'SDB vs GN'!$A$16:$B$38,2,FALSE)))</f>
        <v>734_CN_831_AUSKRJPN</v>
      </c>
      <c r="Q158" s="79" t="s">
        <v>396</v>
      </c>
      <c r="R158" s="67" t="s">
        <v>59</v>
      </c>
      <c r="S158" s="157" t="s">
        <v>10</v>
      </c>
      <c r="T158" s="79" t="s">
        <v>449</v>
      </c>
      <c r="U158" s="104" t="s">
        <v>816</v>
      </c>
      <c r="V158" s="172" t="s">
        <v>601</v>
      </c>
      <c r="W158" s="129" t="s">
        <v>447</v>
      </c>
      <c r="X158" s="64" t="s">
        <v>521</v>
      </c>
      <c r="Y158" s="282" t="s">
        <v>1286</v>
      </c>
      <c r="Z158" s="282" t="s">
        <v>1592</v>
      </c>
      <c r="AA158" s="37"/>
      <c r="AB158" s="154" t="s">
        <v>225</v>
      </c>
      <c r="AC158" s="229" t="s">
        <v>472</v>
      </c>
      <c r="AD158" s="72" t="s">
        <v>808</v>
      </c>
      <c r="AE158" s="302"/>
      <c r="AF158" s="67"/>
      <c r="AG158" s="67"/>
      <c r="AH158" s="72" t="s">
        <v>473</v>
      </c>
      <c r="AI158" s="24"/>
      <c r="AJ158" s="24"/>
      <c r="AK158" s="24"/>
      <c r="AL158" s="24"/>
    </row>
    <row r="159" spans="1:38" s="36" customFormat="1">
      <c r="A159" s="51">
        <v>150</v>
      </c>
      <c r="B159" s="51" t="str">
        <f t="shared" si="2"/>
        <v>0096</v>
      </c>
      <c r="C159" s="170" t="s">
        <v>1461</v>
      </c>
      <c r="D159" s="61" t="s">
        <v>475</v>
      </c>
      <c r="E159" s="323" t="s">
        <v>1233</v>
      </c>
      <c r="F159" s="115" t="s">
        <v>1049</v>
      </c>
      <c r="G159" s="115" t="s">
        <v>346</v>
      </c>
      <c r="H159" s="55" t="s">
        <v>637</v>
      </c>
      <c r="I159" s="155" t="s">
        <v>815</v>
      </c>
      <c r="J159" s="55" t="s">
        <v>0</v>
      </c>
      <c r="K159" s="61" t="s">
        <v>454</v>
      </c>
      <c r="L159" s="100" t="s">
        <v>1317</v>
      </c>
      <c r="M159" s="55" t="s">
        <v>236</v>
      </c>
      <c r="N159" s="282" t="s">
        <v>1215</v>
      </c>
      <c r="O159" s="238" t="s">
        <v>54</v>
      </c>
      <c r="P159" s="64" t="str">
        <f ca="1">IF(AND(OR(INDIRECT("K" &amp; ROW())="NAV-Premium",INDIRECT("K" &amp; ROW())="DA-Premium"),INDIRECT("M" &amp; ROW())="PARTITION_SCHEMA128__NavPiviJpn", INDIRECT("O" &amp; ROW())="JPN_SDB"),'SDB vs GN'!$B$41, IF(INDIRECT("H" &amp; ROW())="Chenc",'SDB vs GN'!$B$40, VLOOKUP(INDIRECT("O" &amp; ROW()),'SDB vs GN'!$A$16:$B$38,2,FALSE)))</f>
        <v>731_EUR</v>
      </c>
      <c r="Q159" s="64" t="s">
        <v>835</v>
      </c>
      <c r="R159" s="64" t="s">
        <v>61</v>
      </c>
      <c r="S159" s="103" t="s">
        <v>10</v>
      </c>
      <c r="T159" s="64" t="s">
        <v>449</v>
      </c>
      <c r="U159" s="104" t="s">
        <v>816</v>
      </c>
      <c r="V159" s="174" t="s">
        <v>598</v>
      </c>
      <c r="W159" s="76" t="s">
        <v>447</v>
      </c>
      <c r="X159" s="64" t="s">
        <v>521</v>
      </c>
      <c r="Y159" s="282" t="s">
        <v>1286</v>
      </c>
      <c r="Z159" s="282" t="s">
        <v>1592</v>
      </c>
      <c r="AA159" s="96"/>
      <c r="AB159" s="131" t="s">
        <v>225</v>
      </c>
      <c r="AC159" s="229" t="s">
        <v>890</v>
      </c>
      <c r="AD159" s="72" t="s">
        <v>888</v>
      </c>
      <c r="AE159" s="302"/>
      <c r="AF159" s="67"/>
      <c r="AG159" s="67"/>
      <c r="AH159" s="72" t="s">
        <v>893</v>
      </c>
      <c r="AI159" s="383"/>
      <c r="AJ159" s="383"/>
      <c r="AK159" s="383"/>
    </row>
    <row r="160" spans="1:38" s="36" customFormat="1">
      <c r="A160" s="51">
        <v>151</v>
      </c>
      <c r="B160" s="51" t="str">
        <f t="shared" si="2"/>
        <v>0097</v>
      </c>
      <c r="C160" s="170" t="s">
        <v>1440</v>
      </c>
      <c r="D160" s="61" t="s">
        <v>475</v>
      </c>
      <c r="E160" s="323" t="s">
        <v>1233</v>
      </c>
      <c r="F160" s="115" t="s">
        <v>1049</v>
      </c>
      <c r="G160" s="115" t="s">
        <v>346</v>
      </c>
      <c r="H160" s="55" t="s">
        <v>637</v>
      </c>
      <c r="I160" s="155" t="s">
        <v>815</v>
      </c>
      <c r="J160" s="55" t="s">
        <v>0</v>
      </c>
      <c r="K160" s="61" t="s">
        <v>454</v>
      </c>
      <c r="L160" s="100" t="s">
        <v>1317</v>
      </c>
      <c r="M160" s="55" t="s">
        <v>238</v>
      </c>
      <c r="N160" s="282" t="s">
        <v>1215</v>
      </c>
      <c r="O160" s="238" t="s">
        <v>55</v>
      </c>
      <c r="P160" s="64" t="str">
        <f ca="1">IF(AND(OR(INDIRECT("K" &amp; ROW())="NAV-Premium",INDIRECT("K" &amp; ROW())="DA-Premium"),INDIRECT("M" &amp; ROW())="PARTITION_SCHEMA128__NavPiviJpn", INDIRECT("O" &amp; ROW())="JPN_SDB"),'SDB vs GN'!$B$41, IF(INDIRECT("H" &amp; ROW())="Chenc",'SDB vs GN'!$B$40, VLOOKUP(INDIRECT("O" &amp; ROW()),'SDB vs GN'!$A$16:$B$38,2,FALSE)))</f>
        <v>742_JPN_831_AUSKRJPN_CDDB</v>
      </c>
      <c r="Q160" s="64" t="s">
        <v>835</v>
      </c>
      <c r="R160" s="64" t="s">
        <v>133</v>
      </c>
      <c r="S160" s="103" t="s">
        <v>10</v>
      </c>
      <c r="T160" s="64" t="s">
        <v>449</v>
      </c>
      <c r="U160" s="104" t="s">
        <v>816</v>
      </c>
      <c r="V160" s="173" t="s">
        <v>619</v>
      </c>
      <c r="W160" s="76" t="s">
        <v>447</v>
      </c>
      <c r="X160" s="64" t="s">
        <v>523</v>
      </c>
      <c r="Y160" s="282" t="s">
        <v>1286</v>
      </c>
      <c r="Z160" s="282" t="s">
        <v>1592</v>
      </c>
      <c r="AA160" s="96"/>
      <c r="AB160" s="131" t="s">
        <v>225</v>
      </c>
      <c r="AC160" s="229" t="s">
        <v>477</v>
      </c>
      <c r="AD160" s="72" t="s">
        <v>888</v>
      </c>
      <c r="AE160" s="302"/>
      <c r="AF160" s="67"/>
      <c r="AG160" s="67"/>
      <c r="AH160" s="72" t="s">
        <v>494</v>
      </c>
      <c r="AI160" s="383"/>
      <c r="AJ160" s="383"/>
      <c r="AK160" s="383"/>
    </row>
    <row r="161" spans="1:38" s="36" customFormat="1">
      <c r="A161" s="51">
        <v>152</v>
      </c>
      <c r="B161" s="51" t="str">
        <f t="shared" si="2"/>
        <v>0098</v>
      </c>
      <c r="C161" s="170" t="s">
        <v>1466</v>
      </c>
      <c r="D161" s="61" t="s">
        <v>475</v>
      </c>
      <c r="E161" s="323" t="s">
        <v>1233</v>
      </c>
      <c r="F161" s="115" t="s">
        <v>1049</v>
      </c>
      <c r="G161" s="115" t="s">
        <v>346</v>
      </c>
      <c r="H161" s="55" t="s">
        <v>637</v>
      </c>
      <c r="I161" s="155" t="s">
        <v>815</v>
      </c>
      <c r="J161" s="55" t="s">
        <v>0</v>
      </c>
      <c r="K161" s="61" t="s">
        <v>454</v>
      </c>
      <c r="L161" s="100" t="s">
        <v>1317</v>
      </c>
      <c r="M161" s="55" t="s">
        <v>236</v>
      </c>
      <c r="N161" s="282" t="s">
        <v>1215</v>
      </c>
      <c r="O161" s="238" t="s">
        <v>825</v>
      </c>
      <c r="P161" s="64" t="str">
        <f ca="1">IF(AND(OR(INDIRECT("K" &amp; ROW())="NAV-Premium",INDIRECT("K" &amp; ROW())="DA-Premium"),INDIRECT("M" &amp; ROW())="PARTITION_SCHEMA128__NavPiviJpn", INDIRECT("O" &amp; ROW())="JPN_SDB"),'SDB vs GN'!$B$41, IF(INDIRECT("H" &amp; ROW())="Chenc",'SDB vs GN'!$B$40, VLOOKUP(INDIRECT("O" &amp; ROW()),'SDB vs GN'!$A$16:$B$38,2,FALSE)))</f>
        <v>831_AUSKRJPN</v>
      </c>
      <c r="Q161" s="64" t="s">
        <v>835</v>
      </c>
      <c r="R161" s="135" t="s">
        <v>59</v>
      </c>
      <c r="S161" s="103" t="s">
        <v>10</v>
      </c>
      <c r="T161" s="64" t="s">
        <v>449</v>
      </c>
      <c r="U161" s="104" t="s">
        <v>816</v>
      </c>
      <c r="V161" s="174" t="s">
        <v>599</v>
      </c>
      <c r="W161" s="76" t="s">
        <v>447</v>
      </c>
      <c r="X161" s="64" t="s">
        <v>521</v>
      </c>
      <c r="Y161" s="282" t="s">
        <v>1286</v>
      </c>
      <c r="Z161" s="282" t="s">
        <v>1592</v>
      </c>
      <c r="AA161" s="96"/>
      <c r="AB161" s="131" t="s">
        <v>225</v>
      </c>
      <c r="AC161" s="233" t="s">
        <v>891</v>
      </c>
      <c r="AD161" s="72" t="s">
        <v>888</v>
      </c>
      <c r="AE161" s="302"/>
      <c r="AF161" s="67"/>
      <c r="AG161" s="67"/>
      <c r="AH161" s="72" t="s">
        <v>894</v>
      </c>
      <c r="AI161" s="383"/>
      <c r="AJ161" s="383"/>
      <c r="AK161" s="383"/>
    </row>
    <row r="162" spans="1:38" s="36" customFormat="1">
      <c r="A162" s="51">
        <v>153</v>
      </c>
      <c r="B162" s="51" t="str">
        <f t="shared" si="2"/>
        <v>0099</v>
      </c>
      <c r="C162" s="170" t="s">
        <v>1459</v>
      </c>
      <c r="D162" s="61" t="s">
        <v>475</v>
      </c>
      <c r="E162" s="323" t="s">
        <v>1233</v>
      </c>
      <c r="F162" s="115" t="s">
        <v>1049</v>
      </c>
      <c r="G162" s="115" t="s">
        <v>346</v>
      </c>
      <c r="H162" s="55" t="s">
        <v>637</v>
      </c>
      <c r="I162" s="155" t="s">
        <v>815</v>
      </c>
      <c r="J162" s="55" t="s">
        <v>0</v>
      </c>
      <c r="K162" s="61" t="s">
        <v>454</v>
      </c>
      <c r="L162" s="100" t="s">
        <v>1317</v>
      </c>
      <c r="M162" s="55" t="s">
        <v>236</v>
      </c>
      <c r="N162" s="282" t="s">
        <v>1215</v>
      </c>
      <c r="O162" s="238" t="s">
        <v>84</v>
      </c>
      <c r="P162" s="64" t="str">
        <f ca="1">IF(AND(OR(INDIRECT("K" &amp; ROW())="NAV-Premium",INDIRECT("K" &amp; ROW())="DA-Premium"),INDIRECT("M" &amp; ROW())="PARTITION_SCHEMA128__NavPiviJpn", INDIRECT("O" &amp; ROW())="JPN_SDB"),'SDB vs GN'!$B$41, IF(INDIRECT("H" &amp; ROW())="Chenc",'SDB vs GN'!$B$40, VLOOKUP(INDIRECT("O" &amp; ROW()),'SDB vs GN'!$A$16:$B$38,2,FALSE)))</f>
        <v>727_NAM</v>
      </c>
      <c r="Q162" s="64" t="s">
        <v>835</v>
      </c>
      <c r="R162" s="64" t="s">
        <v>60</v>
      </c>
      <c r="S162" s="103" t="s">
        <v>10</v>
      </c>
      <c r="T162" s="79" t="s">
        <v>450</v>
      </c>
      <c r="U162" s="104" t="s">
        <v>816</v>
      </c>
      <c r="V162" s="175" t="s">
        <v>604</v>
      </c>
      <c r="W162" s="76" t="s">
        <v>447</v>
      </c>
      <c r="X162" s="64" t="s">
        <v>521</v>
      </c>
      <c r="Y162" s="282" t="s">
        <v>1286</v>
      </c>
      <c r="Z162" s="282" t="s">
        <v>1592</v>
      </c>
      <c r="AA162" s="96"/>
      <c r="AB162" s="131" t="s">
        <v>225</v>
      </c>
      <c r="AC162" s="229" t="s">
        <v>892</v>
      </c>
      <c r="AD162" s="72" t="s">
        <v>888</v>
      </c>
      <c r="AE162" s="302"/>
      <c r="AF162" s="67"/>
      <c r="AG162" s="67"/>
      <c r="AH162" s="72" t="s">
        <v>895</v>
      </c>
      <c r="AI162" s="383"/>
      <c r="AJ162" s="383"/>
      <c r="AK162" s="383"/>
    </row>
    <row r="163" spans="1:38">
      <c r="A163" s="51">
        <v>154</v>
      </c>
      <c r="B163" s="51" t="str">
        <f t="shared" si="2"/>
        <v>009A</v>
      </c>
      <c r="C163" s="170" t="s">
        <v>1464</v>
      </c>
      <c r="D163" s="61" t="s">
        <v>476</v>
      </c>
      <c r="E163" s="323" t="s">
        <v>1233</v>
      </c>
      <c r="F163" s="115" t="s">
        <v>1049</v>
      </c>
      <c r="G163" s="115" t="s">
        <v>346</v>
      </c>
      <c r="H163" s="55" t="s">
        <v>637</v>
      </c>
      <c r="I163" s="155" t="s">
        <v>815</v>
      </c>
      <c r="J163" s="55" t="s">
        <v>0</v>
      </c>
      <c r="K163" s="61" t="s">
        <v>454</v>
      </c>
      <c r="L163" s="100" t="s">
        <v>1317</v>
      </c>
      <c r="M163" s="55" t="s">
        <v>236</v>
      </c>
      <c r="N163" s="282" t="s">
        <v>1215</v>
      </c>
      <c r="O163" s="238" t="s">
        <v>97</v>
      </c>
      <c r="P163" s="64" t="str">
        <f ca="1">IF(AND(OR(INDIRECT("K" &amp; ROW())="NAV-Premium",INDIRECT("K" &amp; ROW())="DA-Premium"),INDIRECT("M" &amp; ROW())="PARTITION_SCHEMA128__NavPiviJpn", INDIRECT("O" &amp; ROW())="JPN_SDB"),'SDB vs GN'!$B$41, IF(INDIRECT("H" &amp; ROW())="Chenc",'SDB vs GN'!$B$40, VLOOKUP(INDIRECT("O" &amp; ROW()),'SDB vs GN'!$A$16:$B$38,2,FALSE)))</f>
        <v>734_CN_831_AUSKRJPN</v>
      </c>
      <c r="Q163" s="64" t="s">
        <v>835</v>
      </c>
      <c r="R163" s="64" t="s">
        <v>61</v>
      </c>
      <c r="S163" s="103" t="s">
        <v>10</v>
      </c>
      <c r="T163" s="64" t="s">
        <v>449</v>
      </c>
      <c r="U163" s="104" t="s">
        <v>816</v>
      </c>
      <c r="V163" s="174" t="s">
        <v>607</v>
      </c>
      <c r="W163" s="76" t="s">
        <v>447</v>
      </c>
      <c r="X163" s="64" t="s">
        <v>521</v>
      </c>
      <c r="Y163" s="282" t="s">
        <v>1286</v>
      </c>
      <c r="Z163" s="282" t="s">
        <v>1592</v>
      </c>
      <c r="AA163" s="96"/>
      <c r="AB163" s="131" t="s">
        <v>225</v>
      </c>
      <c r="AC163" s="229" t="s">
        <v>474</v>
      </c>
      <c r="AD163" s="72" t="s">
        <v>888</v>
      </c>
      <c r="AE163" s="302"/>
      <c r="AF163" s="67"/>
      <c r="AG163" s="67"/>
      <c r="AH163" s="72" t="s">
        <v>495</v>
      </c>
      <c r="AI163" s="24"/>
      <c r="AJ163" s="24"/>
      <c r="AK163" s="24"/>
    </row>
    <row r="164" spans="1:38" ht="409.6">
      <c r="A164" s="51">
        <v>155</v>
      </c>
      <c r="B164" s="51" t="str">
        <f t="shared" si="2"/>
        <v>009B</v>
      </c>
      <c r="C164" s="170" t="s">
        <v>1477</v>
      </c>
      <c r="D164" s="61" t="s">
        <v>475</v>
      </c>
      <c r="E164" s="323" t="s">
        <v>1233</v>
      </c>
      <c r="F164" s="167" t="s">
        <v>1053</v>
      </c>
      <c r="G164" s="167" t="s">
        <v>479</v>
      </c>
      <c r="H164" s="55" t="s">
        <v>637</v>
      </c>
      <c r="I164" s="158" t="s">
        <v>4</v>
      </c>
      <c r="J164" s="55" t="s">
        <v>0</v>
      </c>
      <c r="K164" s="61" t="s">
        <v>478</v>
      </c>
      <c r="L164" s="100" t="s">
        <v>1317</v>
      </c>
      <c r="M164" s="55" t="s">
        <v>1027</v>
      </c>
      <c r="N164" s="282" t="s">
        <v>1215</v>
      </c>
      <c r="O164" s="238" t="s">
        <v>84</v>
      </c>
      <c r="P164" s="64" t="str">
        <f ca="1">IF(AND(OR(INDIRECT("K" &amp; ROW())="NAV-Premium",INDIRECT("K" &amp; ROW())="DA-Premium"),INDIRECT("M" &amp; ROW())="PARTITION_SCHEMA128__NavPiviJpn", INDIRECT("O" &amp; ROW())="JPN_SDB"),'SDB vs GN'!$B$41, IF(INDIRECT("H" &amp; ROW())="Chenc",'SDB vs GN'!$B$40, VLOOKUP(INDIRECT("O" &amp; ROW()),'SDB vs GN'!$A$16:$B$38,2,FALSE)))</f>
        <v>727_NAM</v>
      </c>
      <c r="Q164" s="64" t="s">
        <v>835</v>
      </c>
      <c r="R164" s="64" t="s">
        <v>60</v>
      </c>
      <c r="S164" s="103" t="s">
        <v>10</v>
      </c>
      <c r="T164" s="79" t="s">
        <v>450</v>
      </c>
      <c r="U164" s="104" t="s">
        <v>816</v>
      </c>
      <c r="V164" s="172" t="s">
        <v>7</v>
      </c>
      <c r="W164" s="76" t="s">
        <v>447</v>
      </c>
      <c r="X164" s="64" t="s">
        <v>521</v>
      </c>
      <c r="Y164" s="282" t="s">
        <v>1286</v>
      </c>
      <c r="Z164" s="282" t="s">
        <v>1592</v>
      </c>
      <c r="AA164" s="96"/>
      <c r="AB164" s="131" t="s">
        <v>225</v>
      </c>
      <c r="AC164" s="229" t="s">
        <v>2516</v>
      </c>
      <c r="AD164" s="72" t="s">
        <v>888</v>
      </c>
      <c r="AE164" s="302"/>
      <c r="AF164" s="67"/>
      <c r="AG164" s="67"/>
      <c r="AH164" s="72" t="s">
        <v>2515</v>
      </c>
      <c r="AI164" s="24"/>
      <c r="AJ164" s="24"/>
      <c r="AK164" s="24"/>
    </row>
    <row r="165" spans="1:38" s="36" customFormat="1">
      <c r="A165" s="51">
        <v>156</v>
      </c>
      <c r="B165" s="51" t="str">
        <f t="shared" si="2"/>
        <v>009C</v>
      </c>
      <c r="C165" s="170" t="s">
        <v>524</v>
      </c>
      <c r="D165" s="61" t="s">
        <v>482</v>
      </c>
      <c r="E165" s="323" t="s">
        <v>1233</v>
      </c>
      <c r="F165" s="115" t="s">
        <v>1049</v>
      </c>
      <c r="G165" s="115" t="s">
        <v>346</v>
      </c>
      <c r="H165" s="55" t="s">
        <v>637</v>
      </c>
      <c r="I165" s="155" t="s">
        <v>815</v>
      </c>
      <c r="J165" s="55" t="s">
        <v>0</v>
      </c>
      <c r="K165" s="61" t="s">
        <v>454</v>
      </c>
      <c r="L165" s="100" t="s">
        <v>1317</v>
      </c>
      <c r="M165" s="55" t="s">
        <v>238</v>
      </c>
      <c r="N165" s="282" t="s">
        <v>1215</v>
      </c>
      <c r="O165" s="238" t="s">
        <v>55</v>
      </c>
      <c r="P165" s="64" t="str">
        <f ca="1">IF(AND(OR(INDIRECT("K" &amp; ROW())="NAV-Premium",INDIRECT("K" &amp; ROW())="DA-Premium"),INDIRECT("M" &amp; ROW())="PARTITION_SCHEMA128__NavPiviJpn", INDIRECT("O" &amp; ROW())="JPN_SDB"),'SDB vs GN'!$B$41, IF(INDIRECT("H" &amp; ROW())="Chenc",'SDB vs GN'!$B$40, VLOOKUP(INDIRECT("O" &amp; ROW()),'SDB vs GN'!$A$16:$B$38,2,FALSE)))</f>
        <v>742_JPN_831_AUSKRJPN_CDDB</v>
      </c>
      <c r="Q165" s="64" t="s">
        <v>480</v>
      </c>
      <c r="R165" s="64" t="s">
        <v>133</v>
      </c>
      <c r="S165" s="103" t="s">
        <v>10</v>
      </c>
      <c r="T165" s="64" t="s">
        <v>449</v>
      </c>
      <c r="U165" s="104" t="s">
        <v>816</v>
      </c>
      <c r="V165" s="173" t="s">
        <v>619</v>
      </c>
      <c r="W165" s="76" t="s">
        <v>447</v>
      </c>
      <c r="X165" s="64" t="s">
        <v>523</v>
      </c>
      <c r="Y165" s="282" t="s">
        <v>1286</v>
      </c>
      <c r="Z165" s="282" t="s">
        <v>1592</v>
      </c>
      <c r="AA165" s="96"/>
      <c r="AB165" s="131" t="s">
        <v>225</v>
      </c>
      <c r="AC165" s="229" t="s">
        <v>483</v>
      </c>
      <c r="AD165" s="72" t="s">
        <v>888</v>
      </c>
      <c r="AE165" s="302"/>
      <c r="AF165" s="67"/>
      <c r="AG165" s="67"/>
      <c r="AH165" s="72" t="s">
        <v>484</v>
      </c>
      <c r="AI165" s="383"/>
      <c r="AJ165" s="383"/>
      <c r="AK165" s="383"/>
    </row>
    <row r="166" spans="1:38" ht="39.6">
      <c r="A166" s="51">
        <v>157</v>
      </c>
      <c r="B166" s="51" t="str">
        <f t="shared" si="2"/>
        <v>009D</v>
      </c>
      <c r="C166" s="112" t="s">
        <v>513</v>
      </c>
      <c r="D166" s="55" t="s">
        <v>232</v>
      </c>
      <c r="E166" s="282" t="s">
        <v>1233</v>
      </c>
      <c r="F166" s="178" t="s">
        <v>1044</v>
      </c>
      <c r="G166" s="178" t="s">
        <v>345</v>
      </c>
      <c r="H166" s="55" t="s">
        <v>637</v>
      </c>
      <c r="I166" s="155" t="s">
        <v>815</v>
      </c>
      <c r="J166" s="55" t="s">
        <v>0</v>
      </c>
      <c r="K166" s="55" t="s">
        <v>452</v>
      </c>
      <c r="L166" s="100" t="s">
        <v>499</v>
      </c>
      <c r="M166" s="55" t="s">
        <v>256</v>
      </c>
      <c r="N166" s="282" t="s">
        <v>1215</v>
      </c>
      <c r="O166" s="238" t="s">
        <v>54</v>
      </c>
      <c r="P166" s="64" t="str">
        <f ca="1">IF(AND(OR(INDIRECT("K" &amp; ROW())="NAV-Premium",INDIRECT("K" &amp; ROW())="DA-Premium"),INDIRECT("M" &amp; ROW())="PARTITION_SCHEMA128__NavPiviJpn", INDIRECT("O" &amp; ROW())="JPN_SDB"),'SDB vs GN'!$B$41, IF(INDIRECT("H" &amp; ROW())="Chenc",'SDB vs GN'!$B$40, VLOOKUP(INDIRECT("O" &amp; ROW()),'SDB vs GN'!$A$16:$B$38,2,FALSE)))</f>
        <v>731_EUR</v>
      </c>
      <c r="Q166" s="79" t="s">
        <v>396</v>
      </c>
      <c r="R166" s="64" t="s">
        <v>61</v>
      </c>
      <c r="S166" s="157" t="s">
        <v>10</v>
      </c>
      <c r="T166" s="64" t="s">
        <v>449</v>
      </c>
      <c r="U166" s="104" t="s">
        <v>816</v>
      </c>
      <c r="V166" s="173" t="s">
        <v>1132</v>
      </c>
      <c r="W166" s="129" t="s">
        <v>447</v>
      </c>
      <c r="X166" s="64" t="s">
        <v>521</v>
      </c>
      <c r="Y166" s="282" t="s">
        <v>1286</v>
      </c>
      <c r="Z166" s="282" t="s">
        <v>1592</v>
      </c>
      <c r="AA166" s="96"/>
      <c r="AB166" s="131" t="s">
        <v>244</v>
      </c>
      <c r="AC166" s="229" t="s">
        <v>692</v>
      </c>
      <c r="AD166" s="72" t="s">
        <v>808</v>
      </c>
      <c r="AE166" s="302"/>
      <c r="AF166" s="67"/>
      <c r="AG166" s="67"/>
      <c r="AH166" s="72" t="s">
        <v>694</v>
      </c>
      <c r="AI166" s="24"/>
      <c r="AJ166" s="24"/>
      <c r="AK166" s="24"/>
      <c r="AL166" s="24"/>
    </row>
    <row r="167" spans="1:38" ht="39.6">
      <c r="A167" s="51">
        <v>158</v>
      </c>
      <c r="B167" s="51" t="str">
        <f t="shared" si="2"/>
        <v>009E</v>
      </c>
      <c r="C167" s="112" t="s">
        <v>515</v>
      </c>
      <c r="D167" s="55" t="s">
        <v>232</v>
      </c>
      <c r="E167" s="282" t="s">
        <v>1233</v>
      </c>
      <c r="F167" s="178" t="s">
        <v>1044</v>
      </c>
      <c r="G167" s="178" t="s">
        <v>345</v>
      </c>
      <c r="H167" s="55" t="s">
        <v>637</v>
      </c>
      <c r="I167" s="155" t="s">
        <v>815</v>
      </c>
      <c r="J167" s="55" t="s">
        <v>0</v>
      </c>
      <c r="K167" s="55" t="s">
        <v>452</v>
      </c>
      <c r="L167" s="100" t="s">
        <v>499</v>
      </c>
      <c r="M167" s="55" t="s">
        <v>257</v>
      </c>
      <c r="N167" s="282" t="s">
        <v>1215</v>
      </c>
      <c r="O167" s="238" t="s">
        <v>84</v>
      </c>
      <c r="P167" s="64" t="str">
        <f ca="1">IF(AND(OR(INDIRECT("K" &amp; ROW())="NAV-Premium",INDIRECT("K" &amp; ROW())="DA-Premium"),INDIRECT("M" &amp; ROW())="PARTITION_SCHEMA128__NavPiviJpn", INDIRECT("O" &amp; ROW())="JPN_SDB"),'SDB vs GN'!$B$41, IF(INDIRECT("H" &amp; ROW())="Chenc",'SDB vs GN'!$B$40, VLOOKUP(INDIRECT("O" &amp; ROW()),'SDB vs GN'!$A$16:$B$38,2,FALSE)))</f>
        <v>727_NAM</v>
      </c>
      <c r="Q167" s="79" t="s">
        <v>396</v>
      </c>
      <c r="R167" s="64" t="s">
        <v>60</v>
      </c>
      <c r="S167" s="157" t="s">
        <v>10</v>
      </c>
      <c r="T167" s="79" t="s">
        <v>450</v>
      </c>
      <c r="U167" s="104" t="s">
        <v>816</v>
      </c>
      <c r="V167" s="173" t="s">
        <v>1131</v>
      </c>
      <c r="W167" s="129" t="s">
        <v>447</v>
      </c>
      <c r="X167" s="64" t="s">
        <v>521</v>
      </c>
      <c r="Y167" s="282" t="s">
        <v>1286</v>
      </c>
      <c r="Z167" s="282" t="s">
        <v>1592</v>
      </c>
      <c r="AA167" s="96"/>
      <c r="AB167" s="154" t="s">
        <v>225</v>
      </c>
      <c r="AC167" s="229" t="s">
        <v>693</v>
      </c>
      <c r="AD167" s="72" t="s">
        <v>808</v>
      </c>
      <c r="AE167" s="302"/>
      <c r="AF167" s="67"/>
      <c r="AG167" s="67"/>
      <c r="AH167" s="72" t="s">
        <v>695</v>
      </c>
      <c r="AI167" s="24"/>
      <c r="AJ167" s="24"/>
      <c r="AK167" s="24"/>
      <c r="AL167" s="24"/>
    </row>
    <row r="168" spans="1:38">
      <c r="A168" s="51">
        <v>159</v>
      </c>
      <c r="B168" s="51" t="str">
        <f t="shared" si="2"/>
        <v>009F</v>
      </c>
      <c r="C168" s="112" t="s">
        <v>514</v>
      </c>
      <c r="D168" s="55" t="s">
        <v>232</v>
      </c>
      <c r="E168" s="282" t="s">
        <v>1233</v>
      </c>
      <c r="F168" s="178" t="s">
        <v>1044</v>
      </c>
      <c r="G168" s="178" t="s">
        <v>345</v>
      </c>
      <c r="H168" s="55" t="s">
        <v>637</v>
      </c>
      <c r="I168" s="155" t="s">
        <v>815</v>
      </c>
      <c r="J168" s="55" t="s">
        <v>0</v>
      </c>
      <c r="K168" s="55" t="s">
        <v>452</v>
      </c>
      <c r="L168" s="100" t="s">
        <v>499</v>
      </c>
      <c r="M168" s="55" t="s">
        <v>256</v>
      </c>
      <c r="N168" s="282" t="s">
        <v>1215</v>
      </c>
      <c r="O168" s="238" t="s">
        <v>54</v>
      </c>
      <c r="P168" s="64" t="str">
        <f ca="1">IF(AND(OR(INDIRECT("K" &amp; ROW())="NAV-Premium",INDIRECT("K" &amp; ROW())="DA-Premium"),INDIRECT("M" &amp; ROW())="PARTITION_SCHEMA128__NavPiviJpn", INDIRECT("O" &amp; ROW())="JPN_SDB"),'SDB vs GN'!$B$41, IF(INDIRECT("H" &amp; ROW())="Chenc",'SDB vs GN'!$B$40, VLOOKUP(INDIRECT("O" &amp; ROW()),'SDB vs GN'!$A$16:$B$38,2,FALSE)))</f>
        <v>731_EUR</v>
      </c>
      <c r="Q168" s="79" t="s">
        <v>396</v>
      </c>
      <c r="R168" s="64" t="s">
        <v>61</v>
      </c>
      <c r="S168" s="157" t="s">
        <v>10</v>
      </c>
      <c r="T168" s="64" t="s">
        <v>449</v>
      </c>
      <c r="U168" s="104" t="s">
        <v>816</v>
      </c>
      <c r="V168" s="173" t="s">
        <v>1132</v>
      </c>
      <c r="W168" s="129" t="s">
        <v>447</v>
      </c>
      <c r="X168" s="64" t="s">
        <v>521</v>
      </c>
      <c r="Y168" s="282" t="s">
        <v>1286</v>
      </c>
      <c r="Z168" s="282" t="s">
        <v>1592</v>
      </c>
      <c r="AA168" s="96"/>
      <c r="AB168" s="154" t="s">
        <v>225</v>
      </c>
      <c r="AC168" s="234" t="s">
        <v>490</v>
      </c>
      <c r="AD168" s="72" t="s">
        <v>808</v>
      </c>
      <c r="AE168" s="302"/>
      <c r="AF168" s="67"/>
      <c r="AG168" s="67"/>
      <c r="AH168" s="72" t="s">
        <v>491</v>
      </c>
      <c r="AI168" s="24"/>
      <c r="AJ168" s="24"/>
      <c r="AK168" s="24"/>
      <c r="AL168" s="24"/>
    </row>
    <row r="169" spans="1:38" ht="26.4">
      <c r="A169" s="51">
        <v>160</v>
      </c>
      <c r="B169" s="51" t="str">
        <f t="shared" si="2"/>
        <v>00A0</v>
      </c>
      <c r="C169" s="112" t="s">
        <v>1443</v>
      </c>
      <c r="D169" s="55" t="s">
        <v>232</v>
      </c>
      <c r="E169" s="282" t="s">
        <v>1233</v>
      </c>
      <c r="F169" s="251" t="s">
        <v>1045</v>
      </c>
      <c r="G169" s="251" t="s">
        <v>878</v>
      </c>
      <c r="H169" s="55" t="s">
        <v>637</v>
      </c>
      <c r="I169" s="94" t="s">
        <v>5</v>
      </c>
      <c r="J169" s="55" t="s">
        <v>0</v>
      </c>
      <c r="K169" s="55" t="s">
        <v>452</v>
      </c>
      <c r="L169" s="100" t="s">
        <v>499</v>
      </c>
      <c r="M169" s="55" t="s">
        <v>236</v>
      </c>
      <c r="N169" s="282" t="s">
        <v>1215</v>
      </c>
      <c r="O169" s="238" t="s">
        <v>55</v>
      </c>
      <c r="P169" s="64" t="str">
        <f ca="1">IF(AND(OR(INDIRECT("K" &amp; ROW())="NAV-Premium",INDIRECT("K" &amp; ROW())="DA-Premium"),INDIRECT("M" &amp; ROW())="PARTITION_SCHEMA128__NavPiviJpn", INDIRECT("O" &amp; ROW())="JPN_SDB"),'SDB vs GN'!$B$41, IF(INDIRECT("H" &amp; ROW())="Chenc",'SDB vs GN'!$B$40, VLOOKUP(INDIRECT("O" &amp; ROW()),'SDB vs GN'!$A$16:$B$38,2,FALSE)))</f>
        <v>742_JPN_831_AUSKRJPN</v>
      </c>
      <c r="Q169" s="79" t="s">
        <v>396</v>
      </c>
      <c r="R169" s="64" t="s">
        <v>133</v>
      </c>
      <c r="S169" s="157" t="s">
        <v>10</v>
      </c>
      <c r="T169" s="64" t="s">
        <v>449</v>
      </c>
      <c r="U169" s="104" t="s">
        <v>816</v>
      </c>
      <c r="V169" s="174" t="s">
        <v>615</v>
      </c>
      <c r="W169" s="129" t="s">
        <v>447</v>
      </c>
      <c r="X169" s="64" t="s">
        <v>362</v>
      </c>
      <c r="Y169" s="282" t="s">
        <v>1286</v>
      </c>
      <c r="Z169" s="282" t="s">
        <v>1592</v>
      </c>
      <c r="AA169" s="96"/>
      <c r="AB169" s="154" t="s">
        <v>225</v>
      </c>
      <c r="AC169" s="229" t="s">
        <v>707</v>
      </c>
      <c r="AD169" s="67" t="s">
        <v>888</v>
      </c>
      <c r="AE169" s="302"/>
      <c r="AF169" s="67"/>
      <c r="AG169" s="67"/>
      <c r="AH169" s="72" t="s">
        <v>708</v>
      </c>
      <c r="AI169" s="24"/>
      <c r="AJ169" s="24"/>
      <c r="AK169" s="24"/>
      <c r="AL169" s="24"/>
    </row>
    <row r="170" spans="1:38" ht="26.4">
      <c r="A170" s="51">
        <v>161</v>
      </c>
      <c r="B170" s="51" t="str">
        <f t="shared" si="2"/>
        <v>00A1</v>
      </c>
      <c r="C170" s="168" t="s">
        <v>509</v>
      </c>
      <c r="D170" s="55" t="s">
        <v>232</v>
      </c>
      <c r="E170" s="282" t="s">
        <v>1233</v>
      </c>
      <c r="F170" s="178" t="s">
        <v>1044</v>
      </c>
      <c r="G170" s="178" t="s">
        <v>345</v>
      </c>
      <c r="H170" s="55" t="s">
        <v>637</v>
      </c>
      <c r="I170" s="155" t="s">
        <v>815</v>
      </c>
      <c r="J170" s="55" t="s">
        <v>0</v>
      </c>
      <c r="K170" s="55" t="s">
        <v>452</v>
      </c>
      <c r="L170" s="100" t="s">
        <v>1271</v>
      </c>
      <c r="M170" s="55" t="s">
        <v>257</v>
      </c>
      <c r="N170" s="282" t="s">
        <v>1215</v>
      </c>
      <c r="O170" s="238" t="s">
        <v>84</v>
      </c>
      <c r="P170" s="64" t="str">
        <f ca="1">IF(AND(OR(INDIRECT("K" &amp; ROW())="NAV-Premium",INDIRECT("K" &amp; ROW())="DA-Premium"),INDIRECT("M" &amp; ROW())="PARTITION_SCHEMA128__NavPiviJpn", INDIRECT("O" &amp; ROW())="JPN_SDB"),'SDB vs GN'!$B$41, IF(INDIRECT("H" &amp; ROW())="Chenc",'SDB vs GN'!$B$40, VLOOKUP(INDIRECT("O" &amp; ROW()),'SDB vs GN'!$A$16:$B$38,2,FALSE)))</f>
        <v>727_NAM</v>
      </c>
      <c r="Q170" s="79" t="s">
        <v>20</v>
      </c>
      <c r="R170" s="64" t="s">
        <v>60</v>
      </c>
      <c r="S170" s="157" t="s">
        <v>10</v>
      </c>
      <c r="T170" s="79" t="s">
        <v>450</v>
      </c>
      <c r="U170" s="104" t="s">
        <v>816</v>
      </c>
      <c r="V170" s="173" t="s">
        <v>608</v>
      </c>
      <c r="W170" s="129" t="s">
        <v>447</v>
      </c>
      <c r="X170" s="64" t="s">
        <v>522</v>
      </c>
      <c r="Y170" s="282" t="s">
        <v>1286</v>
      </c>
      <c r="Z170" s="282" t="s">
        <v>1592</v>
      </c>
      <c r="AA170" s="96"/>
      <c r="AB170" s="154" t="s">
        <v>225</v>
      </c>
      <c r="AC170" s="229" t="s">
        <v>506</v>
      </c>
      <c r="AD170" s="72" t="s">
        <v>808</v>
      </c>
      <c r="AE170" s="302"/>
      <c r="AF170" s="67"/>
      <c r="AG170" s="67"/>
      <c r="AH170" s="72" t="s">
        <v>505</v>
      </c>
      <c r="AI170" s="24"/>
      <c r="AJ170" s="24"/>
      <c r="AK170" s="24"/>
      <c r="AL170" s="24"/>
    </row>
    <row r="171" spans="1:38" ht="382.8">
      <c r="A171" s="51">
        <v>162</v>
      </c>
      <c r="B171" s="51" t="str">
        <f t="shared" si="2"/>
        <v>00A2</v>
      </c>
      <c r="C171" s="64" t="s">
        <v>1419</v>
      </c>
      <c r="D171" s="94" t="s">
        <v>136</v>
      </c>
      <c r="E171" s="314" t="s">
        <v>1233</v>
      </c>
      <c r="F171" s="177" t="s">
        <v>1046</v>
      </c>
      <c r="G171" s="177" t="s">
        <v>344</v>
      </c>
      <c r="H171" s="55" t="s">
        <v>637</v>
      </c>
      <c r="I171" s="158" t="s">
        <v>4</v>
      </c>
      <c r="J171" s="55" t="s">
        <v>0</v>
      </c>
      <c r="K171" s="127" t="s">
        <v>451</v>
      </c>
      <c r="L171" s="100" t="s">
        <v>1271</v>
      </c>
      <c r="M171" s="55" t="s">
        <v>255</v>
      </c>
      <c r="N171" s="282" t="s">
        <v>1215</v>
      </c>
      <c r="O171" s="238" t="s">
        <v>84</v>
      </c>
      <c r="P171" s="64" t="str">
        <f ca="1">IF(AND(OR(INDIRECT("K" &amp; ROW())="NAV-Premium",INDIRECT("K" &amp; ROW())="DA-Premium"),INDIRECT("M" &amp; ROW())="PARTITION_SCHEMA128__NavPiviJpn", INDIRECT("O" &amp; ROW())="JPN_SDB"),'SDB vs GN'!$B$41, IF(INDIRECT("H" &amp; ROW())="Chenc",'SDB vs GN'!$B$40, VLOOKUP(INDIRECT("O" &amp; ROW()),'SDB vs GN'!$A$16:$B$38,2,FALSE)))</f>
        <v>727_NAM</v>
      </c>
      <c r="Q171" s="79" t="s">
        <v>396</v>
      </c>
      <c r="R171" s="67" t="s">
        <v>59</v>
      </c>
      <c r="S171" s="157" t="s">
        <v>10</v>
      </c>
      <c r="T171" s="79" t="s">
        <v>450</v>
      </c>
      <c r="U171" s="104" t="s">
        <v>816</v>
      </c>
      <c r="V171" s="101" t="s">
        <v>7</v>
      </c>
      <c r="W171" s="129" t="s">
        <v>2184</v>
      </c>
      <c r="X171" s="64" t="s">
        <v>522</v>
      </c>
      <c r="Y171" s="282" t="s">
        <v>1286</v>
      </c>
      <c r="Z171" s="282" t="s">
        <v>1592</v>
      </c>
      <c r="AA171" s="96"/>
      <c r="AB171" s="131" t="s">
        <v>244</v>
      </c>
      <c r="AC171" s="229" t="s">
        <v>2409</v>
      </c>
      <c r="AD171" s="72" t="s">
        <v>808</v>
      </c>
      <c r="AE171" s="302"/>
      <c r="AF171" s="67"/>
      <c r="AG171" s="67"/>
      <c r="AH171" s="72" t="s">
        <v>2410</v>
      </c>
      <c r="AI171" s="24"/>
      <c r="AJ171" s="24"/>
      <c r="AK171" s="24"/>
      <c r="AL171" s="24"/>
    </row>
    <row r="172" spans="1:38">
      <c r="A172" s="51">
        <v>163</v>
      </c>
      <c r="B172" s="51" t="str">
        <f t="shared" si="2"/>
        <v>00A3</v>
      </c>
      <c r="C172" s="168" t="s">
        <v>510</v>
      </c>
      <c r="D172" s="55" t="s">
        <v>232</v>
      </c>
      <c r="E172" s="282" t="s">
        <v>1233</v>
      </c>
      <c r="F172" s="178" t="s">
        <v>1044</v>
      </c>
      <c r="G172" s="178" t="s">
        <v>345</v>
      </c>
      <c r="H172" s="55" t="s">
        <v>637</v>
      </c>
      <c r="I172" s="155" t="s">
        <v>815</v>
      </c>
      <c r="J172" s="55" t="s">
        <v>0</v>
      </c>
      <c r="K172" s="55" t="s">
        <v>452</v>
      </c>
      <c r="L172" s="100" t="s">
        <v>1271</v>
      </c>
      <c r="M172" s="55" t="s">
        <v>257</v>
      </c>
      <c r="N172" s="282" t="s">
        <v>1215</v>
      </c>
      <c r="O172" s="238" t="s">
        <v>84</v>
      </c>
      <c r="P172" s="64" t="str">
        <f ca="1">IF(AND(OR(INDIRECT("K" &amp; ROW())="NAV-Premium",INDIRECT("K" &amp; ROW())="DA-Premium"),INDIRECT("M" &amp; ROW())="PARTITION_SCHEMA128__NavPiviJpn", INDIRECT("O" &amp; ROW())="JPN_SDB"),'SDB vs GN'!$B$41, IF(INDIRECT("H" &amp; ROW())="Chenc",'SDB vs GN'!$B$40, VLOOKUP(INDIRECT("O" &amp; ROW()),'SDB vs GN'!$A$16:$B$38,2,FALSE)))</f>
        <v>727_NAM</v>
      </c>
      <c r="Q172" s="79" t="s">
        <v>396</v>
      </c>
      <c r="R172" s="67" t="s">
        <v>59</v>
      </c>
      <c r="S172" s="157" t="s">
        <v>10</v>
      </c>
      <c r="T172" s="79" t="s">
        <v>450</v>
      </c>
      <c r="U172" s="104" t="s">
        <v>816</v>
      </c>
      <c r="V172" s="173" t="s">
        <v>608</v>
      </c>
      <c r="W172" s="129" t="s">
        <v>447</v>
      </c>
      <c r="X172" s="64" t="s">
        <v>522</v>
      </c>
      <c r="Y172" s="282" t="s">
        <v>1286</v>
      </c>
      <c r="Z172" s="282" t="s">
        <v>1592</v>
      </c>
      <c r="AA172" s="96"/>
      <c r="AB172" s="154" t="s">
        <v>225</v>
      </c>
      <c r="AC172" s="234" t="s">
        <v>1397</v>
      </c>
      <c r="AD172" s="72" t="s">
        <v>808</v>
      </c>
      <c r="AE172" s="302"/>
      <c r="AF172" s="67"/>
      <c r="AG172" s="67"/>
      <c r="AH172" s="72" t="s">
        <v>487</v>
      </c>
      <c r="AI172" s="24"/>
      <c r="AJ172" s="24"/>
      <c r="AK172" s="24"/>
      <c r="AL172" s="24"/>
    </row>
    <row r="173" spans="1:38">
      <c r="A173" s="51">
        <v>164</v>
      </c>
      <c r="B173" s="51" t="str">
        <f t="shared" si="2"/>
        <v>00A4</v>
      </c>
      <c r="C173" s="168" t="s">
        <v>511</v>
      </c>
      <c r="D173" s="55" t="s">
        <v>232</v>
      </c>
      <c r="E173" s="282" t="s">
        <v>1233</v>
      </c>
      <c r="F173" s="178" t="s">
        <v>1044</v>
      </c>
      <c r="G173" s="178" t="s">
        <v>345</v>
      </c>
      <c r="H173" s="55" t="s">
        <v>637</v>
      </c>
      <c r="I173" s="155" t="s">
        <v>815</v>
      </c>
      <c r="J173" s="55" t="s">
        <v>0</v>
      </c>
      <c r="K173" s="55" t="s">
        <v>452</v>
      </c>
      <c r="L173" s="100" t="s">
        <v>1271</v>
      </c>
      <c r="M173" s="55" t="s">
        <v>257</v>
      </c>
      <c r="N173" s="282" t="s">
        <v>1215</v>
      </c>
      <c r="O173" s="238" t="s">
        <v>84</v>
      </c>
      <c r="P173" s="64" t="str">
        <f ca="1">IF(AND(OR(INDIRECT("K" &amp; ROW())="NAV-Premium",INDIRECT("K" &amp; ROW())="DA-Premium"),INDIRECT("M" &amp; ROW())="PARTITION_SCHEMA128__NavPiviJpn", INDIRECT("O" &amp; ROW())="JPN_SDB"),'SDB vs GN'!$B$41, IF(INDIRECT("H" &amp; ROW())="Chenc",'SDB vs GN'!$B$40, VLOOKUP(INDIRECT("O" &amp; ROW()),'SDB vs GN'!$A$16:$B$38,2,FALSE)))</f>
        <v>727_NAM</v>
      </c>
      <c r="Q173" s="79" t="s">
        <v>396</v>
      </c>
      <c r="R173" s="64" t="s">
        <v>60</v>
      </c>
      <c r="S173" s="157" t="s">
        <v>10</v>
      </c>
      <c r="T173" s="64" t="s">
        <v>449</v>
      </c>
      <c r="U173" s="104" t="s">
        <v>816</v>
      </c>
      <c r="V173" s="173" t="s">
        <v>1128</v>
      </c>
      <c r="W173" s="129" t="s">
        <v>447</v>
      </c>
      <c r="X173" s="64" t="s">
        <v>522</v>
      </c>
      <c r="Y173" s="282" t="s">
        <v>1286</v>
      </c>
      <c r="Z173" s="282" t="s">
        <v>1592</v>
      </c>
      <c r="AA173" s="96"/>
      <c r="AB173" s="154" t="s">
        <v>225</v>
      </c>
      <c r="AC173" s="229" t="s">
        <v>485</v>
      </c>
      <c r="AD173" s="72" t="s">
        <v>808</v>
      </c>
      <c r="AE173" s="302"/>
      <c r="AF173" s="67"/>
      <c r="AG173" s="67"/>
      <c r="AH173" s="72" t="s">
        <v>488</v>
      </c>
      <c r="AI173" s="24"/>
      <c r="AJ173" s="24"/>
      <c r="AK173" s="24"/>
      <c r="AL173" s="24"/>
    </row>
    <row r="174" spans="1:38">
      <c r="A174" s="51">
        <v>165</v>
      </c>
      <c r="B174" s="51" t="str">
        <f t="shared" si="2"/>
        <v>00A5</v>
      </c>
      <c r="C174" s="171" t="s">
        <v>512</v>
      </c>
      <c r="D174" s="55" t="s">
        <v>232</v>
      </c>
      <c r="E174" s="282" t="s">
        <v>1233</v>
      </c>
      <c r="F174" s="178" t="s">
        <v>1044</v>
      </c>
      <c r="G174" s="178" t="s">
        <v>345</v>
      </c>
      <c r="H174" s="55" t="s">
        <v>637</v>
      </c>
      <c r="I174" s="155" t="s">
        <v>815</v>
      </c>
      <c r="J174" s="55" t="s">
        <v>0</v>
      </c>
      <c r="K174" s="55" t="s">
        <v>452</v>
      </c>
      <c r="L174" s="100" t="s">
        <v>1271</v>
      </c>
      <c r="M174" s="55" t="s">
        <v>254</v>
      </c>
      <c r="N174" s="282" t="s">
        <v>1215</v>
      </c>
      <c r="O174" s="238" t="s">
        <v>126</v>
      </c>
      <c r="P174" s="64" t="str">
        <f ca="1">IF(AND(OR(INDIRECT("K" &amp; ROW())="NAV-Premium",INDIRECT("K" &amp; ROW())="DA-Premium"),INDIRECT("M" &amp; ROW())="PARTITION_SCHEMA128__NavPiviJpn", INDIRECT("O" &amp; ROW())="JPN_SDB"),'SDB vs GN'!$B$41, IF(INDIRECT("H" &amp; ROW())="Chenc",'SDB vs GN'!$B$40, VLOOKUP(INDIRECT("O" &amp; ROW()),'SDB vs GN'!$A$16:$B$38,2,FALSE)))</f>
        <v>735_LA</v>
      </c>
      <c r="Q174" s="79" t="s">
        <v>396</v>
      </c>
      <c r="R174" s="67" t="s">
        <v>59</v>
      </c>
      <c r="S174" s="157" t="s">
        <v>10</v>
      </c>
      <c r="T174" s="64" t="s">
        <v>449</v>
      </c>
      <c r="U174" s="104" t="s">
        <v>816</v>
      </c>
      <c r="V174" s="172" t="s">
        <v>613</v>
      </c>
      <c r="W174" s="129" t="s">
        <v>447</v>
      </c>
      <c r="X174" s="64" t="s">
        <v>522</v>
      </c>
      <c r="Y174" s="282" t="s">
        <v>1286</v>
      </c>
      <c r="Z174" s="282" t="s">
        <v>1592</v>
      </c>
      <c r="AA174" s="96"/>
      <c r="AB174" s="154" t="s">
        <v>225</v>
      </c>
      <c r="AC174" s="229" t="s">
        <v>486</v>
      </c>
      <c r="AD174" s="72" t="s">
        <v>808</v>
      </c>
      <c r="AE174" s="302"/>
      <c r="AF174" s="67"/>
      <c r="AG174" s="67"/>
      <c r="AH174" s="72" t="s">
        <v>489</v>
      </c>
      <c r="AI174" s="24"/>
      <c r="AJ174" s="24"/>
      <c r="AK174" s="24"/>
      <c r="AL174" s="24"/>
    </row>
    <row r="175" spans="1:38" ht="92.4">
      <c r="A175" s="51">
        <v>166</v>
      </c>
      <c r="B175" s="51" t="str">
        <f t="shared" si="2"/>
        <v>00A6</v>
      </c>
      <c r="C175" s="76" t="s">
        <v>917</v>
      </c>
      <c r="D175" s="94" t="s">
        <v>136</v>
      </c>
      <c r="E175" s="314" t="s">
        <v>1233</v>
      </c>
      <c r="F175" s="177" t="s">
        <v>1046</v>
      </c>
      <c r="G175" s="177" t="s">
        <v>344</v>
      </c>
      <c r="H175" s="55" t="s">
        <v>637</v>
      </c>
      <c r="I175" s="158" t="s">
        <v>4</v>
      </c>
      <c r="J175" s="55" t="s">
        <v>0</v>
      </c>
      <c r="K175" s="127" t="s">
        <v>451</v>
      </c>
      <c r="L175" s="100" t="s">
        <v>1271</v>
      </c>
      <c r="M175" s="55" t="s">
        <v>255</v>
      </c>
      <c r="N175" s="282" t="s">
        <v>1215</v>
      </c>
      <c r="O175" s="238" t="s">
        <v>828</v>
      </c>
      <c r="P175" s="64" t="str">
        <f ca="1">IF(AND(OR(INDIRECT("K" &amp; ROW())="NAV-Premium",INDIRECT("K" &amp; ROW())="DA-Premium"),INDIRECT("M" &amp; ROW())="PARTITION_SCHEMA128__NavPiviJpn", INDIRECT("O" &amp; ROW())="JPN_SDB"),'SDB vs GN'!$B$41, IF(INDIRECT("H" &amp; ROW())="Chenc",'SDB vs GN'!$B$40, VLOOKUP(INDIRECT("O" &amp; ROW()),'SDB vs GN'!$A$16:$B$38,2,FALSE)))</f>
        <v>735_LA_831_AUSKRJPN</v>
      </c>
      <c r="Q175" s="79" t="s">
        <v>396</v>
      </c>
      <c r="R175" s="67" t="s">
        <v>59</v>
      </c>
      <c r="S175" s="157" t="s">
        <v>10</v>
      </c>
      <c r="T175" s="64" t="s">
        <v>449</v>
      </c>
      <c r="U175" s="104" t="s">
        <v>816</v>
      </c>
      <c r="V175" s="101" t="s">
        <v>7</v>
      </c>
      <c r="W175" s="129" t="s">
        <v>2184</v>
      </c>
      <c r="X175" s="64" t="s">
        <v>522</v>
      </c>
      <c r="Y175" s="282" t="s">
        <v>1286</v>
      </c>
      <c r="Z175" s="282" t="s">
        <v>1592</v>
      </c>
      <c r="AA175" s="96"/>
      <c r="AB175" s="154" t="s">
        <v>225</v>
      </c>
      <c r="AC175" s="229" t="s">
        <v>2131</v>
      </c>
      <c r="AD175" s="72" t="s">
        <v>808</v>
      </c>
      <c r="AE175" s="302"/>
      <c r="AF175" s="67"/>
      <c r="AG175" s="67"/>
      <c r="AH175" s="72" t="s">
        <v>2132</v>
      </c>
      <c r="AI175" s="24"/>
      <c r="AJ175" s="24"/>
      <c r="AK175" s="24"/>
      <c r="AL175" s="24"/>
    </row>
    <row r="176" spans="1:38">
      <c r="A176" s="51">
        <v>167</v>
      </c>
      <c r="B176" s="51" t="str">
        <f t="shared" si="2"/>
        <v>00A7</v>
      </c>
      <c r="C176" s="171" t="s">
        <v>507</v>
      </c>
      <c r="D176" s="94" t="s">
        <v>136</v>
      </c>
      <c r="E176" s="314" t="s">
        <v>1233</v>
      </c>
      <c r="F176" s="178" t="s">
        <v>1044</v>
      </c>
      <c r="G176" s="178" t="s">
        <v>345</v>
      </c>
      <c r="H176" s="55" t="s">
        <v>637</v>
      </c>
      <c r="I176" s="155" t="s">
        <v>815</v>
      </c>
      <c r="J176" s="55" t="s">
        <v>0</v>
      </c>
      <c r="K176" s="55" t="s">
        <v>452</v>
      </c>
      <c r="L176" s="100" t="s">
        <v>1271</v>
      </c>
      <c r="M176" s="55" t="s">
        <v>254</v>
      </c>
      <c r="N176" s="282" t="s">
        <v>1215</v>
      </c>
      <c r="O176" s="238" t="s">
        <v>126</v>
      </c>
      <c r="P176" s="64" t="str">
        <f ca="1">IF(AND(OR(INDIRECT("K" &amp; ROW())="NAV-Premium",INDIRECT("K" &amp; ROW())="DA-Premium"),INDIRECT("M" &amp; ROW())="PARTITION_SCHEMA128__NavPiviJpn", INDIRECT("O" &amp; ROW())="JPN_SDB"),'SDB vs GN'!$B$41, IF(INDIRECT("H" &amp; ROW())="Chenc",'SDB vs GN'!$B$40, VLOOKUP(INDIRECT("O" &amp; ROW()),'SDB vs GN'!$A$16:$B$38,2,FALSE)))</f>
        <v>735_LA</v>
      </c>
      <c r="Q176" s="79" t="s">
        <v>396</v>
      </c>
      <c r="R176" s="67" t="s">
        <v>59</v>
      </c>
      <c r="S176" s="157" t="s">
        <v>10</v>
      </c>
      <c r="T176" s="64" t="s">
        <v>449</v>
      </c>
      <c r="U176" s="104" t="s">
        <v>816</v>
      </c>
      <c r="V176" s="172" t="s">
        <v>618</v>
      </c>
      <c r="W176" s="129" t="s">
        <v>447</v>
      </c>
      <c r="X176" s="64" t="s">
        <v>521</v>
      </c>
      <c r="Y176" s="282" t="s">
        <v>1286</v>
      </c>
      <c r="Z176" s="282" t="s">
        <v>1592</v>
      </c>
      <c r="AA176" s="96"/>
      <c r="AB176" s="154" t="s">
        <v>225</v>
      </c>
      <c r="AC176" s="229" t="s">
        <v>492</v>
      </c>
      <c r="AD176" s="72" t="s">
        <v>808</v>
      </c>
      <c r="AE176" s="302"/>
      <c r="AF176" s="67"/>
      <c r="AG176" s="67"/>
      <c r="AH176" s="72" t="s">
        <v>493</v>
      </c>
      <c r="AI176" s="24"/>
      <c r="AJ176" s="24"/>
      <c r="AK176" s="24"/>
      <c r="AL176" s="24"/>
    </row>
    <row r="177" spans="1:38" ht="409.2">
      <c r="A177" s="51">
        <v>168</v>
      </c>
      <c r="B177" s="51" t="str">
        <f t="shared" si="2"/>
        <v>00A8</v>
      </c>
      <c r="C177" s="79" t="s">
        <v>1586</v>
      </c>
      <c r="D177" s="94" t="s">
        <v>136</v>
      </c>
      <c r="E177" s="314" t="s">
        <v>1233</v>
      </c>
      <c r="F177" s="177" t="s">
        <v>1046</v>
      </c>
      <c r="G177" s="177" t="s">
        <v>344</v>
      </c>
      <c r="H177" s="55" t="s">
        <v>637</v>
      </c>
      <c r="I177" s="94" t="s">
        <v>4</v>
      </c>
      <c r="J177" s="55" t="s">
        <v>0</v>
      </c>
      <c r="K177" s="127" t="s">
        <v>451</v>
      </c>
      <c r="L177" s="94" t="s">
        <v>499</v>
      </c>
      <c r="M177" s="55" t="s">
        <v>255</v>
      </c>
      <c r="N177" s="282" t="s">
        <v>1215</v>
      </c>
      <c r="O177" s="237" t="s">
        <v>781</v>
      </c>
      <c r="P177" s="64" t="str">
        <f ca="1">IF(AND(OR(INDIRECT("K" &amp; ROW())="NAV-Premium",INDIRECT("K" &amp; ROW())="DA-Premium"),INDIRECT("M" &amp; ROW())="PARTITION_SCHEMA128__NavPiviJpn", INDIRECT("O" &amp; ROW())="JPN_SDB"),'SDB vs GN'!$B$41, IF(INDIRECT("H" &amp; ROW())="Chenc",'SDB vs GN'!$B$40, VLOOKUP(INDIRECT("O" &amp; ROW()),'SDB vs GN'!$A$16:$B$38,2,FALSE)))</f>
        <v>731_EUR</v>
      </c>
      <c r="Q177" s="79" t="s">
        <v>396</v>
      </c>
      <c r="R177" s="64" t="s">
        <v>61</v>
      </c>
      <c r="S177" s="157" t="s">
        <v>10</v>
      </c>
      <c r="T177" s="79" t="s">
        <v>449</v>
      </c>
      <c r="U177" s="104" t="s">
        <v>816</v>
      </c>
      <c r="V177" s="172" t="s">
        <v>7</v>
      </c>
      <c r="W177" s="76" t="s">
        <v>2184</v>
      </c>
      <c r="X177" s="64" t="s">
        <v>521</v>
      </c>
      <c r="Y177" s="282" t="s">
        <v>1286</v>
      </c>
      <c r="Z177" s="282" t="s">
        <v>1592</v>
      </c>
      <c r="AA177" s="37"/>
      <c r="AB177" s="154" t="s">
        <v>225</v>
      </c>
      <c r="AC177" s="229" t="s">
        <v>2527</v>
      </c>
      <c r="AD177" s="72" t="s">
        <v>808</v>
      </c>
      <c r="AE177" s="302"/>
      <c r="AF177" s="67"/>
      <c r="AG177" s="67"/>
      <c r="AH177" s="72" t="s">
        <v>2528</v>
      </c>
      <c r="AI177" s="24"/>
      <c r="AJ177" s="24"/>
      <c r="AK177" s="24"/>
      <c r="AL177" s="24"/>
    </row>
    <row r="178" spans="1:38" ht="409.6">
      <c r="A178" s="51">
        <v>169</v>
      </c>
      <c r="B178" s="51" t="str">
        <f t="shared" si="2"/>
        <v>00A9</v>
      </c>
      <c r="C178" s="135" t="s">
        <v>1347</v>
      </c>
      <c r="D178" s="94" t="s">
        <v>136</v>
      </c>
      <c r="E178" s="314" t="s">
        <v>1233</v>
      </c>
      <c r="F178" s="177" t="s">
        <v>1046</v>
      </c>
      <c r="G178" s="177" t="s">
        <v>344</v>
      </c>
      <c r="H178" s="55" t="s">
        <v>637</v>
      </c>
      <c r="I178" s="94" t="s">
        <v>4</v>
      </c>
      <c r="J178" s="55" t="s">
        <v>0</v>
      </c>
      <c r="K178" s="127" t="s">
        <v>451</v>
      </c>
      <c r="L178" s="94" t="s">
        <v>1271</v>
      </c>
      <c r="M178" s="168" t="s">
        <v>255</v>
      </c>
      <c r="N178" s="282" t="s">
        <v>1215</v>
      </c>
      <c r="O178" s="238" t="s">
        <v>828</v>
      </c>
      <c r="P178" s="64" t="str">
        <f ca="1">IF(AND(OR(INDIRECT("K" &amp; ROW())="NAV-Premium",INDIRECT("K" &amp; ROW())="DA-Premium"),INDIRECT("M" &amp; ROW())="PARTITION_SCHEMA128__NavPiviJpn", INDIRECT("O" &amp; ROW())="JPN_SDB"),'SDB vs GN'!$B$41, IF(INDIRECT("H" &amp; ROW())="Chenc",'SDB vs GN'!$B$40, VLOOKUP(INDIRECT("O" &amp; ROW()),'SDB vs GN'!$A$16:$B$38,2,FALSE)))</f>
        <v>735_LA_831_AUSKRJPN</v>
      </c>
      <c r="Q178" s="79" t="s">
        <v>396</v>
      </c>
      <c r="R178" s="64" t="s">
        <v>59</v>
      </c>
      <c r="S178" s="157" t="s">
        <v>10</v>
      </c>
      <c r="T178" s="79" t="s">
        <v>449</v>
      </c>
      <c r="U178" s="104" t="s">
        <v>816</v>
      </c>
      <c r="V178" s="172" t="s">
        <v>7</v>
      </c>
      <c r="W178" s="76" t="s">
        <v>2184</v>
      </c>
      <c r="X178" s="64" t="s">
        <v>521</v>
      </c>
      <c r="Y178" s="282" t="s">
        <v>1286</v>
      </c>
      <c r="Z178" s="282" t="s">
        <v>1592</v>
      </c>
      <c r="AA178" s="37"/>
      <c r="AB178" s="131" t="s">
        <v>225</v>
      </c>
      <c r="AC178" s="67" t="s">
        <v>2248</v>
      </c>
      <c r="AD178" s="67" t="s">
        <v>808</v>
      </c>
      <c r="AE178" s="302"/>
      <c r="AF178" s="67"/>
      <c r="AG178" s="67"/>
      <c r="AH178" s="67" t="s">
        <v>2359</v>
      </c>
      <c r="AI178" s="24"/>
      <c r="AJ178" s="24"/>
      <c r="AK178" s="24"/>
      <c r="AL178" s="24"/>
    </row>
    <row r="179" spans="1:38" ht="26.4">
      <c r="A179" s="51">
        <v>170</v>
      </c>
      <c r="B179" s="51" t="str">
        <f t="shared" si="2"/>
        <v>00AA</v>
      </c>
      <c r="C179" s="67" t="s">
        <v>710</v>
      </c>
      <c r="D179" s="94" t="s">
        <v>136</v>
      </c>
      <c r="E179" s="314" t="s">
        <v>1233</v>
      </c>
      <c r="F179" s="118" t="s">
        <v>1050</v>
      </c>
      <c r="G179" s="118" t="s">
        <v>760</v>
      </c>
      <c r="H179" s="55" t="s">
        <v>637</v>
      </c>
      <c r="I179" s="94" t="s">
        <v>4</v>
      </c>
      <c r="J179" s="127" t="s">
        <v>1</v>
      </c>
      <c r="K179" s="163" t="s">
        <v>747</v>
      </c>
      <c r="L179" s="79" t="s">
        <v>500</v>
      </c>
      <c r="M179" s="55" t="s">
        <v>1616</v>
      </c>
      <c r="N179" s="282" t="s">
        <v>1215</v>
      </c>
      <c r="O179" s="239" t="s">
        <v>53</v>
      </c>
      <c r="P179" s="64" t="str">
        <f ca="1">IF(AND(OR(INDIRECT("K" &amp; ROW())="NAV-Premium",INDIRECT("K" &amp; ROW())="DA-Premium"),INDIRECT("M" &amp; ROW())="PARTITION_SCHEMA128__NavPiviJpn", INDIRECT("O" &amp; ROW())="JPN_SDB"),'SDB vs GN'!$B$41, IF(INDIRECT("H" &amp; ROW())="Chenc",'SDB vs GN'!$B$40, VLOOKUP(INDIRECT("O" &amp; ROW()),'SDB vs GN'!$A$16:$B$38,2,FALSE)))</f>
        <v>No_Gracenote</v>
      </c>
      <c r="Q179" s="79" t="s">
        <v>396</v>
      </c>
      <c r="R179" s="238" t="s">
        <v>248</v>
      </c>
      <c r="S179" s="157" t="s">
        <v>10</v>
      </c>
      <c r="T179" s="79" t="s">
        <v>449</v>
      </c>
      <c r="U179" s="104" t="s">
        <v>816</v>
      </c>
      <c r="V179" s="172" t="s">
        <v>7</v>
      </c>
      <c r="W179" s="129" t="s">
        <v>447</v>
      </c>
      <c r="X179" s="64" t="s">
        <v>521</v>
      </c>
      <c r="Y179" s="282" t="s">
        <v>1286</v>
      </c>
      <c r="Z179" s="282" t="s">
        <v>1592</v>
      </c>
      <c r="AA179" s="37"/>
      <c r="AB179" s="131" t="s">
        <v>244</v>
      </c>
      <c r="AC179" s="229" t="s">
        <v>621</v>
      </c>
      <c r="AD179" s="72" t="s">
        <v>808</v>
      </c>
      <c r="AE179" s="302"/>
      <c r="AF179" s="67"/>
      <c r="AG179" s="67"/>
      <c r="AH179" s="122" t="s">
        <v>753</v>
      </c>
      <c r="AI179" s="24"/>
      <c r="AJ179" s="24"/>
      <c r="AK179" s="24"/>
      <c r="AL179" s="24"/>
    </row>
    <row r="180" spans="1:38" ht="39.6">
      <c r="A180" s="51">
        <v>171</v>
      </c>
      <c r="B180" s="51" t="str">
        <f t="shared" si="2"/>
        <v>00AB</v>
      </c>
      <c r="C180" s="168" t="s">
        <v>711</v>
      </c>
      <c r="D180" s="94" t="s">
        <v>136</v>
      </c>
      <c r="E180" s="314" t="s">
        <v>1233</v>
      </c>
      <c r="F180" s="118" t="s">
        <v>1050</v>
      </c>
      <c r="G180" s="118" t="s">
        <v>760</v>
      </c>
      <c r="H180" s="55" t="s">
        <v>637</v>
      </c>
      <c r="I180" s="94" t="s">
        <v>4</v>
      </c>
      <c r="J180" s="127" t="s">
        <v>1</v>
      </c>
      <c r="K180" s="79" t="s">
        <v>747</v>
      </c>
      <c r="L180" s="79" t="s">
        <v>500</v>
      </c>
      <c r="M180" s="55" t="s">
        <v>1616</v>
      </c>
      <c r="N180" s="282" t="s">
        <v>1215</v>
      </c>
      <c r="O180" s="239" t="s">
        <v>53</v>
      </c>
      <c r="P180" s="64" t="str">
        <f ca="1">IF(AND(OR(INDIRECT("K" &amp; ROW())="NAV-Premium",INDIRECT("K" &amp; ROW())="DA-Premium"),INDIRECT("M" &amp; ROW())="PARTITION_SCHEMA128__NavPiviJpn", INDIRECT("O" &amp; ROW())="JPN_SDB"),'SDB vs GN'!$B$41, IF(INDIRECT("H" &amp; ROW())="Chenc",'SDB vs GN'!$B$40, VLOOKUP(INDIRECT("O" &amp; ROW()),'SDB vs GN'!$A$16:$B$38,2,FALSE)))</f>
        <v>No_Gracenote</v>
      </c>
      <c r="Q180" s="79" t="s">
        <v>396</v>
      </c>
      <c r="R180" s="64" t="s">
        <v>60</v>
      </c>
      <c r="S180" s="157" t="s">
        <v>10</v>
      </c>
      <c r="T180" s="79" t="s">
        <v>449</v>
      </c>
      <c r="U180" s="104" t="s">
        <v>816</v>
      </c>
      <c r="V180" s="172" t="s">
        <v>7</v>
      </c>
      <c r="W180" s="129" t="s">
        <v>447</v>
      </c>
      <c r="X180" s="64" t="s">
        <v>521</v>
      </c>
      <c r="Y180" s="282" t="s">
        <v>1286</v>
      </c>
      <c r="Z180" s="282" t="s">
        <v>1592</v>
      </c>
      <c r="AA180" s="37"/>
      <c r="AB180" s="154" t="s">
        <v>225</v>
      </c>
      <c r="AC180" s="229" t="s">
        <v>1030</v>
      </c>
      <c r="AD180" s="72" t="s">
        <v>808</v>
      </c>
      <c r="AE180" s="302"/>
      <c r="AF180" s="67"/>
      <c r="AG180" s="67"/>
      <c r="AH180" s="72" t="s">
        <v>1144</v>
      </c>
      <c r="AI180" s="24"/>
      <c r="AJ180" s="24"/>
      <c r="AK180" s="24"/>
      <c r="AL180" s="24"/>
    </row>
    <row r="181" spans="1:38">
      <c r="A181" s="51">
        <v>172</v>
      </c>
      <c r="B181" s="51" t="str">
        <f t="shared" si="2"/>
        <v>00AC</v>
      </c>
      <c r="C181" s="171" t="s">
        <v>632</v>
      </c>
      <c r="D181" s="94" t="s">
        <v>704</v>
      </c>
      <c r="E181" s="314" t="s">
        <v>1233</v>
      </c>
      <c r="F181" s="169" t="s">
        <v>1048</v>
      </c>
      <c r="G181" s="169" t="s">
        <v>347</v>
      </c>
      <c r="H181" s="166" t="s">
        <v>638</v>
      </c>
      <c r="I181" s="155" t="s">
        <v>815</v>
      </c>
      <c r="J181" s="127" t="s">
        <v>1</v>
      </c>
      <c r="K181" s="79" t="s">
        <v>748</v>
      </c>
      <c r="L181" s="79" t="s">
        <v>500</v>
      </c>
      <c r="M181" s="55" t="s">
        <v>1618</v>
      </c>
      <c r="N181" s="282" t="s">
        <v>1215</v>
      </c>
      <c r="O181" s="238" t="s">
        <v>97</v>
      </c>
      <c r="P181"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181" s="79" t="s">
        <v>396</v>
      </c>
      <c r="R181" s="64" t="s">
        <v>59</v>
      </c>
      <c r="S181" s="157" t="s">
        <v>10</v>
      </c>
      <c r="T181" s="79" t="s">
        <v>449</v>
      </c>
      <c r="U181" s="104" t="s">
        <v>816</v>
      </c>
      <c r="V181" s="101" t="s">
        <v>527</v>
      </c>
      <c r="W181" s="129" t="s">
        <v>447</v>
      </c>
      <c r="X181" s="64" t="s">
        <v>521</v>
      </c>
      <c r="Y181" s="282" t="s">
        <v>1286</v>
      </c>
      <c r="Z181" s="282" t="s">
        <v>1592</v>
      </c>
      <c r="AA181" s="37"/>
      <c r="AB181" s="154" t="s">
        <v>225</v>
      </c>
      <c r="AC181" s="235" t="s">
        <v>525</v>
      </c>
      <c r="AD181" s="72" t="s">
        <v>808</v>
      </c>
      <c r="AE181" s="302"/>
      <c r="AF181" s="67"/>
      <c r="AG181" s="67"/>
      <c r="AH181" s="72" t="s">
        <v>641</v>
      </c>
      <c r="AI181" s="24"/>
      <c r="AJ181" s="24"/>
      <c r="AK181" s="24"/>
      <c r="AL181" s="24"/>
    </row>
    <row r="182" spans="1:38" ht="52.8">
      <c r="A182" s="51">
        <v>173</v>
      </c>
      <c r="B182" s="51" t="str">
        <f t="shared" si="2"/>
        <v>00AD</v>
      </c>
      <c r="C182" s="76" t="s">
        <v>631</v>
      </c>
      <c r="D182" s="94" t="s">
        <v>704</v>
      </c>
      <c r="E182" s="314" t="s">
        <v>1233</v>
      </c>
      <c r="F182" s="169" t="s">
        <v>1048</v>
      </c>
      <c r="G182" s="169" t="s">
        <v>347</v>
      </c>
      <c r="H182" s="55" t="s">
        <v>637</v>
      </c>
      <c r="I182" s="155" t="s">
        <v>815</v>
      </c>
      <c r="J182" s="127" t="s">
        <v>1</v>
      </c>
      <c r="K182" s="79" t="s">
        <v>748</v>
      </c>
      <c r="L182" s="79" t="s">
        <v>500</v>
      </c>
      <c r="M182" s="55" t="s">
        <v>1617</v>
      </c>
      <c r="N182" s="282" t="s">
        <v>1215</v>
      </c>
      <c r="O182" s="238" t="s">
        <v>54</v>
      </c>
      <c r="P182" s="64" t="str">
        <f ca="1">IF(AND(OR(INDIRECT("K" &amp; ROW())="NAV-Premium",INDIRECT("K" &amp; ROW())="DA-Premium"),INDIRECT("M" &amp; ROW())="PARTITION_SCHEMA128__NavPiviJpn", INDIRECT("O" &amp; ROW())="JPN_SDB"),'SDB vs GN'!$B$41, IF(INDIRECT("H" &amp; ROW())="Chenc",'SDB vs GN'!$B$40, VLOOKUP(INDIRECT("O" &amp; ROW()),'SDB vs GN'!$A$16:$B$38,2,FALSE)))</f>
        <v>731_EUR</v>
      </c>
      <c r="Q182" s="79" t="s">
        <v>396</v>
      </c>
      <c r="R182" s="64" t="s">
        <v>59</v>
      </c>
      <c r="S182" s="157" t="s">
        <v>10</v>
      </c>
      <c r="T182" s="79" t="s">
        <v>449</v>
      </c>
      <c r="U182" s="104" t="s">
        <v>816</v>
      </c>
      <c r="V182" s="172" t="s">
        <v>528</v>
      </c>
      <c r="W182" s="129" t="s">
        <v>447</v>
      </c>
      <c r="X182" s="64" t="s">
        <v>521</v>
      </c>
      <c r="Y182" s="282" t="s">
        <v>1286</v>
      </c>
      <c r="Z182" s="282" t="s">
        <v>1592</v>
      </c>
      <c r="AA182" s="37"/>
      <c r="AB182" s="154" t="s">
        <v>225</v>
      </c>
      <c r="AC182" s="229" t="s">
        <v>1145</v>
      </c>
      <c r="AD182" s="72" t="s">
        <v>808</v>
      </c>
      <c r="AE182" s="302"/>
      <c r="AF182" s="67"/>
      <c r="AG182" s="67"/>
      <c r="AH182" s="72" t="s">
        <v>1146</v>
      </c>
      <c r="AI182" s="24"/>
      <c r="AJ182" s="24"/>
      <c r="AK182" s="24"/>
      <c r="AL182" s="24"/>
    </row>
    <row r="183" spans="1:38" ht="105.6">
      <c r="A183" s="51">
        <v>174</v>
      </c>
      <c r="B183" s="51" t="str">
        <f t="shared" si="2"/>
        <v>00AE</v>
      </c>
      <c r="C183" s="171" t="s">
        <v>630</v>
      </c>
      <c r="D183" s="94" t="s">
        <v>704</v>
      </c>
      <c r="E183" s="314" t="s">
        <v>1233</v>
      </c>
      <c r="F183" s="169" t="s">
        <v>1048</v>
      </c>
      <c r="G183" s="169" t="s">
        <v>347</v>
      </c>
      <c r="H183" s="55" t="s">
        <v>637</v>
      </c>
      <c r="I183" s="155" t="s">
        <v>815</v>
      </c>
      <c r="J183" s="127" t="s">
        <v>1</v>
      </c>
      <c r="K183" s="79" t="s">
        <v>748</v>
      </c>
      <c r="L183" s="79" t="s">
        <v>500</v>
      </c>
      <c r="M183" s="55" t="s">
        <v>1617</v>
      </c>
      <c r="N183" s="282" t="s">
        <v>1215</v>
      </c>
      <c r="O183" s="238" t="s">
        <v>54</v>
      </c>
      <c r="P183" s="64" t="str">
        <f ca="1">IF(AND(OR(INDIRECT("K" &amp; ROW())="NAV-Premium",INDIRECT("K" &amp; ROW())="DA-Premium"),INDIRECT("M" &amp; ROW())="PARTITION_SCHEMA128__NavPiviJpn", INDIRECT("O" &amp; ROW())="JPN_SDB"),'SDB vs GN'!$B$41, IF(INDIRECT("H" &amp; ROW())="Chenc",'SDB vs GN'!$B$40, VLOOKUP(INDIRECT("O" &amp; ROW()),'SDB vs GN'!$A$16:$B$38,2,FALSE)))</f>
        <v>731_EUR</v>
      </c>
      <c r="Q183" s="79" t="s">
        <v>396</v>
      </c>
      <c r="R183" s="262" t="s">
        <v>61</v>
      </c>
      <c r="S183" s="157" t="s">
        <v>10</v>
      </c>
      <c r="T183" s="79" t="s">
        <v>449</v>
      </c>
      <c r="U183" s="104" t="s">
        <v>816</v>
      </c>
      <c r="V183" s="172" t="s">
        <v>528</v>
      </c>
      <c r="W183" s="129" t="s">
        <v>447</v>
      </c>
      <c r="X183" s="64" t="s">
        <v>521</v>
      </c>
      <c r="Y183" s="282" t="s">
        <v>1286</v>
      </c>
      <c r="Z183" s="282" t="s">
        <v>1592</v>
      </c>
      <c r="AA183" s="37"/>
      <c r="AB183" s="131" t="s">
        <v>244</v>
      </c>
      <c r="AC183" s="229" t="s">
        <v>1960</v>
      </c>
      <c r="AD183" s="72" t="s">
        <v>808</v>
      </c>
      <c r="AE183" s="302"/>
      <c r="AF183" s="67"/>
      <c r="AG183" s="67"/>
      <c r="AH183" s="72" t="s">
        <v>1959</v>
      </c>
      <c r="AI183" s="24"/>
      <c r="AJ183" s="24"/>
      <c r="AK183" s="24"/>
      <c r="AL183" s="24"/>
    </row>
    <row r="184" spans="1:38">
      <c r="A184" s="51">
        <v>175</v>
      </c>
      <c r="B184" s="51" t="str">
        <f t="shared" si="2"/>
        <v>00AF</v>
      </c>
      <c r="C184" s="79" t="s">
        <v>629</v>
      </c>
      <c r="D184" s="94" t="s">
        <v>704</v>
      </c>
      <c r="E184" s="314" t="s">
        <v>1233</v>
      </c>
      <c r="F184" s="169" t="s">
        <v>1048</v>
      </c>
      <c r="G184" s="169" t="s">
        <v>347</v>
      </c>
      <c r="H184" s="55" t="s">
        <v>637</v>
      </c>
      <c r="I184" s="155" t="s">
        <v>815</v>
      </c>
      <c r="J184" s="127" t="s">
        <v>1</v>
      </c>
      <c r="K184" s="79" t="s">
        <v>748</v>
      </c>
      <c r="L184" s="79" t="s">
        <v>500</v>
      </c>
      <c r="M184" s="55" t="s">
        <v>1618</v>
      </c>
      <c r="N184" s="282" t="s">
        <v>1215</v>
      </c>
      <c r="O184" s="238" t="s">
        <v>84</v>
      </c>
      <c r="P184" s="64" t="str">
        <f ca="1">IF(AND(OR(INDIRECT("K" &amp; ROW())="NAV-Premium",INDIRECT("K" &amp; ROW())="DA-Premium"),INDIRECT("M" &amp; ROW())="PARTITION_SCHEMA128__NavPiviJpn", INDIRECT("O" &amp; ROW())="JPN_SDB"),'SDB vs GN'!$B$41, IF(INDIRECT("H" &amp; ROW())="Chenc",'SDB vs GN'!$B$40, VLOOKUP(INDIRECT("O" &amp; ROW()),'SDB vs GN'!$A$16:$B$38,2,FALSE)))</f>
        <v>727_NAM</v>
      </c>
      <c r="Q184" s="79" t="s">
        <v>396</v>
      </c>
      <c r="R184" s="64" t="s">
        <v>60</v>
      </c>
      <c r="S184" s="157" t="s">
        <v>10</v>
      </c>
      <c r="T184" s="79" t="s">
        <v>449</v>
      </c>
      <c r="U184" s="104" t="s">
        <v>816</v>
      </c>
      <c r="V184" s="172" t="s">
        <v>529</v>
      </c>
      <c r="W184" s="129" t="s">
        <v>447</v>
      </c>
      <c r="X184" s="64" t="s">
        <v>521</v>
      </c>
      <c r="Y184" s="282" t="s">
        <v>1286</v>
      </c>
      <c r="Z184" s="282" t="s">
        <v>1592</v>
      </c>
      <c r="AA184" s="37"/>
      <c r="AB184" s="154" t="s">
        <v>225</v>
      </c>
      <c r="AC184" s="235" t="s">
        <v>526</v>
      </c>
      <c r="AD184" s="72" t="s">
        <v>808</v>
      </c>
      <c r="AE184" s="302"/>
      <c r="AF184" s="67"/>
      <c r="AG184" s="67"/>
      <c r="AH184" s="72" t="s">
        <v>642</v>
      </c>
      <c r="AI184" s="24"/>
      <c r="AJ184" s="24"/>
      <c r="AK184" s="24"/>
      <c r="AL184" s="24"/>
    </row>
    <row r="185" spans="1:38" ht="26.4">
      <c r="A185" s="51">
        <v>176</v>
      </c>
      <c r="B185" s="51" t="str">
        <f t="shared" si="2"/>
        <v>00B0</v>
      </c>
      <c r="C185" s="79" t="s">
        <v>628</v>
      </c>
      <c r="D185" s="94" t="s">
        <v>704</v>
      </c>
      <c r="E185" s="314" t="s">
        <v>1233</v>
      </c>
      <c r="F185" s="169" t="s">
        <v>1048</v>
      </c>
      <c r="G185" s="169" t="s">
        <v>347</v>
      </c>
      <c r="H185" s="55" t="s">
        <v>637</v>
      </c>
      <c r="I185" s="155" t="s">
        <v>815</v>
      </c>
      <c r="J185" s="127" t="s">
        <v>1</v>
      </c>
      <c r="K185" s="79" t="s">
        <v>748</v>
      </c>
      <c r="L185" s="79" t="s">
        <v>500</v>
      </c>
      <c r="M185" s="55" t="s">
        <v>1618</v>
      </c>
      <c r="N185" s="282" t="s">
        <v>1215</v>
      </c>
      <c r="O185" s="238" t="s">
        <v>84</v>
      </c>
      <c r="P185" s="64" t="str">
        <f ca="1">IF(AND(OR(INDIRECT("K" &amp; ROW())="NAV-Premium",INDIRECT("K" &amp; ROW())="DA-Premium"),INDIRECT("M" &amp; ROW())="PARTITION_SCHEMA128__NavPiviJpn", INDIRECT("O" &amp; ROW())="JPN_SDB"),'SDB vs GN'!$B$41, IF(INDIRECT("H" &amp; ROW())="Chenc",'SDB vs GN'!$B$40, VLOOKUP(INDIRECT("O" &amp; ROW()),'SDB vs GN'!$A$16:$B$38,2,FALSE)))</f>
        <v>727_NAM</v>
      </c>
      <c r="Q185" s="79" t="s">
        <v>396</v>
      </c>
      <c r="R185" s="262" t="s">
        <v>60</v>
      </c>
      <c r="S185" s="157" t="s">
        <v>10</v>
      </c>
      <c r="T185" s="79" t="s">
        <v>449</v>
      </c>
      <c r="U185" s="104" t="s">
        <v>816</v>
      </c>
      <c r="V185" s="172" t="s">
        <v>530</v>
      </c>
      <c r="W185" s="129" t="s">
        <v>447</v>
      </c>
      <c r="X185" s="64" t="s">
        <v>521</v>
      </c>
      <c r="Y185" s="282" t="s">
        <v>1286</v>
      </c>
      <c r="Z185" s="282" t="s">
        <v>1592</v>
      </c>
      <c r="AA185" s="37"/>
      <c r="AB185" s="131" t="s">
        <v>244</v>
      </c>
      <c r="AC185" s="229" t="s">
        <v>627</v>
      </c>
      <c r="AD185" s="72" t="s">
        <v>808</v>
      </c>
      <c r="AE185" s="302"/>
      <c r="AF185" s="67"/>
      <c r="AG185" s="67"/>
      <c r="AH185" s="72" t="s">
        <v>643</v>
      </c>
      <c r="AI185" s="24"/>
      <c r="AJ185" s="24"/>
      <c r="AK185" s="24"/>
      <c r="AL185" s="24"/>
    </row>
    <row r="186" spans="1:38" ht="39.6">
      <c r="A186" s="51">
        <v>177</v>
      </c>
      <c r="B186" s="51" t="str">
        <f t="shared" si="2"/>
        <v>00B1</v>
      </c>
      <c r="C186" s="168" t="s">
        <v>569</v>
      </c>
      <c r="D186" s="94" t="s">
        <v>704</v>
      </c>
      <c r="E186" s="314" t="s">
        <v>1233</v>
      </c>
      <c r="F186" s="169" t="s">
        <v>1048</v>
      </c>
      <c r="G186" s="169" t="s">
        <v>347</v>
      </c>
      <c r="H186" s="55" t="s">
        <v>637</v>
      </c>
      <c r="I186" s="155" t="s">
        <v>815</v>
      </c>
      <c r="J186" s="127" t="s">
        <v>1</v>
      </c>
      <c r="K186" s="79" t="s">
        <v>748</v>
      </c>
      <c r="L186" s="79" t="s">
        <v>500</v>
      </c>
      <c r="M186" s="55" t="s">
        <v>1618</v>
      </c>
      <c r="N186" s="282" t="s">
        <v>1215</v>
      </c>
      <c r="O186" s="238" t="s">
        <v>126</v>
      </c>
      <c r="P186" s="64" t="str">
        <f ca="1">IF(AND(OR(INDIRECT("K" &amp; ROW())="NAV-Premium",INDIRECT("K" &amp; ROW())="DA-Premium"),INDIRECT("M" &amp; ROW())="PARTITION_SCHEMA128__NavPiviJpn", INDIRECT("O" &amp; ROW())="JPN_SDB"),'SDB vs GN'!$B$41, IF(INDIRECT("H" &amp; ROW())="Chenc",'SDB vs GN'!$B$40, VLOOKUP(INDIRECT("O" &amp; ROW()),'SDB vs GN'!$A$16:$B$38,2,FALSE)))</f>
        <v>735_LA</v>
      </c>
      <c r="Q186" s="79" t="s">
        <v>396</v>
      </c>
      <c r="R186" s="64" t="s">
        <v>59</v>
      </c>
      <c r="S186" s="157" t="s">
        <v>10</v>
      </c>
      <c r="T186" s="79" t="s">
        <v>449</v>
      </c>
      <c r="U186" s="104" t="s">
        <v>816</v>
      </c>
      <c r="V186" s="101" t="s">
        <v>542</v>
      </c>
      <c r="W186" s="129" t="s">
        <v>447</v>
      </c>
      <c r="X186" s="64" t="s">
        <v>521</v>
      </c>
      <c r="Y186" s="282" t="s">
        <v>1286</v>
      </c>
      <c r="Z186" s="282" t="s">
        <v>1592</v>
      </c>
      <c r="AA186" s="37"/>
      <c r="AB186" s="154" t="s">
        <v>225</v>
      </c>
      <c r="AC186" s="229" t="s">
        <v>1035</v>
      </c>
      <c r="AD186" s="72" t="s">
        <v>808</v>
      </c>
      <c r="AE186" s="302"/>
      <c r="AF186" s="67"/>
      <c r="AG186" s="67"/>
      <c r="AH186" s="72" t="s">
        <v>1147</v>
      </c>
      <c r="AI186" s="24"/>
      <c r="AJ186" s="24"/>
      <c r="AK186" s="24"/>
      <c r="AL186" s="24"/>
    </row>
    <row r="187" spans="1:38" ht="52.8">
      <c r="A187" s="51">
        <v>178</v>
      </c>
      <c r="B187" s="51" t="str">
        <f t="shared" si="2"/>
        <v>00B2</v>
      </c>
      <c r="C187" s="64" t="s">
        <v>570</v>
      </c>
      <c r="D187" s="94" t="s">
        <v>704</v>
      </c>
      <c r="E187" s="314" t="s">
        <v>1233</v>
      </c>
      <c r="F187" s="169" t="s">
        <v>1048</v>
      </c>
      <c r="G187" s="169" t="s">
        <v>347</v>
      </c>
      <c r="H187" s="55" t="s">
        <v>637</v>
      </c>
      <c r="I187" s="155" t="s">
        <v>815</v>
      </c>
      <c r="J187" s="127" t="s">
        <v>1</v>
      </c>
      <c r="K187" s="79" t="s">
        <v>748</v>
      </c>
      <c r="L187" s="79" t="s">
        <v>500</v>
      </c>
      <c r="M187" s="55" t="s">
        <v>1618</v>
      </c>
      <c r="N187" s="282" t="s">
        <v>1215</v>
      </c>
      <c r="O187" s="238" t="s">
        <v>126</v>
      </c>
      <c r="P187" s="64" t="str">
        <f ca="1">IF(AND(OR(INDIRECT("K" &amp; ROW())="NAV-Premium",INDIRECT("K" &amp; ROW())="DA-Premium"),INDIRECT("M" &amp; ROW())="PARTITION_SCHEMA128__NavPiviJpn", INDIRECT("O" &amp; ROW())="JPN_SDB"),'SDB vs GN'!$B$41, IF(INDIRECT("H" &amp; ROW())="Chenc",'SDB vs GN'!$B$40, VLOOKUP(INDIRECT("O" &amp; ROW()),'SDB vs GN'!$A$16:$B$38,2,FALSE)))</f>
        <v>735_LA</v>
      </c>
      <c r="Q187" s="79" t="s">
        <v>396</v>
      </c>
      <c r="R187" s="64" t="s">
        <v>59</v>
      </c>
      <c r="S187" s="157" t="s">
        <v>10</v>
      </c>
      <c r="T187" s="79" t="s">
        <v>449</v>
      </c>
      <c r="U187" s="104" t="s">
        <v>816</v>
      </c>
      <c r="V187" s="172" t="s">
        <v>543</v>
      </c>
      <c r="W187" s="129" t="s">
        <v>447</v>
      </c>
      <c r="X187" s="64" t="s">
        <v>521</v>
      </c>
      <c r="Y187" s="282" t="s">
        <v>1286</v>
      </c>
      <c r="Z187" s="282" t="s">
        <v>1592</v>
      </c>
      <c r="AA187" s="37"/>
      <c r="AB187" s="154" t="s">
        <v>225</v>
      </c>
      <c r="AC187" s="229" t="s">
        <v>1577</v>
      </c>
      <c r="AD187" s="72" t="s">
        <v>808</v>
      </c>
      <c r="AE187" s="302"/>
      <c r="AF187" s="67"/>
      <c r="AG187" s="67"/>
      <c r="AH187" s="72" t="s">
        <v>1576</v>
      </c>
      <c r="AI187" s="24"/>
      <c r="AJ187" s="24"/>
      <c r="AK187" s="24"/>
      <c r="AL187" s="24"/>
    </row>
    <row r="188" spans="1:38" ht="39.6">
      <c r="A188" s="51">
        <v>179</v>
      </c>
      <c r="B188" s="51" t="str">
        <f t="shared" si="2"/>
        <v>00B3</v>
      </c>
      <c r="C188" s="168" t="s">
        <v>571</v>
      </c>
      <c r="D188" s="94" t="s">
        <v>704</v>
      </c>
      <c r="E188" s="314" t="s">
        <v>1233</v>
      </c>
      <c r="F188" s="169" t="s">
        <v>1048</v>
      </c>
      <c r="G188" s="169" t="s">
        <v>347</v>
      </c>
      <c r="H188" s="55" t="s">
        <v>637</v>
      </c>
      <c r="I188" s="155" t="s">
        <v>815</v>
      </c>
      <c r="J188" s="127" t="s">
        <v>1</v>
      </c>
      <c r="K188" s="79" t="s">
        <v>748</v>
      </c>
      <c r="L188" s="79" t="s">
        <v>500</v>
      </c>
      <c r="M188" s="55" t="s">
        <v>1618</v>
      </c>
      <c r="N188" s="282" t="s">
        <v>1215</v>
      </c>
      <c r="O188" s="238" t="s">
        <v>825</v>
      </c>
      <c r="P188" s="64" t="str">
        <f ca="1">IF(AND(OR(INDIRECT("K" &amp; ROW())="NAV-Premium",INDIRECT("K" &amp; ROW())="DA-Premium"),INDIRECT("M" &amp; ROW())="PARTITION_SCHEMA128__NavPiviJpn", INDIRECT("O" &amp; ROW())="JPN_SDB"),'SDB vs GN'!$B$41, IF(INDIRECT("H" &amp; ROW())="Chenc",'SDB vs GN'!$B$40, VLOOKUP(INDIRECT("O" &amp; ROW()),'SDB vs GN'!$A$16:$B$38,2,FALSE)))</f>
        <v>831_AUSKRJPN</v>
      </c>
      <c r="Q188" s="79" t="s">
        <v>396</v>
      </c>
      <c r="R188" s="64" t="s">
        <v>59</v>
      </c>
      <c r="S188" s="157" t="s">
        <v>10</v>
      </c>
      <c r="T188" s="79" t="s">
        <v>449</v>
      </c>
      <c r="U188" s="104" t="s">
        <v>816</v>
      </c>
      <c r="V188" s="172" t="s">
        <v>544</v>
      </c>
      <c r="W188" s="129" t="s">
        <v>447</v>
      </c>
      <c r="X188" s="64" t="s">
        <v>521</v>
      </c>
      <c r="Y188" s="282" t="s">
        <v>1286</v>
      </c>
      <c r="Z188" s="282" t="s">
        <v>1592</v>
      </c>
      <c r="AA188" s="37"/>
      <c r="AB188" s="154" t="s">
        <v>225</v>
      </c>
      <c r="AC188" s="229" t="s">
        <v>1037</v>
      </c>
      <c r="AD188" s="72" t="s">
        <v>808</v>
      </c>
      <c r="AE188" s="302"/>
      <c r="AF188" s="67"/>
      <c r="AG188" s="67"/>
      <c r="AH188" s="72" t="s">
        <v>1148</v>
      </c>
      <c r="AI188" s="24"/>
      <c r="AJ188" s="24"/>
      <c r="AK188" s="24"/>
      <c r="AL188" s="24"/>
    </row>
    <row r="189" spans="1:38" ht="66">
      <c r="A189" s="51">
        <v>180</v>
      </c>
      <c r="B189" s="51" t="str">
        <f t="shared" si="2"/>
        <v>00B4</v>
      </c>
      <c r="C189" s="168" t="s">
        <v>1038</v>
      </c>
      <c r="D189" s="94" t="s">
        <v>704</v>
      </c>
      <c r="E189" s="314" t="s">
        <v>1233</v>
      </c>
      <c r="F189" s="169" t="s">
        <v>1048</v>
      </c>
      <c r="G189" s="169" t="s">
        <v>347</v>
      </c>
      <c r="H189" s="55" t="s">
        <v>637</v>
      </c>
      <c r="I189" s="155" t="s">
        <v>815</v>
      </c>
      <c r="J189" s="127" t="s">
        <v>1</v>
      </c>
      <c r="K189" s="79" t="s">
        <v>748</v>
      </c>
      <c r="L189" s="79" t="s">
        <v>500</v>
      </c>
      <c r="M189" s="55" t="s">
        <v>1618</v>
      </c>
      <c r="N189" s="282" t="s">
        <v>1215</v>
      </c>
      <c r="O189" s="238" t="s">
        <v>825</v>
      </c>
      <c r="P189" s="64" t="str">
        <f ca="1">IF(AND(OR(INDIRECT("K" &amp; ROW())="NAV-Premium",INDIRECT("K" &amp; ROW())="DA-Premium"),INDIRECT("M" &amp; ROW())="PARTITION_SCHEMA128__NavPiviJpn", INDIRECT("O" &amp; ROW())="JPN_SDB"),'SDB vs GN'!$B$41, IF(INDIRECT("H" &amp; ROW())="Chenc",'SDB vs GN'!$B$40, VLOOKUP(INDIRECT("O" &amp; ROW()),'SDB vs GN'!$A$16:$B$38,2,FALSE)))</f>
        <v>831_AUSKRJPN</v>
      </c>
      <c r="Q189" s="79" t="s">
        <v>396</v>
      </c>
      <c r="R189" s="64" t="s">
        <v>59</v>
      </c>
      <c r="S189" s="157" t="s">
        <v>10</v>
      </c>
      <c r="T189" s="79" t="s">
        <v>449</v>
      </c>
      <c r="U189" s="104" t="s">
        <v>816</v>
      </c>
      <c r="V189" s="172" t="s">
        <v>545</v>
      </c>
      <c r="W189" s="129" t="s">
        <v>447</v>
      </c>
      <c r="X189" s="64" t="s">
        <v>521</v>
      </c>
      <c r="Y189" s="282" t="s">
        <v>1286</v>
      </c>
      <c r="Z189" s="282" t="s">
        <v>1592</v>
      </c>
      <c r="AA189" s="37"/>
      <c r="AB189" s="154" t="s">
        <v>225</v>
      </c>
      <c r="AC189" s="229" t="s">
        <v>1824</v>
      </c>
      <c r="AD189" s="72" t="s">
        <v>808</v>
      </c>
      <c r="AE189" s="302"/>
      <c r="AF189" s="67"/>
      <c r="AG189" s="67"/>
      <c r="AH189" s="72" t="s">
        <v>1823</v>
      </c>
      <c r="AI189" s="24"/>
      <c r="AJ189" s="24"/>
      <c r="AK189" s="24"/>
      <c r="AL189" s="24"/>
    </row>
    <row r="190" spans="1:38" ht="79.2">
      <c r="A190" s="51">
        <v>181</v>
      </c>
      <c r="B190" s="51" t="str">
        <f t="shared" si="2"/>
        <v>00B5</v>
      </c>
      <c r="C190" s="171" t="s">
        <v>572</v>
      </c>
      <c r="D190" s="94" t="s">
        <v>704</v>
      </c>
      <c r="E190" s="314" t="s">
        <v>1233</v>
      </c>
      <c r="F190" s="169" t="s">
        <v>1048</v>
      </c>
      <c r="G190" s="169" t="s">
        <v>347</v>
      </c>
      <c r="H190" s="55" t="s">
        <v>637</v>
      </c>
      <c r="I190" s="155" t="s">
        <v>815</v>
      </c>
      <c r="J190" s="127" t="s">
        <v>1</v>
      </c>
      <c r="K190" s="79" t="s">
        <v>748</v>
      </c>
      <c r="L190" s="79" t="s">
        <v>500</v>
      </c>
      <c r="M190" s="55" t="s">
        <v>1618</v>
      </c>
      <c r="N190" s="282" t="s">
        <v>1215</v>
      </c>
      <c r="O190" s="238" t="s">
        <v>825</v>
      </c>
      <c r="P190" s="64" t="str">
        <f ca="1">IF(AND(OR(INDIRECT("K" &amp; ROW())="NAV-Premium",INDIRECT("K" &amp; ROW())="DA-Premium"),INDIRECT("M" &amp; ROW())="PARTITION_SCHEMA128__NavPiviJpn", INDIRECT("O" &amp; ROW())="JPN_SDB"),'SDB vs GN'!$B$41, IF(INDIRECT("H" &amp; ROW())="Chenc",'SDB vs GN'!$B$40, VLOOKUP(INDIRECT("O" &amp; ROW()),'SDB vs GN'!$A$16:$B$38,2,FALSE)))</f>
        <v>831_AUSKRJPN</v>
      </c>
      <c r="Q190" s="79" t="s">
        <v>396</v>
      </c>
      <c r="R190" s="64" t="s">
        <v>59</v>
      </c>
      <c r="S190" s="157" t="s">
        <v>10</v>
      </c>
      <c r="T190" s="79" t="s">
        <v>449</v>
      </c>
      <c r="U190" s="104" t="s">
        <v>816</v>
      </c>
      <c r="V190" s="172" t="s">
        <v>770</v>
      </c>
      <c r="W190" s="129" t="s">
        <v>447</v>
      </c>
      <c r="X190" s="64" t="s">
        <v>521</v>
      </c>
      <c r="Y190" s="282" t="s">
        <v>1286</v>
      </c>
      <c r="Z190" s="282" t="s">
        <v>1592</v>
      </c>
      <c r="AA190" s="37"/>
      <c r="AB190" s="154" t="s">
        <v>225</v>
      </c>
      <c r="AC190" s="229" t="s">
        <v>1822</v>
      </c>
      <c r="AD190" s="72" t="s">
        <v>808</v>
      </c>
      <c r="AE190" s="302"/>
      <c r="AF190" s="67"/>
      <c r="AG190" s="67"/>
      <c r="AH190" s="72" t="s">
        <v>1821</v>
      </c>
      <c r="AI190" s="24"/>
      <c r="AJ190" s="24"/>
      <c r="AK190" s="24"/>
      <c r="AL190" s="24"/>
    </row>
    <row r="191" spans="1:38" ht="79.2">
      <c r="A191" s="51">
        <v>182</v>
      </c>
      <c r="B191" s="51" t="str">
        <f t="shared" si="2"/>
        <v>00B6</v>
      </c>
      <c r="C191" s="76" t="s">
        <v>573</v>
      </c>
      <c r="D191" s="94" t="s">
        <v>704</v>
      </c>
      <c r="E191" s="314" t="s">
        <v>1233</v>
      </c>
      <c r="F191" s="169" t="s">
        <v>1048</v>
      </c>
      <c r="G191" s="169" t="s">
        <v>347</v>
      </c>
      <c r="H191" s="55" t="s">
        <v>637</v>
      </c>
      <c r="I191" s="155" t="s">
        <v>815</v>
      </c>
      <c r="J191" s="127" t="s">
        <v>1</v>
      </c>
      <c r="K191" s="79" t="s">
        <v>748</v>
      </c>
      <c r="L191" s="79" t="s">
        <v>500</v>
      </c>
      <c r="M191" s="55" t="s">
        <v>1617</v>
      </c>
      <c r="N191" s="282" t="s">
        <v>1215</v>
      </c>
      <c r="O191" s="238" t="s">
        <v>54</v>
      </c>
      <c r="P191" s="64" t="str">
        <f ca="1">IF(AND(OR(INDIRECT("K" &amp; ROW())="NAV-Premium",INDIRECT("K" &amp; ROW())="DA-Premium"),INDIRECT("M" &amp; ROW())="PARTITION_SCHEMA128__NavPiviJpn", INDIRECT("O" &amp; ROW())="JPN_SDB"),'SDB vs GN'!$B$41, IF(INDIRECT("H" &amp; ROW())="Chenc",'SDB vs GN'!$B$40, VLOOKUP(INDIRECT("O" &amp; ROW()),'SDB vs GN'!$A$16:$B$38,2,FALSE)))</f>
        <v>731_EUR</v>
      </c>
      <c r="Q191" s="79" t="s">
        <v>396</v>
      </c>
      <c r="R191" s="64" t="s">
        <v>59</v>
      </c>
      <c r="S191" s="157" t="s">
        <v>10</v>
      </c>
      <c r="T191" s="79" t="s">
        <v>449</v>
      </c>
      <c r="U191" s="104" t="s">
        <v>816</v>
      </c>
      <c r="V191" s="101" t="s">
        <v>547</v>
      </c>
      <c r="W191" s="129" t="s">
        <v>447</v>
      </c>
      <c r="X191" s="64" t="s">
        <v>521</v>
      </c>
      <c r="Y191" s="282" t="s">
        <v>1286</v>
      </c>
      <c r="Z191" s="282" t="s">
        <v>1592</v>
      </c>
      <c r="AA191" s="37"/>
      <c r="AB191" s="154" t="s">
        <v>225</v>
      </c>
      <c r="AC191" s="229" t="s">
        <v>1810</v>
      </c>
      <c r="AD191" s="72" t="s">
        <v>808</v>
      </c>
      <c r="AE191" s="302"/>
      <c r="AF191" s="67"/>
      <c r="AG191" s="67"/>
      <c r="AH191" s="72" t="s">
        <v>1809</v>
      </c>
      <c r="AI191" s="24"/>
      <c r="AJ191" s="24"/>
      <c r="AK191" s="24"/>
      <c r="AL191" s="24"/>
    </row>
    <row r="192" spans="1:38">
      <c r="A192" s="51">
        <v>183</v>
      </c>
      <c r="B192" s="51" t="str">
        <f t="shared" si="2"/>
        <v>00B7</v>
      </c>
      <c r="C192" s="171" t="s">
        <v>574</v>
      </c>
      <c r="D192" s="94" t="s">
        <v>704</v>
      </c>
      <c r="E192" s="314" t="s">
        <v>1233</v>
      </c>
      <c r="F192" s="169" t="s">
        <v>1048</v>
      </c>
      <c r="G192" s="169" t="s">
        <v>347</v>
      </c>
      <c r="H192" s="55" t="s">
        <v>637</v>
      </c>
      <c r="I192" s="155" t="s">
        <v>815</v>
      </c>
      <c r="J192" s="127" t="s">
        <v>1</v>
      </c>
      <c r="K192" s="79" t="s">
        <v>748</v>
      </c>
      <c r="L192" s="79" t="s">
        <v>500</v>
      </c>
      <c r="M192" s="55" t="s">
        <v>1618</v>
      </c>
      <c r="N192" s="282" t="s">
        <v>1215</v>
      </c>
      <c r="O192" s="238" t="s">
        <v>73</v>
      </c>
      <c r="P192" s="64" t="str">
        <f ca="1">IF(AND(OR(INDIRECT("K" &amp; ROW())="NAV-Premium",INDIRECT("K" &amp; ROW())="DA-Premium"),INDIRECT("M" &amp; ROW())="PARTITION_SCHEMA128__NavPiviJpn", INDIRECT("O" &amp; ROW())="JPN_SDB"),'SDB vs GN'!$B$41, IF(INDIRECT("H" &amp; ROW())="Chenc",'SDB vs GN'!$B$40, VLOOKUP(INDIRECT("O" &amp; ROW()),'SDB vs GN'!$A$16:$B$38,2,FALSE)))</f>
        <v>731_EUR</v>
      </c>
      <c r="Q192" s="79" t="s">
        <v>396</v>
      </c>
      <c r="R192" s="64" t="s">
        <v>59</v>
      </c>
      <c r="S192" s="157" t="s">
        <v>10</v>
      </c>
      <c r="T192" s="79" t="s">
        <v>449</v>
      </c>
      <c r="U192" s="104" t="s">
        <v>816</v>
      </c>
      <c r="V192" s="172" t="s">
        <v>548</v>
      </c>
      <c r="W192" s="129" t="s">
        <v>447</v>
      </c>
      <c r="X192" s="64" t="s">
        <v>521</v>
      </c>
      <c r="Y192" s="282" t="s">
        <v>1286</v>
      </c>
      <c r="Z192" s="282" t="s">
        <v>1592</v>
      </c>
      <c r="AA192" s="37"/>
      <c r="AB192" s="154" t="s">
        <v>225</v>
      </c>
      <c r="AC192" s="235" t="s">
        <v>532</v>
      </c>
      <c r="AD192" s="72" t="s">
        <v>808</v>
      </c>
      <c r="AE192" s="302"/>
      <c r="AF192" s="67"/>
      <c r="AG192" s="67"/>
      <c r="AH192" s="72" t="s">
        <v>644</v>
      </c>
      <c r="AI192" s="24"/>
      <c r="AJ192" s="24"/>
      <c r="AK192" s="24"/>
      <c r="AL192" s="24"/>
    </row>
    <row r="193" spans="1:38">
      <c r="A193" s="51">
        <v>184</v>
      </c>
      <c r="B193" s="51" t="str">
        <f t="shared" si="2"/>
        <v>00B8</v>
      </c>
      <c r="C193" s="79" t="s">
        <v>575</v>
      </c>
      <c r="D193" s="94" t="s">
        <v>704</v>
      </c>
      <c r="E193" s="314" t="s">
        <v>1233</v>
      </c>
      <c r="F193" s="169" t="s">
        <v>1048</v>
      </c>
      <c r="G193" s="169" t="s">
        <v>347</v>
      </c>
      <c r="H193" s="55" t="s">
        <v>637</v>
      </c>
      <c r="I193" s="155" t="s">
        <v>815</v>
      </c>
      <c r="J193" s="127" t="s">
        <v>1</v>
      </c>
      <c r="K193" s="79" t="s">
        <v>748</v>
      </c>
      <c r="L193" s="79" t="s">
        <v>500</v>
      </c>
      <c r="M193" s="55" t="s">
        <v>1618</v>
      </c>
      <c r="N193" s="282" t="s">
        <v>1215</v>
      </c>
      <c r="O193" s="238" t="s">
        <v>826</v>
      </c>
      <c r="P193" s="64" t="str">
        <f ca="1">IF(AND(OR(INDIRECT("K" &amp; ROW())="NAV-Premium",INDIRECT("K" &amp; ROW())="DA-Premium"),INDIRECT("M" &amp; ROW())="PARTITION_SCHEMA128__NavPiviJpn", INDIRECT("O" &amp; ROW())="JPN_SDB"),'SDB vs GN'!$B$41, IF(INDIRECT("H" &amp; ROW())="Chenc",'SDB vs GN'!$B$40, VLOOKUP(INDIRECT("O" &amp; ROW()),'SDB vs GN'!$A$16:$B$38,2,FALSE)))</f>
        <v>731_EUR</v>
      </c>
      <c r="Q193" s="79" t="s">
        <v>396</v>
      </c>
      <c r="R193" s="64" t="s">
        <v>59</v>
      </c>
      <c r="S193" s="157" t="s">
        <v>10</v>
      </c>
      <c r="T193" s="79" t="s">
        <v>449</v>
      </c>
      <c r="U193" s="104" t="s">
        <v>816</v>
      </c>
      <c r="V193" s="326" t="s">
        <v>549</v>
      </c>
      <c r="W193" s="129" t="s">
        <v>447</v>
      </c>
      <c r="X193" s="64" t="s">
        <v>521</v>
      </c>
      <c r="Y193" s="282" t="s">
        <v>1286</v>
      </c>
      <c r="Z193" s="282" t="s">
        <v>1592</v>
      </c>
      <c r="AA193" s="37"/>
      <c r="AB193" s="154" t="s">
        <v>225</v>
      </c>
      <c r="AC193" s="235" t="s">
        <v>533</v>
      </c>
      <c r="AD193" s="72" t="s">
        <v>808</v>
      </c>
      <c r="AE193" s="302"/>
      <c r="AF193" s="67"/>
      <c r="AG193" s="67"/>
      <c r="AH193" s="72" t="s">
        <v>645</v>
      </c>
      <c r="AI193" s="24"/>
      <c r="AJ193" s="24"/>
      <c r="AK193" s="24"/>
      <c r="AL193" s="24"/>
    </row>
    <row r="194" spans="1:38">
      <c r="A194" s="51">
        <v>185</v>
      </c>
      <c r="B194" s="51" t="str">
        <f t="shared" si="2"/>
        <v>00B9</v>
      </c>
      <c r="C194" s="79" t="s">
        <v>576</v>
      </c>
      <c r="D194" s="94" t="s">
        <v>704</v>
      </c>
      <c r="E194" s="314" t="s">
        <v>1233</v>
      </c>
      <c r="F194" s="169" t="s">
        <v>1048</v>
      </c>
      <c r="G194" s="169" t="s">
        <v>347</v>
      </c>
      <c r="H194" s="55" t="s">
        <v>637</v>
      </c>
      <c r="I194" s="155" t="s">
        <v>815</v>
      </c>
      <c r="J194" s="127" t="s">
        <v>1</v>
      </c>
      <c r="K194" s="79" t="s">
        <v>748</v>
      </c>
      <c r="L194" s="79" t="s">
        <v>500</v>
      </c>
      <c r="M194" s="55" t="s">
        <v>1618</v>
      </c>
      <c r="N194" s="282" t="s">
        <v>1215</v>
      </c>
      <c r="O194" s="238" t="s">
        <v>97</v>
      </c>
      <c r="P194" s="64" t="str">
        <f ca="1">IF(AND(OR(INDIRECT("K" &amp; ROW())="NAV-Premium",INDIRECT("K" &amp; ROW())="DA-Premium"),INDIRECT("M" &amp; ROW())="PARTITION_SCHEMA128__NavPiviJpn", INDIRECT("O" &amp; ROW())="JPN_SDB"),'SDB vs GN'!$B$41, IF(INDIRECT("H" &amp; ROW())="Chenc",'SDB vs GN'!$B$40, VLOOKUP(INDIRECT("O" &amp; ROW()),'SDB vs GN'!$A$16:$B$38,2,FALSE)))</f>
        <v>734_CN_831_AUSKRJPN</v>
      </c>
      <c r="Q194" s="79" t="s">
        <v>396</v>
      </c>
      <c r="R194" s="64" t="s">
        <v>59</v>
      </c>
      <c r="S194" s="157" t="s">
        <v>10</v>
      </c>
      <c r="T194" s="79" t="s">
        <v>449</v>
      </c>
      <c r="U194" s="104" t="s">
        <v>816</v>
      </c>
      <c r="V194" s="172" t="s">
        <v>550</v>
      </c>
      <c r="W194" s="129" t="s">
        <v>447</v>
      </c>
      <c r="X194" s="64" t="s">
        <v>521</v>
      </c>
      <c r="Y194" s="282" t="s">
        <v>1286</v>
      </c>
      <c r="Z194" s="282" t="s">
        <v>1592</v>
      </c>
      <c r="AA194" s="37"/>
      <c r="AB194" s="154" t="s">
        <v>225</v>
      </c>
      <c r="AC194" s="229" t="s">
        <v>534</v>
      </c>
      <c r="AD194" s="72" t="s">
        <v>808</v>
      </c>
      <c r="AE194" s="302"/>
      <c r="AF194" s="67"/>
      <c r="AG194" s="67"/>
      <c r="AH194" s="72" t="s">
        <v>646</v>
      </c>
      <c r="AI194" s="24"/>
      <c r="AJ194" s="24"/>
      <c r="AK194" s="24"/>
      <c r="AL194" s="24"/>
    </row>
    <row r="195" spans="1:38" ht="26.4">
      <c r="A195" s="51">
        <v>186</v>
      </c>
      <c r="B195" s="51" t="str">
        <f t="shared" si="2"/>
        <v>00BA</v>
      </c>
      <c r="C195" s="168" t="s">
        <v>577</v>
      </c>
      <c r="D195" s="94" t="s">
        <v>704</v>
      </c>
      <c r="E195" s="314" t="s">
        <v>1233</v>
      </c>
      <c r="F195" s="169" t="s">
        <v>1048</v>
      </c>
      <c r="G195" s="169" t="s">
        <v>347</v>
      </c>
      <c r="H195" s="55" t="s">
        <v>637</v>
      </c>
      <c r="I195" s="155" t="s">
        <v>815</v>
      </c>
      <c r="J195" s="127" t="s">
        <v>1</v>
      </c>
      <c r="K195" s="79" t="s">
        <v>748</v>
      </c>
      <c r="L195" s="79" t="s">
        <v>500</v>
      </c>
      <c r="M195" s="55" t="s">
        <v>1618</v>
      </c>
      <c r="N195" s="282" t="s">
        <v>1215</v>
      </c>
      <c r="O195" s="238" t="s">
        <v>97</v>
      </c>
      <c r="P195" s="64" t="str">
        <f ca="1">IF(AND(OR(INDIRECT("K" &amp; ROW())="NAV-Premium",INDIRECT("K" &amp; ROW())="DA-Premium"),INDIRECT("M" &amp; ROW())="PARTITION_SCHEMA128__NavPiviJpn", INDIRECT("O" &amp; ROW())="JPN_SDB"),'SDB vs GN'!$B$41, IF(INDIRECT("H" &amp; ROW())="Chenc",'SDB vs GN'!$B$40, VLOOKUP(INDIRECT("O" &amp; ROW()),'SDB vs GN'!$A$16:$B$38,2,FALSE)))</f>
        <v>734_CN_831_AUSKRJPN</v>
      </c>
      <c r="Q195" s="79" t="s">
        <v>396</v>
      </c>
      <c r="R195" s="64" t="s">
        <v>59</v>
      </c>
      <c r="S195" s="157" t="s">
        <v>10</v>
      </c>
      <c r="T195" s="79" t="s">
        <v>449</v>
      </c>
      <c r="U195" s="104" t="s">
        <v>816</v>
      </c>
      <c r="V195" s="172" t="s">
        <v>551</v>
      </c>
      <c r="W195" s="129" t="s">
        <v>447</v>
      </c>
      <c r="X195" s="64" t="s">
        <v>521</v>
      </c>
      <c r="Y195" s="282" t="s">
        <v>1286</v>
      </c>
      <c r="Z195" s="282" t="s">
        <v>1592</v>
      </c>
      <c r="AA195" s="37"/>
      <c r="AB195" s="154" t="s">
        <v>225</v>
      </c>
      <c r="AC195" s="229" t="s">
        <v>1039</v>
      </c>
      <c r="AD195" s="72" t="s">
        <v>808</v>
      </c>
      <c r="AE195" s="302"/>
      <c r="AF195" s="67"/>
      <c r="AG195" s="67"/>
      <c r="AH195" s="72" t="s">
        <v>1151</v>
      </c>
      <c r="AI195" s="24"/>
      <c r="AJ195" s="24"/>
      <c r="AK195" s="24"/>
      <c r="AL195" s="24"/>
    </row>
    <row r="196" spans="1:38" ht="66">
      <c r="A196" s="51">
        <v>187</v>
      </c>
      <c r="B196" s="51" t="str">
        <f t="shared" ref="B196:B259" si="3">DEC2HEX(A196,4)</f>
        <v>00BB</v>
      </c>
      <c r="C196" s="64" t="s">
        <v>578</v>
      </c>
      <c r="D196" s="94" t="s">
        <v>704</v>
      </c>
      <c r="E196" s="314" t="s">
        <v>1233</v>
      </c>
      <c r="F196" s="169" t="s">
        <v>1048</v>
      </c>
      <c r="G196" s="169" t="s">
        <v>347</v>
      </c>
      <c r="H196" s="55" t="s">
        <v>637</v>
      </c>
      <c r="I196" s="155" t="s">
        <v>815</v>
      </c>
      <c r="J196" s="127" t="s">
        <v>1</v>
      </c>
      <c r="K196" s="79" t="s">
        <v>748</v>
      </c>
      <c r="L196" s="79" t="s">
        <v>500</v>
      </c>
      <c r="M196" s="55" t="s">
        <v>1618</v>
      </c>
      <c r="N196" s="282" t="s">
        <v>1215</v>
      </c>
      <c r="O196" s="238" t="s">
        <v>97</v>
      </c>
      <c r="P196" s="64" t="str">
        <f ca="1">IF(AND(OR(INDIRECT("K" &amp; ROW())="NAV-Premium",INDIRECT("K" &amp; ROW())="DA-Premium"),INDIRECT("M" &amp; ROW())="PARTITION_SCHEMA128__NavPiviJpn", INDIRECT("O" &amp; ROW())="JPN_SDB"),'SDB vs GN'!$B$41, IF(INDIRECT("H" &amp; ROW())="Chenc",'SDB vs GN'!$B$40, VLOOKUP(INDIRECT("O" &amp; ROW()),'SDB vs GN'!$A$16:$B$38,2,FALSE)))</f>
        <v>734_CN_831_AUSKRJPN</v>
      </c>
      <c r="Q196" s="79" t="s">
        <v>396</v>
      </c>
      <c r="R196" s="64" t="s">
        <v>61</v>
      </c>
      <c r="S196" s="157" t="s">
        <v>10</v>
      </c>
      <c r="T196" s="79" t="s">
        <v>449</v>
      </c>
      <c r="U196" s="104" t="s">
        <v>816</v>
      </c>
      <c r="V196" s="101" t="s">
        <v>551</v>
      </c>
      <c r="W196" s="129" t="s">
        <v>447</v>
      </c>
      <c r="X196" s="64" t="s">
        <v>521</v>
      </c>
      <c r="Y196" s="282" t="s">
        <v>1286</v>
      </c>
      <c r="Z196" s="282" t="s">
        <v>1592</v>
      </c>
      <c r="AA196" s="37"/>
      <c r="AB196" s="154" t="s">
        <v>225</v>
      </c>
      <c r="AC196" s="229" t="s">
        <v>1826</v>
      </c>
      <c r="AD196" s="72" t="s">
        <v>808</v>
      </c>
      <c r="AE196" s="302"/>
      <c r="AF196" s="67"/>
      <c r="AG196" s="67"/>
      <c r="AH196" s="72" t="s">
        <v>1825</v>
      </c>
      <c r="AI196" s="24"/>
      <c r="AJ196" s="24"/>
      <c r="AK196" s="24"/>
      <c r="AL196" s="24"/>
    </row>
    <row r="197" spans="1:38" ht="66">
      <c r="A197" s="51">
        <v>188</v>
      </c>
      <c r="B197" s="51" t="str">
        <f t="shared" si="3"/>
        <v>00BC</v>
      </c>
      <c r="C197" s="168" t="s">
        <v>579</v>
      </c>
      <c r="D197" s="94" t="s">
        <v>704</v>
      </c>
      <c r="E197" s="314" t="s">
        <v>1233</v>
      </c>
      <c r="F197" s="169" t="s">
        <v>1048</v>
      </c>
      <c r="G197" s="169" t="s">
        <v>347</v>
      </c>
      <c r="H197" s="55" t="s">
        <v>637</v>
      </c>
      <c r="I197" s="155" t="s">
        <v>815</v>
      </c>
      <c r="J197" s="127" t="s">
        <v>1</v>
      </c>
      <c r="K197" s="79" t="s">
        <v>748</v>
      </c>
      <c r="L197" s="79" t="s">
        <v>500</v>
      </c>
      <c r="M197" s="55" t="s">
        <v>1618</v>
      </c>
      <c r="N197" s="282" t="s">
        <v>1215</v>
      </c>
      <c r="O197" s="238" t="s">
        <v>826</v>
      </c>
      <c r="P197" s="64" t="str">
        <f ca="1">IF(AND(OR(INDIRECT("K" &amp; ROW())="NAV-Premium",INDIRECT("K" &amp; ROW())="DA-Premium"),INDIRECT("M" &amp; ROW())="PARTITION_SCHEMA128__NavPiviJpn", INDIRECT("O" &amp; ROW())="JPN_SDB"),'SDB vs GN'!$B$41, IF(INDIRECT("H" &amp; ROW())="Chenc",'SDB vs GN'!$B$40, VLOOKUP(INDIRECT("O" &amp; ROW()),'SDB vs GN'!$A$16:$B$38,2,FALSE)))</f>
        <v>731_EUR</v>
      </c>
      <c r="Q197" s="79" t="s">
        <v>396</v>
      </c>
      <c r="R197" s="64" t="s">
        <v>59</v>
      </c>
      <c r="S197" s="157" t="s">
        <v>10</v>
      </c>
      <c r="T197" s="79" t="s">
        <v>449</v>
      </c>
      <c r="U197" s="104" t="s">
        <v>816</v>
      </c>
      <c r="V197" s="172" t="s">
        <v>552</v>
      </c>
      <c r="W197" s="129" t="s">
        <v>447</v>
      </c>
      <c r="X197" s="64" t="s">
        <v>521</v>
      </c>
      <c r="Y197" s="282" t="s">
        <v>1286</v>
      </c>
      <c r="Z197" s="282" t="s">
        <v>1592</v>
      </c>
      <c r="AA197" s="37"/>
      <c r="AB197" s="154" t="s">
        <v>225</v>
      </c>
      <c r="AC197" s="229" t="s">
        <v>1812</v>
      </c>
      <c r="AD197" s="72" t="s">
        <v>808</v>
      </c>
      <c r="AE197" s="302"/>
      <c r="AF197" s="67"/>
      <c r="AG197" s="67"/>
      <c r="AH197" s="72" t="s">
        <v>1811</v>
      </c>
      <c r="AI197" s="24"/>
      <c r="AJ197" s="24"/>
      <c r="AK197" s="24"/>
      <c r="AL197" s="24"/>
    </row>
    <row r="198" spans="1:38" ht="52.8">
      <c r="A198" s="51">
        <v>189</v>
      </c>
      <c r="B198" s="51" t="str">
        <f t="shared" si="3"/>
        <v>00BD</v>
      </c>
      <c r="C198" s="168" t="s">
        <v>580</v>
      </c>
      <c r="D198" s="55" t="s">
        <v>143</v>
      </c>
      <c r="E198" s="282" t="s">
        <v>1233</v>
      </c>
      <c r="F198" s="78" t="s">
        <v>1047</v>
      </c>
      <c r="G198" s="78" t="s">
        <v>761</v>
      </c>
      <c r="H198" s="55" t="s">
        <v>637</v>
      </c>
      <c r="I198" s="155" t="s">
        <v>815</v>
      </c>
      <c r="J198" s="127" t="s">
        <v>1</v>
      </c>
      <c r="K198" s="79" t="s">
        <v>749</v>
      </c>
      <c r="L198" s="79" t="s">
        <v>500</v>
      </c>
      <c r="M198" s="55" t="s">
        <v>1615</v>
      </c>
      <c r="N198" s="282" t="s">
        <v>1215</v>
      </c>
      <c r="O198" s="238" t="s">
        <v>54</v>
      </c>
      <c r="P198" s="64" t="str">
        <f ca="1">IF(AND(OR(INDIRECT("K" &amp; ROW())="NAV-Premium",INDIRECT("K" &amp; ROW())="DA-Premium"),INDIRECT("M" &amp; ROW())="PARTITION_SCHEMA128__NavPiviJpn", INDIRECT("O" &amp; ROW())="JPN_SDB"),'SDB vs GN'!$B$41, IF(INDIRECT("H" &amp; ROW())="Chenc",'SDB vs GN'!$B$40, VLOOKUP(INDIRECT("O" &amp; ROW()),'SDB vs GN'!$A$16:$B$38,2,FALSE)))</f>
        <v>731_EUR</v>
      </c>
      <c r="Q198" s="79" t="s">
        <v>396</v>
      </c>
      <c r="R198" s="238" t="s">
        <v>248</v>
      </c>
      <c r="S198" s="157" t="s">
        <v>10</v>
      </c>
      <c r="T198" s="79" t="s">
        <v>449</v>
      </c>
      <c r="U198" s="104" t="s">
        <v>12</v>
      </c>
      <c r="V198" s="172" t="s">
        <v>553</v>
      </c>
      <c r="W198" s="129" t="s">
        <v>447</v>
      </c>
      <c r="X198" s="64" t="s">
        <v>521</v>
      </c>
      <c r="Y198" s="282" t="s">
        <v>1286</v>
      </c>
      <c r="Z198" s="282" t="s">
        <v>1592</v>
      </c>
      <c r="AA198" s="37"/>
      <c r="AB198" s="154" t="s">
        <v>225</v>
      </c>
      <c r="AC198" s="229" t="s">
        <v>1155</v>
      </c>
      <c r="AD198" s="72" t="s">
        <v>808</v>
      </c>
      <c r="AE198" s="302"/>
      <c r="AF198" s="67"/>
      <c r="AG198" s="67"/>
      <c r="AH198" s="72" t="s">
        <v>1156</v>
      </c>
      <c r="AI198" s="24"/>
      <c r="AJ198" s="24"/>
      <c r="AK198" s="24"/>
      <c r="AL198" s="24"/>
    </row>
    <row r="199" spans="1:38">
      <c r="A199" s="51">
        <v>190</v>
      </c>
      <c r="B199" s="51" t="str">
        <f t="shared" si="3"/>
        <v>00BE</v>
      </c>
      <c r="C199" s="171" t="s">
        <v>581</v>
      </c>
      <c r="D199" s="55" t="s">
        <v>143</v>
      </c>
      <c r="E199" s="282" t="s">
        <v>1233</v>
      </c>
      <c r="F199" s="78" t="s">
        <v>1047</v>
      </c>
      <c r="G199" s="78" t="s">
        <v>761</v>
      </c>
      <c r="H199" s="55" t="s">
        <v>637</v>
      </c>
      <c r="I199" s="155" t="s">
        <v>815</v>
      </c>
      <c r="J199" s="127" t="s">
        <v>1</v>
      </c>
      <c r="K199" s="79" t="s">
        <v>749</v>
      </c>
      <c r="L199" s="79" t="s">
        <v>500</v>
      </c>
      <c r="M199" s="55" t="s">
        <v>1615</v>
      </c>
      <c r="N199" s="282" t="s">
        <v>1215</v>
      </c>
      <c r="O199" s="238" t="s">
        <v>84</v>
      </c>
      <c r="P199" s="64" t="str">
        <f ca="1">IF(AND(OR(INDIRECT("K" &amp; ROW())="NAV-Premium",INDIRECT("K" &amp; ROW())="DA-Premium"),INDIRECT("M" &amp; ROW())="PARTITION_SCHEMA128__NavPiviJpn", INDIRECT("O" &amp; ROW())="JPN_SDB"),'SDB vs GN'!$B$41, IF(INDIRECT("H" &amp; ROW())="Chenc",'SDB vs GN'!$B$40, VLOOKUP(INDIRECT("O" &amp; ROW()),'SDB vs GN'!$A$16:$B$38,2,FALSE)))</f>
        <v>727_NAM</v>
      </c>
      <c r="Q199" s="79" t="s">
        <v>396</v>
      </c>
      <c r="R199" s="64" t="s">
        <v>60</v>
      </c>
      <c r="S199" s="157" t="s">
        <v>10</v>
      </c>
      <c r="T199" s="79" t="s">
        <v>449</v>
      </c>
      <c r="U199" s="104" t="s">
        <v>12</v>
      </c>
      <c r="V199" s="68" t="s">
        <v>529</v>
      </c>
      <c r="W199" s="129" t="s">
        <v>447</v>
      </c>
      <c r="X199" s="64" t="s">
        <v>521</v>
      </c>
      <c r="Y199" s="282" t="s">
        <v>1286</v>
      </c>
      <c r="Z199" s="282" t="s">
        <v>1592</v>
      </c>
      <c r="AA199" s="37"/>
      <c r="AB199" s="154" t="s">
        <v>225</v>
      </c>
      <c r="AC199" s="235" t="s">
        <v>535</v>
      </c>
      <c r="AD199" s="72" t="s">
        <v>808</v>
      </c>
      <c r="AE199" s="302"/>
      <c r="AF199" s="67"/>
      <c r="AG199" s="67"/>
      <c r="AH199" s="72" t="s">
        <v>647</v>
      </c>
      <c r="AI199" s="24"/>
      <c r="AJ199" s="24"/>
      <c r="AK199" s="24"/>
      <c r="AL199" s="24"/>
    </row>
    <row r="200" spans="1:38" ht="26.4">
      <c r="A200" s="51">
        <v>191</v>
      </c>
      <c r="B200" s="51" t="str">
        <f t="shared" si="3"/>
        <v>00BF</v>
      </c>
      <c r="C200" s="79" t="s">
        <v>1444</v>
      </c>
      <c r="D200" s="55" t="s">
        <v>143</v>
      </c>
      <c r="E200" s="282" t="s">
        <v>1233</v>
      </c>
      <c r="F200" s="78" t="s">
        <v>1047</v>
      </c>
      <c r="G200" s="78" t="s">
        <v>761</v>
      </c>
      <c r="H200" s="55" t="s">
        <v>637</v>
      </c>
      <c r="I200" s="182" t="s">
        <v>5</v>
      </c>
      <c r="J200" s="127" t="s">
        <v>1</v>
      </c>
      <c r="K200" s="79" t="s">
        <v>749</v>
      </c>
      <c r="L200" s="79" t="s">
        <v>500</v>
      </c>
      <c r="M200" s="55" t="s">
        <v>1615</v>
      </c>
      <c r="N200" s="282" t="s">
        <v>1215</v>
      </c>
      <c r="O200" s="238" t="s">
        <v>55</v>
      </c>
      <c r="P200" s="64" t="str">
        <f ca="1">IF(AND(OR(INDIRECT("K" &amp; ROW())="NAV-Premium",INDIRECT("K" &amp; ROW())="DA-Premium"),INDIRECT("M" &amp; ROW())="PARTITION_SCHEMA128__NavPiviJpn", INDIRECT("O" &amp; ROW())="JPN_SDB"),'SDB vs GN'!$B$41, IF(INDIRECT("H" &amp; ROW())="Chenc",'SDB vs GN'!$B$40, VLOOKUP(INDIRECT("O" &amp; ROW()),'SDB vs GN'!$A$16:$B$38,2,FALSE)))</f>
        <v>742_JPN_831_AUSKRJPN</v>
      </c>
      <c r="Q200" s="79" t="s">
        <v>396</v>
      </c>
      <c r="R200" s="64" t="s">
        <v>133</v>
      </c>
      <c r="S200" s="157" t="s">
        <v>10</v>
      </c>
      <c r="T200" s="79" t="s">
        <v>449</v>
      </c>
      <c r="U200" s="104" t="s">
        <v>12</v>
      </c>
      <c r="V200" s="172" t="s">
        <v>554</v>
      </c>
      <c r="W200" s="129" t="s">
        <v>447</v>
      </c>
      <c r="X200" s="64" t="s">
        <v>362</v>
      </c>
      <c r="Y200" s="282" t="s">
        <v>1286</v>
      </c>
      <c r="Z200" s="282" t="s">
        <v>1592</v>
      </c>
      <c r="AA200" s="37"/>
      <c r="AB200" s="131" t="s">
        <v>244</v>
      </c>
      <c r="AC200" s="229" t="s">
        <v>623</v>
      </c>
      <c r="AD200" s="72" t="s">
        <v>808</v>
      </c>
      <c r="AE200" s="302"/>
      <c r="AF200" s="67"/>
      <c r="AG200" s="67"/>
      <c r="AH200" s="72" t="s">
        <v>648</v>
      </c>
      <c r="AI200" s="24"/>
      <c r="AJ200" s="24"/>
      <c r="AK200" s="24"/>
      <c r="AL200" s="24"/>
    </row>
    <row r="201" spans="1:38" ht="145.19999999999999">
      <c r="A201" s="51">
        <v>192</v>
      </c>
      <c r="B201" s="51" t="str">
        <f t="shared" si="3"/>
        <v>00C0</v>
      </c>
      <c r="C201" s="79" t="s">
        <v>1273</v>
      </c>
      <c r="D201" s="55" t="s">
        <v>143</v>
      </c>
      <c r="E201" s="282" t="s">
        <v>1233</v>
      </c>
      <c r="F201" s="78" t="s">
        <v>1052</v>
      </c>
      <c r="G201" s="78" t="s">
        <v>761</v>
      </c>
      <c r="H201" s="55" t="s">
        <v>637</v>
      </c>
      <c r="I201" s="94" t="s">
        <v>3</v>
      </c>
      <c r="J201" s="127" t="s">
        <v>1</v>
      </c>
      <c r="K201" s="79" t="s">
        <v>749</v>
      </c>
      <c r="L201" s="64" t="s">
        <v>856</v>
      </c>
      <c r="M201" s="55" t="s">
        <v>1614</v>
      </c>
      <c r="N201" s="282" t="s">
        <v>1215</v>
      </c>
      <c r="O201" s="238" t="s">
        <v>55</v>
      </c>
      <c r="P201" s="64" t="str">
        <f ca="1">IF(AND(OR(INDIRECT("K" &amp; ROW())="NAV-Premium",INDIRECT("K" &amp; ROW())="DA-Premium"),INDIRECT("M" &amp; ROW())="PARTITION_SCHEMA128__NavPiviJpn", INDIRECT("O" &amp; ROW())="JPN_SDB"),'SDB vs GN'!$B$41, IF(INDIRECT("H" &amp; ROW())="Chenc",'SDB vs GN'!$B$40, VLOOKUP(INDIRECT("O" &amp; ROW()),'SDB vs GN'!$A$16:$B$38,2,FALSE)))</f>
        <v>742_JPN_831_AUSKRJPN</v>
      </c>
      <c r="Q201" s="79" t="s">
        <v>396</v>
      </c>
      <c r="R201" s="238" t="s">
        <v>248</v>
      </c>
      <c r="S201" s="157" t="s">
        <v>10</v>
      </c>
      <c r="T201" s="79" t="s">
        <v>449</v>
      </c>
      <c r="U201" s="104" t="s">
        <v>12</v>
      </c>
      <c r="V201" s="68" t="s">
        <v>555</v>
      </c>
      <c r="W201" s="129" t="s">
        <v>447</v>
      </c>
      <c r="X201" s="64" t="s">
        <v>521</v>
      </c>
      <c r="Y201" s="282" t="s">
        <v>1286</v>
      </c>
      <c r="Z201" s="282" t="s">
        <v>1592</v>
      </c>
      <c r="AA201" s="37"/>
      <c r="AB201" s="154" t="s">
        <v>225</v>
      </c>
      <c r="AC201" s="229" t="s">
        <v>2166</v>
      </c>
      <c r="AD201" s="72" t="s">
        <v>888</v>
      </c>
      <c r="AE201" s="302"/>
      <c r="AF201" s="67"/>
      <c r="AG201" s="67"/>
      <c r="AH201" s="72" t="s">
        <v>2165</v>
      </c>
      <c r="AI201" s="24"/>
      <c r="AJ201" s="24"/>
      <c r="AK201" s="24"/>
      <c r="AL201" s="24"/>
    </row>
    <row r="202" spans="1:38" ht="39.6">
      <c r="A202" s="51">
        <v>193</v>
      </c>
      <c r="B202" s="51" t="str">
        <f t="shared" si="3"/>
        <v>00C1</v>
      </c>
      <c r="C202" s="168" t="s">
        <v>583</v>
      </c>
      <c r="D202" s="55" t="s">
        <v>143</v>
      </c>
      <c r="E202" s="282" t="s">
        <v>1233</v>
      </c>
      <c r="F202" s="78" t="s">
        <v>1047</v>
      </c>
      <c r="G202" s="78" t="s">
        <v>761</v>
      </c>
      <c r="H202" s="55" t="s">
        <v>637</v>
      </c>
      <c r="I202" s="155" t="s">
        <v>815</v>
      </c>
      <c r="J202" s="127" t="s">
        <v>1</v>
      </c>
      <c r="K202" s="79" t="s">
        <v>749</v>
      </c>
      <c r="L202" s="79" t="s">
        <v>500</v>
      </c>
      <c r="M202" s="55" t="s">
        <v>1615</v>
      </c>
      <c r="N202" s="282" t="s">
        <v>1215</v>
      </c>
      <c r="O202" s="238" t="s">
        <v>126</v>
      </c>
      <c r="P202" s="64" t="str">
        <f ca="1">IF(AND(OR(INDIRECT("K" &amp; ROW())="NAV-Premium",INDIRECT("K" &amp; ROW())="DA-Premium"),INDIRECT("M" &amp; ROW())="PARTITION_SCHEMA128__NavPiviJpn", INDIRECT("O" &amp; ROW())="JPN_SDB"),'SDB vs GN'!$B$41, IF(INDIRECT("H" &amp; ROW())="Chenc",'SDB vs GN'!$B$40, VLOOKUP(INDIRECT("O" &amp; ROW()),'SDB vs GN'!$A$16:$B$38,2,FALSE)))</f>
        <v>735_LA</v>
      </c>
      <c r="Q202" s="79" t="s">
        <v>396</v>
      </c>
      <c r="R202" s="238" t="s">
        <v>248</v>
      </c>
      <c r="S202" s="157" t="s">
        <v>10</v>
      </c>
      <c r="T202" s="79" t="s">
        <v>449</v>
      </c>
      <c r="U202" s="104" t="s">
        <v>12</v>
      </c>
      <c r="V202" s="172" t="s">
        <v>556</v>
      </c>
      <c r="W202" s="129" t="s">
        <v>447</v>
      </c>
      <c r="X202" s="64" t="s">
        <v>521</v>
      </c>
      <c r="Y202" s="282" t="s">
        <v>1286</v>
      </c>
      <c r="Z202" s="282" t="s">
        <v>1592</v>
      </c>
      <c r="AA202" s="37"/>
      <c r="AB202" s="154" t="s">
        <v>225</v>
      </c>
      <c r="AC202" s="229" t="s">
        <v>1031</v>
      </c>
      <c r="AD202" s="72" t="s">
        <v>808</v>
      </c>
      <c r="AE202" s="302"/>
      <c r="AF202" s="67"/>
      <c r="AG202" s="67"/>
      <c r="AH202" s="72" t="s">
        <v>1149</v>
      </c>
      <c r="AI202" s="24"/>
      <c r="AJ202" s="24"/>
      <c r="AK202" s="24"/>
      <c r="AL202" s="24"/>
    </row>
    <row r="203" spans="1:38" ht="52.8">
      <c r="A203" s="51">
        <v>194</v>
      </c>
      <c r="B203" s="51" t="str">
        <f t="shared" si="3"/>
        <v>00C2</v>
      </c>
      <c r="C203" s="64" t="s">
        <v>584</v>
      </c>
      <c r="D203" s="55" t="s">
        <v>143</v>
      </c>
      <c r="E203" s="282" t="s">
        <v>1233</v>
      </c>
      <c r="F203" s="78" t="s">
        <v>1047</v>
      </c>
      <c r="G203" s="78" t="s">
        <v>761</v>
      </c>
      <c r="H203" s="55" t="s">
        <v>637</v>
      </c>
      <c r="I203" s="155" t="s">
        <v>815</v>
      </c>
      <c r="J203" s="127" t="s">
        <v>1</v>
      </c>
      <c r="K203" s="79" t="s">
        <v>749</v>
      </c>
      <c r="L203" s="79" t="s">
        <v>500</v>
      </c>
      <c r="M203" s="55" t="s">
        <v>1615</v>
      </c>
      <c r="N203" s="282" t="s">
        <v>1215</v>
      </c>
      <c r="O203" s="238" t="s">
        <v>126</v>
      </c>
      <c r="P203" s="64" t="str">
        <f ca="1">IF(AND(OR(INDIRECT("K" &amp; ROW())="NAV-Premium",INDIRECT("K" &amp; ROW())="DA-Premium"),INDIRECT("M" &amp; ROW())="PARTITION_SCHEMA128__NavPiviJpn", INDIRECT("O" &amp; ROW())="JPN_SDB"),'SDB vs GN'!$B$41, IF(INDIRECT("H" &amp; ROW())="Chenc",'SDB vs GN'!$B$40, VLOOKUP(INDIRECT("O" &amp; ROW()),'SDB vs GN'!$A$16:$B$38,2,FALSE)))</f>
        <v>735_LA</v>
      </c>
      <c r="Q203" s="79" t="s">
        <v>396</v>
      </c>
      <c r="R203" s="238" t="s">
        <v>248</v>
      </c>
      <c r="S203" s="157" t="s">
        <v>10</v>
      </c>
      <c r="T203" s="79" t="s">
        <v>449</v>
      </c>
      <c r="U203" s="104" t="s">
        <v>12</v>
      </c>
      <c r="V203" s="172" t="s">
        <v>557</v>
      </c>
      <c r="W203" s="129" t="s">
        <v>447</v>
      </c>
      <c r="X203" s="64" t="s">
        <v>521</v>
      </c>
      <c r="Y203" s="282" t="s">
        <v>1286</v>
      </c>
      <c r="Z203" s="282" t="s">
        <v>1592</v>
      </c>
      <c r="AA203" s="37"/>
      <c r="AB203" s="154" t="s">
        <v>225</v>
      </c>
      <c r="AC203" s="229" t="s">
        <v>1569</v>
      </c>
      <c r="AD203" s="72" t="s">
        <v>808</v>
      </c>
      <c r="AE203" s="302"/>
      <c r="AF203" s="67"/>
      <c r="AG203" s="67"/>
      <c r="AH203" s="72" t="s">
        <v>1570</v>
      </c>
      <c r="AI203" s="24"/>
      <c r="AJ203" s="24"/>
      <c r="AK203" s="24"/>
      <c r="AL203" s="24"/>
    </row>
    <row r="204" spans="1:38" ht="39.6">
      <c r="A204" s="51">
        <v>195</v>
      </c>
      <c r="B204" s="51" t="str">
        <f t="shared" si="3"/>
        <v>00C3</v>
      </c>
      <c r="C204" s="168" t="s">
        <v>585</v>
      </c>
      <c r="D204" s="55" t="s">
        <v>143</v>
      </c>
      <c r="E204" s="282" t="s">
        <v>1233</v>
      </c>
      <c r="F204" s="78" t="s">
        <v>1047</v>
      </c>
      <c r="G204" s="78" t="s">
        <v>761</v>
      </c>
      <c r="H204" s="55" t="s">
        <v>637</v>
      </c>
      <c r="I204" s="155" t="s">
        <v>815</v>
      </c>
      <c r="J204" s="127" t="s">
        <v>1</v>
      </c>
      <c r="K204" s="79" t="s">
        <v>749</v>
      </c>
      <c r="L204" s="79" t="s">
        <v>500</v>
      </c>
      <c r="M204" s="55" t="s">
        <v>1615</v>
      </c>
      <c r="N204" s="282" t="s">
        <v>1215</v>
      </c>
      <c r="O204" s="238" t="s">
        <v>825</v>
      </c>
      <c r="P204" s="64" t="str">
        <f ca="1">IF(AND(OR(INDIRECT("K" &amp; ROW())="NAV-Premium",INDIRECT("K" &amp; ROW())="DA-Premium"),INDIRECT("M" &amp; ROW())="PARTITION_SCHEMA128__NavPiviJpn", INDIRECT("O" &amp; ROW())="JPN_SDB"),'SDB vs GN'!$B$41, IF(INDIRECT("H" &amp; ROW())="Chenc",'SDB vs GN'!$B$40, VLOOKUP(INDIRECT("O" &amp; ROW()),'SDB vs GN'!$A$16:$B$38,2,FALSE)))</f>
        <v>831_AUSKRJPN</v>
      </c>
      <c r="Q204" s="79" t="s">
        <v>396</v>
      </c>
      <c r="R204" s="238" t="s">
        <v>248</v>
      </c>
      <c r="S204" s="157" t="s">
        <v>10</v>
      </c>
      <c r="T204" s="79" t="s">
        <v>449</v>
      </c>
      <c r="U204" s="104" t="s">
        <v>12</v>
      </c>
      <c r="V204" s="101" t="s">
        <v>558</v>
      </c>
      <c r="W204" s="129" t="s">
        <v>447</v>
      </c>
      <c r="X204" s="64" t="s">
        <v>521</v>
      </c>
      <c r="Y204" s="282" t="s">
        <v>1286</v>
      </c>
      <c r="Z204" s="282" t="s">
        <v>1592</v>
      </c>
      <c r="AA204" s="37"/>
      <c r="AB204" s="154" t="s">
        <v>225</v>
      </c>
      <c r="AC204" s="229" t="s">
        <v>1032</v>
      </c>
      <c r="AD204" s="72" t="s">
        <v>808</v>
      </c>
      <c r="AE204" s="302"/>
      <c r="AF204" s="67"/>
      <c r="AG204" s="67"/>
      <c r="AH204" s="72" t="s">
        <v>1150</v>
      </c>
      <c r="AI204" s="24"/>
      <c r="AJ204" s="24"/>
      <c r="AK204" s="24"/>
      <c r="AL204" s="24"/>
    </row>
    <row r="205" spans="1:38" ht="66">
      <c r="A205" s="51">
        <v>196</v>
      </c>
      <c r="B205" s="51" t="str">
        <f t="shared" si="3"/>
        <v>00C4</v>
      </c>
      <c r="C205" s="168" t="s">
        <v>1033</v>
      </c>
      <c r="D205" s="55" t="s">
        <v>143</v>
      </c>
      <c r="E205" s="282" t="s">
        <v>1233</v>
      </c>
      <c r="F205" s="78" t="s">
        <v>1047</v>
      </c>
      <c r="G205" s="78" t="s">
        <v>761</v>
      </c>
      <c r="H205" s="55" t="s">
        <v>637</v>
      </c>
      <c r="I205" s="155" t="s">
        <v>815</v>
      </c>
      <c r="J205" s="127" t="s">
        <v>1</v>
      </c>
      <c r="K205" s="79" t="s">
        <v>749</v>
      </c>
      <c r="L205" s="79" t="s">
        <v>500</v>
      </c>
      <c r="M205" s="55" t="s">
        <v>1615</v>
      </c>
      <c r="N205" s="282" t="s">
        <v>1215</v>
      </c>
      <c r="O205" s="238" t="s">
        <v>825</v>
      </c>
      <c r="P205" s="64" t="str">
        <f ca="1">IF(AND(OR(INDIRECT("K" &amp; ROW())="NAV-Premium",INDIRECT("K" &amp; ROW())="DA-Premium"),INDIRECT("M" &amp; ROW())="PARTITION_SCHEMA128__NavPiviJpn", INDIRECT("O" &amp; ROW())="JPN_SDB"),'SDB vs GN'!$B$41, IF(INDIRECT("H" &amp; ROW())="Chenc",'SDB vs GN'!$B$40, VLOOKUP(INDIRECT("O" &amp; ROW()),'SDB vs GN'!$A$16:$B$38,2,FALSE)))</f>
        <v>831_AUSKRJPN</v>
      </c>
      <c r="Q205" s="79" t="s">
        <v>396</v>
      </c>
      <c r="R205" s="238" t="s">
        <v>248</v>
      </c>
      <c r="S205" s="157" t="s">
        <v>10</v>
      </c>
      <c r="T205" s="79" t="s">
        <v>449</v>
      </c>
      <c r="U205" s="104" t="s">
        <v>12</v>
      </c>
      <c r="V205" s="172" t="s">
        <v>559</v>
      </c>
      <c r="W205" s="129" t="s">
        <v>447</v>
      </c>
      <c r="X205" s="64" t="s">
        <v>521</v>
      </c>
      <c r="Y205" s="282" t="s">
        <v>1286</v>
      </c>
      <c r="Z205" s="282" t="s">
        <v>1592</v>
      </c>
      <c r="AA205" s="37"/>
      <c r="AB205" s="154" t="s">
        <v>225</v>
      </c>
      <c r="AC205" s="229" t="s">
        <v>1816</v>
      </c>
      <c r="AD205" s="72" t="s">
        <v>808</v>
      </c>
      <c r="AE205" s="302"/>
      <c r="AF205" s="67"/>
      <c r="AG205" s="67"/>
      <c r="AH205" s="72" t="s">
        <v>1815</v>
      </c>
      <c r="AI205" s="24"/>
      <c r="AJ205" s="24"/>
      <c r="AK205" s="24"/>
      <c r="AL205" s="24"/>
    </row>
    <row r="206" spans="1:38" ht="79.2">
      <c r="A206" s="51">
        <v>197</v>
      </c>
      <c r="B206" s="51" t="str">
        <f t="shared" si="3"/>
        <v>00C5</v>
      </c>
      <c r="C206" s="171" t="s">
        <v>586</v>
      </c>
      <c r="D206" s="55" t="s">
        <v>143</v>
      </c>
      <c r="E206" s="282" t="s">
        <v>1233</v>
      </c>
      <c r="F206" s="78" t="s">
        <v>1047</v>
      </c>
      <c r="G206" s="78" t="s">
        <v>761</v>
      </c>
      <c r="H206" s="55" t="s">
        <v>637</v>
      </c>
      <c r="I206" s="155" t="s">
        <v>815</v>
      </c>
      <c r="J206" s="127" t="s">
        <v>1</v>
      </c>
      <c r="K206" s="79" t="s">
        <v>749</v>
      </c>
      <c r="L206" s="79" t="s">
        <v>500</v>
      </c>
      <c r="M206" s="55" t="s">
        <v>1615</v>
      </c>
      <c r="N206" s="282" t="s">
        <v>1215</v>
      </c>
      <c r="O206" s="238" t="s">
        <v>825</v>
      </c>
      <c r="P206" s="64" t="str">
        <f ca="1">IF(AND(OR(INDIRECT("K" &amp; ROW())="NAV-Premium",INDIRECT("K" &amp; ROW())="DA-Premium"),INDIRECT("M" &amp; ROW())="PARTITION_SCHEMA128__NavPiviJpn", INDIRECT("O" &amp; ROW())="JPN_SDB"),'SDB vs GN'!$B$41, IF(INDIRECT("H" &amp; ROW())="Chenc",'SDB vs GN'!$B$40, VLOOKUP(INDIRECT("O" &amp; ROW()),'SDB vs GN'!$A$16:$B$38,2,FALSE)))</f>
        <v>831_AUSKRJPN</v>
      </c>
      <c r="Q206" s="79" t="s">
        <v>396</v>
      </c>
      <c r="R206" s="238" t="s">
        <v>248</v>
      </c>
      <c r="S206" s="157" t="s">
        <v>10</v>
      </c>
      <c r="T206" s="79" t="s">
        <v>449</v>
      </c>
      <c r="U206" s="104" t="s">
        <v>12</v>
      </c>
      <c r="V206" s="172" t="s">
        <v>546</v>
      </c>
      <c r="W206" s="129" t="s">
        <v>447</v>
      </c>
      <c r="X206" s="64" t="s">
        <v>521</v>
      </c>
      <c r="Y206" s="282" t="s">
        <v>1286</v>
      </c>
      <c r="Z206" s="282" t="s">
        <v>1592</v>
      </c>
      <c r="AA206" s="37"/>
      <c r="AB206" s="154" t="s">
        <v>225</v>
      </c>
      <c r="AC206" s="229" t="s">
        <v>1814</v>
      </c>
      <c r="AD206" s="72" t="s">
        <v>808</v>
      </c>
      <c r="AE206" s="302"/>
      <c r="AF206" s="67"/>
      <c r="AG206" s="67"/>
      <c r="AH206" s="72" t="s">
        <v>1813</v>
      </c>
      <c r="AI206" s="24"/>
      <c r="AJ206" s="24"/>
      <c r="AK206" s="24"/>
      <c r="AL206" s="24"/>
    </row>
    <row r="207" spans="1:38" ht="66">
      <c r="A207" s="51">
        <v>198</v>
      </c>
      <c r="B207" s="51" t="str">
        <f t="shared" si="3"/>
        <v>00C6</v>
      </c>
      <c r="C207" s="76" t="s">
        <v>587</v>
      </c>
      <c r="D207" s="55" t="s">
        <v>143</v>
      </c>
      <c r="E207" s="282" t="s">
        <v>1233</v>
      </c>
      <c r="F207" s="78" t="s">
        <v>1047</v>
      </c>
      <c r="G207" s="78" t="s">
        <v>761</v>
      </c>
      <c r="H207" s="55" t="s">
        <v>637</v>
      </c>
      <c r="I207" s="155" t="s">
        <v>815</v>
      </c>
      <c r="J207" s="127" t="s">
        <v>1</v>
      </c>
      <c r="K207" s="79" t="s">
        <v>749</v>
      </c>
      <c r="L207" s="79" t="s">
        <v>500</v>
      </c>
      <c r="M207" s="55" t="s">
        <v>1615</v>
      </c>
      <c r="N207" s="282" t="s">
        <v>1215</v>
      </c>
      <c r="O207" s="238" t="s">
        <v>54</v>
      </c>
      <c r="P207" s="64" t="str">
        <f ca="1">IF(AND(OR(INDIRECT("K" &amp; ROW())="NAV-Premium",INDIRECT("K" &amp; ROW())="DA-Premium"),INDIRECT("M" &amp; ROW())="PARTITION_SCHEMA128__NavPiviJpn", INDIRECT("O" &amp; ROW())="JPN_SDB"),'SDB vs GN'!$B$41, IF(INDIRECT("H" &amp; ROW())="Chenc",'SDB vs GN'!$B$40, VLOOKUP(INDIRECT("O" &amp; ROW()),'SDB vs GN'!$A$16:$B$38,2,FALSE)))</f>
        <v>731_EUR</v>
      </c>
      <c r="Q207" s="79" t="s">
        <v>396</v>
      </c>
      <c r="R207" s="238" t="s">
        <v>248</v>
      </c>
      <c r="S207" s="157" t="s">
        <v>10</v>
      </c>
      <c r="T207" s="79" t="s">
        <v>449</v>
      </c>
      <c r="U207" s="104" t="s">
        <v>12</v>
      </c>
      <c r="V207" s="172" t="s">
        <v>560</v>
      </c>
      <c r="W207" s="129" t="s">
        <v>447</v>
      </c>
      <c r="X207" s="64" t="s">
        <v>521</v>
      </c>
      <c r="Y207" s="282" t="s">
        <v>1286</v>
      </c>
      <c r="Z207" s="282" t="s">
        <v>1592</v>
      </c>
      <c r="AA207" s="37"/>
      <c r="AB207" s="154" t="s">
        <v>225</v>
      </c>
      <c r="AC207" s="229" t="s">
        <v>1818</v>
      </c>
      <c r="AD207" s="72" t="s">
        <v>808</v>
      </c>
      <c r="AE207" s="302"/>
      <c r="AF207" s="67"/>
      <c r="AG207" s="67"/>
      <c r="AH207" s="72" t="s">
        <v>1817</v>
      </c>
      <c r="AI207" s="24"/>
      <c r="AJ207" s="24"/>
      <c r="AK207" s="24"/>
      <c r="AL207" s="24"/>
    </row>
    <row r="208" spans="1:38">
      <c r="A208" s="51">
        <v>199</v>
      </c>
      <c r="B208" s="51" t="str">
        <f t="shared" si="3"/>
        <v>00C7</v>
      </c>
      <c r="C208" s="171" t="s">
        <v>588</v>
      </c>
      <c r="D208" s="55" t="s">
        <v>143</v>
      </c>
      <c r="E208" s="282" t="s">
        <v>1233</v>
      </c>
      <c r="F208" s="78" t="s">
        <v>1047</v>
      </c>
      <c r="G208" s="78" t="s">
        <v>761</v>
      </c>
      <c r="H208" s="55" t="s">
        <v>637</v>
      </c>
      <c r="I208" s="155" t="s">
        <v>815</v>
      </c>
      <c r="J208" s="127" t="s">
        <v>1</v>
      </c>
      <c r="K208" s="79" t="s">
        <v>749</v>
      </c>
      <c r="L208" s="79" t="s">
        <v>500</v>
      </c>
      <c r="M208" s="55" t="s">
        <v>1615</v>
      </c>
      <c r="N208" s="282" t="s">
        <v>1215</v>
      </c>
      <c r="O208" s="238" t="s">
        <v>826</v>
      </c>
      <c r="P208" s="64" t="str">
        <f ca="1">IF(AND(OR(INDIRECT("K" &amp; ROW())="NAV-Premium",INDIRECT("K" &amp; ROW())="DA-Premium"),INDIRECT("M" &amp; ROW())="PARTITION_SCHEMA128__NavPiviJpn", INDIRECT("O" &amp; ROW())="JPN_SDB"),'SDB vs GN'!$B$41, IF(INDIRECT("H" &amp; ROW())="Chenc",'SDB vs GN'!$B$40, VLOOKUP(INDIRECT("O" &amp; ROW()),'SDB vs GN'!$A$16:$B$38,2,FALSE)))</f>
        <v>731_EUR</v>
      </c>
      <c r="Q208" s="79" t="s">
        <v>396</v>
      </c>
      <c r="R208" s="238" t="s">
        <v>248</v>
      </c>
      <c r="S208" s="157" t="s">
        <v>10</v>
      </c>
      <c r="T208" s="79" t="s">
        <v>449</v>
      </c>
      <c r="U208" s="104" t="s">
        <v>12</v>
      </c>
      <c r="V208" s="326" t="s">
        <v>561</v>
      </c>
      <c r="W208" s="129" t="s">
        <v>447</v>
      </c>
      <c r="X208" s="64" t="s">
        <v>521</v>
      </c>
      <c r="Y208" s="282" t="s">
        <v>1286</v>
      </c>
      <c r="Z208" s="282" t="s">
        <v>1592</v>
      </c>
      <c r="AA208" s="37"/>
      <c r="AB208" s="154" t="s">
        <v>225</v>
      </c>
      <c r="AC208" s="235" t="s">
        <v>536</v>
      </c>
      <c r="AD208" s="72" t="s">
        <v>808</v>
      </c>
      <c r="AE208" s="302"/>
      <c r="AF208" s="67"/>
      <c r="AG208" s="67"/>
      <c r="AH208" s="72" t="s">
        <v>649</v>
      </c>
      <c r="AI208" s="24"/>
      <c r="AJ208" s="24"/>
      <c r="AK208" s="24"/>
      <c r="AL208" s="24"/>
    </row>
    <row r="209" spans="1:38">
      <c r="A209" s="51">
        <v>200</v>
      </c>
      <c r="B209" s="51" t="str">
        <f t="shared" si="3"/>
        <v>00C8</v>
      </c>
      <c r="C209" s="79" t="s">
        <v>589</v>
      </c>
      <c r="D209" s="55" t="s">
        <v>143</v>
      </c>
      <c r="E209" s="282" t="s">
        <v>1233</v>
      </c>
      <c r="F209" s="78" t="s">
        <v>1047</v>
      </c>
      <c r="G209" s="78" t="s">
        <v>761</v>
      </c>
      <c r="H209" s="55" t="s">
        <v>637</v>
      </c>
      <c r="I209" s="155" t="s">
        <v>815</v>
      </c>
      <c r="J209" s="127" t="s">
        <v>1</v>
      </c>
      <c r="K209" s="79" t="s">
        <v>749</v>
      </c>
      <c r="L209" s="79" t="s">
        <v>500</v>
      </c>
      <c r="M209" s="55" t="s">
        <v>1615</v>
      </c>
      <c r="N209" s="282" t="s">
        <v>1215</v>
      </c>
      <c r="O209" s="238" t="s">
        <v>97</v>
      </c>
      <c r="P209" s="64" t="str">
        <f ca="1">IF(AND(OR(INDIRECT("K" &amp; ROW())="NAV-Premium",INDIRECT("K" &amp; ROW())="DA-Premium"),INDIRECT("M" &amp; ROW())="PARTITION_SCHEMA128__NavPiviJpn", INDIRECT("O" &amp; ROW())="JPN_SDB"),'SDB vs GN'!$B$41, IF(INDIRECT("H" &amp; ROW())="Chenc",'SDB vs GN'!$B$40, VLOOKUP(INDIRECT("O" &amp; ROW()),'SDB vs GN'!$A$16:$B$38,2,FALSE)))</f>
        <v>734_CN_831_AUSKRJPN</v>
      </c>
      <c r="Q209" s="79" t="s">
        <v>396</v>
      </c>
      <c r="R209" s="238" t="s">
        <v>248</v>
      </c>
      <c r="S209" s="157" t="s">
        <v>10</v>
      </c>
      <c r="T209" s="79" t="s">
        <v>449</v>
      </c>
      <c r="U209" s="104" t="s">
        <v>12</v>
      </c>
      <c r="V209" s="172" t="s">
        <v>562</v>
      </c>
      <c r="W209" s="129" t="s">
        <v>447</v>
      </c>
      <c r="X209" s="64" t="s">
        <v>521</v>
      </c>
      <c r="Y209" s="282" t="s">
        <v>1286</v>
      </c>
      <c r="Z209" s="282" t="s">
        <v>1592</v>
      </c>
      <c r="AA209" s="37"/>
      <c r="AB209" s="154" t="s">
        <v>225</v>
      </c>
      <c r="AC209" s="235" t="s">
        <v>537</v>
      </c>
      <c r="AD209" s="72" t="s">
        <v>808</v>
      </c>
      <c r="AE209" s="302"/>
      <c r="AF209" s="67"/>
      <c r="AG209" s="67"/>
      <c r="AH209" s="72" t="s">
        <v>650</v>
      </c>
      <c r="AI209" s="24"/>
      <c r="AJ209" s="24"/>
      <c r="AK209" s="24"/>
      <c r="AL209" s="24"/>
    </row>
    <row r="210" spans="1:38" ht="26.4">
      <c r="A210" s="51">
        <v>201</v>
      </c>
      <c r="B210" s="51" t="str">
        <f t="shared" si="3"/>
        <v>00C9</v>
      </c>
      <c r="C210" s="79" t="s">
        <v>590</v>
      </c>
      <c r="D210" s="55" t="s">
        <v>143</v>
      </c>
      <c r="E210" s="282" t="s">
        <v>1233</v>
      </c>
      <c r="F210" s="78" t="s">
        <v>1047</v>
      </c>
      <c r="G210" s="78" t="s">
        <v>761</v>
      </c>
      <c r="H210" s="55" t="s">
        <v>637</v>
      </c>
      <c r="I210" s="155" t="s">
        <v>815</v>
      </c>
      <c r="J210" s="127" t="s">
        <v>1</v>
      </c>
      <c r="K210" s="79" t="s">
        <v>749</v>
      </c>
      <c r="L210" s="79" t="s">
        <v>500</v>
      </c>
      <c r="M210" s="55" t="s">
        <v>1615</v>
      </c>
      <c r="N210" s="282" t="s">
        <v>1215</v>
      </c>
      <c r="O210" s="238" t="s">
        <v>97</v>
      </c>
      <c r="P210" s="64" t="str">
        <f ca="1">IF(AND(OR(INDIRECT("K" &amp; ROW())="NAV-Premium",INDIRECT("K" &amp; ROW())="DA-Premium"),INDIRECT("M" &amp; ROW())="PARTITION_SCHEMA128__NavPiviJpn", INDIRECT("O" &amp; ROW())="JPN_SDB"),'SDB vs GN'!$B$41, IF(INDIRECT("H" &amp; ROW())="Chenc",'SDB vs GN'!$B$40, VLOOKUP(INDIRECT("O" &amp; ROW()),'SDB vs GN'!$A$16:$B$38,2,FALSE)))</f>
        <v>734_CN_831_AUSKRJPN</v>
      </c>
      <c r="Q210" s="79" t="s">
        <v>396</v>
      </c>
      <c r="R210" s="238" t="s">
        <v>248</v>
      </c>
      <c r="S210" s="157" t="s">
        <v>10</v>
      </c>
      <c r="T210" s="79" t="s">
        <v>449</v>
      </c>
      <c r="U210" s="104" t="s">
        <v>12</v>
      </c>
      <c r="V210" s="101" t="s">
        <v>563</v>
      </c>
      <c r="W210" s="129" t="s">
        <v>447</v>
      </c>
      <c r="X210" s="64" t="s">
        <v>521</v>
      </c>
      <c r="Y210" s="282" t="s">
        <v>1286</v>
      </c>
      <c r="Z210" s="282" t="s">
        <v>1592</v>
      </c>
      <c r="AA210" s="37"/>
      <c r="AB210" s="154" t="s">
        <v>225</v>
      </c>
      <c r="AC210" s="229" t="s">
        <v>1034</v>
      </c>
      <c r="AD210" s="72" t="s">
        <v>808</v>
      </c>
      <c r="AE210" s="302"/>
      <c r="AF210" s="67"/>
      <c r="AG210" s="67"/>
      <c r="AH210" s="72" t="s">
        <v>1154</v>
      </c>
      <c r="AI210" s="24"/>
      <c r="AJ210" s="24"/>
      <c r="AK210" s="24"/>
      <c r="AL210" s="24"/>
    </row>
    <row r="211" spans="1:38" ht="66">
      <c r="A211" s="51">
        <v>202</v>
      </c>
      <c r="B211" s="51" t="str">
        <f t="shared" si="3"/>
        <v>00CA</v>
      </c>
      <c r="C211" s="168" t="s">
        <v>591</v>
      </c>
      <c r="D211" s="55" t="s">
        <v>143</v>
      </c>
      <c r="E211" s="282" t="s">
        <v>1233</v>
      </c>
      <c r="F211" s="78" t="s">
        <v>1047</v>
      </c>
      <c r="G211" s="78" t="s">
        <v>761</v>
      </c>
      <c r="H211" s="55" t="s">
        <v>637</v>
      </c>
      <c r="I211" s="155" t="s">
        <v>815</v>
      </c>
      <c r="J211" s="127" t="s">
        <v>1</v>
      </c>
      <c r="K211" s="79" t="s">
        <v>749</v>
      </c>
      <c r="L211" s="79" t="s">
        <v>500</v>
      </c>
      <c r="M211" s="55" t="s">
        <v>1615</v>
      </c>
      <c r="N211" s="282" t="s">
        <v>1215</v>
      </c>
      <c r="O211" s="238" t="s">
        <v>97</v>
      </c>
      <c r="P211" s="64" t="str">
        <f ca="1">IF(AND(OR(INDIRECT("K" &amp; ROW())="NAV-Premium",INDIRECT("K" &amp; ROW())="DA-Premium"),INDIRECT("M" &amp; ROW())="PARTITION_SCHEMA128__NavPiviJpn", INDIRECT("O" &amp; ROW())="JPN_SDB"),'SDB vs GN'!$B$41, IF(INDIRECT("H" &amp; ROW())="Chenc",'SDB vs GN'!$B$40, VLOOKUP(INDIRECT("O" &amp; ROW()),'SDB vs GN'!$A$16:$B$38,2,FALSE)))</f>
        <v>734_CN_831_AUSKRJPN</v>
      </c>
      <c r="Q211" s="79" t="s">
        <v>396</v>
      </c>
      <c r="R211" s="64" t="s">
        <v>61</v>
      </c>
      <c r="S211" s="157" t="s">
        <v>10</v>
      </c>
      <c r="T211" s="79" t="s">
        <v>449</v>
      </c>
      <c r="U211" s="104" t="s">
        <v>12</v>
      </c>
      <c r="V211" s="172" t="s">
        <v>563</v>
      </c>
      <c r="W211" s="129" t="s">
        <v>447</v>
      </c>
      <c r="X211" s="64" t="s">
        <v>521</v>
      </c>
      <c r="Y211" s="282" t="s">
        <v>1286</v>
      </c>
      <c r="Z211" s="282" t="s">
        <v>1592</v>
      </c>
      <c r="AA211" s="37"/>
      <c r="AB211" s="154" t="s">
        <v>225</v>
      </c>
      <c r="AC211" s="229" t="s">
        <v>1820</v>
      </c>
      <c r="AD211" s="72" t="s">
        <v>808</v>
      </c>
      <c r="AE211" s="302"/>
      <c r="AF211" s="67"/>
      <c r="AG211" s="67"/>
      <c r="AH211" s="72" t="s">
        <v>1819</v>
      </c>
      <c r="AI211" s="24"/>
      <c r="AJ211" s="24"/>
      <c r="AK211" s="24"/>
      <c r="AL211" s="24"/>
    </row>
    <row r="212" spans="1:38" ht="26.4">
      <c r="A212" s="51">
        <v>203</v>
      </c>
      <c r="B212" s="51" t="str">
        <f t="shared" si="3"/>
        <v>00CB</v>
      </c>
      <c r="C212" s="64" t="s">
        <v>592</v>
      </c>
      <c r="D212" s="55" t="s">
        <v>143</v>
      </c>
      <c r="E212" s="282" t="s">
        <v>1233</v>
      </c>
      <c r="F212" s="78" t="s">
        <v>1047</v>
      </c>
      <c r="G212" s="78" t="s">
        <v>761</v>
      </c>
      <c r="H212" s="55" t="s">
        <v>637</v>
      </c>
      <c r="I212" s="155" t="s">
        <v>815</v>
      </c>
      <c r="J212" s="127" t="s">
        <v>1</v>
      </c>
      <c r="K212" s="79" t="s">
        <v>749</v>
      </c>
      <c r="L212" s="79" t="s">
        <v>500</v>
      </c>
      <c r="M212" s="55" t="s">
        <v>1615</v>
      </c>
      <c r="N212" s="282" t="s">
        <v>1215</v>
      </c>
      <c r="O212" s="238" t="s">
        <v>826</v>
      </c>
      <c r="P212" s="64" t="str">
        <f ca="1">IF(AND(OR(INDIRECT("K" &amp; ROW())="NAV-Premium",INDIRECT("K" &amp; ROW())="DA-Premium"),INDIRECT("M" &amp; ROW())="PARTITION_SCHEMA128__NavPiviJpn", INDIRECT("O" &amp; ROW())="JPN_SDB"),'SDB vs GN'!$B$41, IF(INDIRECT("H" &amp; ROW())="Chenc",'SDB vs GN'!$B$40, VLOOKUP(INDIRECT("O" &amp; ROW()),'SDB vs GN'!$A$16:$B$38,2,FALSE)))</f>
        <v>731_EUR</v>
      </c>
      <c r="Q212" s="79" t="s">
        <v>396</v>
      </c>
      <c r="R212" s="238" t="s">
        <v>248</v>
      </c>
      <c r="S212" s="157" t="s">
        <v>10</v>
      </c>
      <c r="T212" s="79" t="s">
        <v>449</v>
      </c>
      <c r="U212" s="104" t="s">
        <v>12</v>
      </c>
      <c r="V212" s="172" t="s">
        <v>564</v>
      </c>
      <c r="W212" s="129" t="s">
        <v>447</v>
      </c>
      <c r="X212" s="64" t="s">
        <v>521</v>
      </c>
      <c r="Y212" s="282" t="s">
        <v>1286</v>
      </c>
      <c r="Z212" s="282" t="s">
        <v>1592</v>
      </c>
      <c r="AA212" s="37"/>
      <c r="AB212" s="154" t="s">
        <v>225</v>
      </c>
      <c r="AC212" s="229" t="s">
        <v>904</v>
      </c>
      <c r="AD212" s="72" t="s">
        <v>808</v>
      </c>
      <c r="AE212" s="302"/>
      <c r="AF212" s="67"/>
      <c r="AG212" s="67"/>
      <c r="AH212" s="72" t="s">
        <v>905</v>
      </c>
      <c r="AI212" s="24"/>
      <c r="AJ212" s="24"/>
      <c r="AK212" s="24"/>
      <c r="AL212" s="24"/>
    </row>
    <row r="213" spans="1:38">
      <c r="A213" s="51">
        <v>204</v>
      </c>
      <c r="B213" s="51" t="str">
        <f t="shared" si="3"/>
        <v>00CC</v>
      </c>
      <c r="C213" s="168" t="s">
        <v>593</v>
      </c>
      <c r="D213" s="55" t="s">
        <v>143</v>
      </c>
      <c r="E213" s="282" t="s">
        <v>1233</v>
      </c>
      <c r="F213" s="78" t="s">
        <v>1047</v>
      </c>
      <c r="G213" s="78" t="s">
        <v>761</v>
      </c>
      <c r="H213" s="166" t="s">
        <v>638</v>
      </c>
      <c r="I213" s="155" t="s">
        <v>815</v>
      </c>
      <c r="J213" s="127" t="s">
        <v>1</v>
      </c>
      <c r="K213" s="79" t="s">
        <v>749</v>
      </c>
      <c r="L213" s="79" t="s">
        <v>500</v>
      </c>
      <c r="M213" s="55" t="s">
        <v>1615</v>
      </c>
      <c r="N213" s="282" t="s">
        <v>1215</v>
      </c>
      <c r="O213" s="238" t="s">
        <v>97</v>
      </c>
      <c r="P213"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213" s="79" t="s">
        <v>396</v>
      </c>
      <c r="R213" s="238" t="s">
        <v>248</v>
      </c>
      <c r="S213" s="157" t="s">
        <v>10</v>
      </c>
      <c r="T213" s="79" t="s">
        <v>449</v>
      </c>
      <c r="U213" s="104" t="s">
        <v>12</v>
      </c>
      <c r="V213" s="101" t="s">
        <v>565</v>
      </c>
      <c r="W213" s="129" t="s">
        <v>447</v>
      </c>
      <c r="X213" s="64" t="s">
        <v>521</v>
      </c>
      <c r="Y213" s="282" t="s">
        <v>1286</v>
      </c>
      <c r="Z213" s="282" t="s">
        <v>1592</v>
      </c>
      <c r="AA213" s="37"/>
      <c r="AB213" s="154" t="s">
        <v>225</v>
      </c>
      <c r="AC213" s="235" t="s">
        <v>538</v>
      </c>
      <c r="AD213" s="72" t="s">
        <v>808</v>
      </c>
      <c r="AE213" s="302"/>
      <c r="AF213" s="67"/>
      <c r="AG213" s="67"/>
      <c r="AH213" s="72" t="s">
        <v>651</v>
      </c>
      <c r="AI213" s="24"/>
      <c r="AJ213" s="24"/>
      <c r="AK213" s="24"/>
      <c r="AL213" s="24"/>
    </row>
    <row r="214" spans="1:38">
      <c r="A214" s="51">
        <v>205</v>
      </c>
      <c r="B214" s="51" t="str">
        <f t="shared" si="3"/>
        <v>00CD</v>
      </c>
      <c r="C214" s="64" t="s">
        <v>594</v>
      </c>
      <c r="D214" s="55" t="s">
        <v>143</v>
      </c>
      <c r="E214" s="282" t="s">
        <v>1233</v>
      </c>
      <c r="F214" s="248" t="s">
        <v>1052</v>
      </c>
      <c r="G214" s="78" t="s">
        <v>761</v>
      </c>
      <c r="H214" s="55" t="s">
        <v>637</v>
      </c>
      <c r="I214" s="94" t="s">
        <v>3</v>
      </c>
      <c r="J214" s="127" t="s">
        <v>1</v>
      </c>
      <c r="K214" s="79" t="s">
        <v>749</v>
      </c>
      <c r="L214" s="156" t="s">
        <v>856</v>
      </c>
      <c r="M214" s="55" t="s">
        <v>1614</v>
      </c>
      <c r="N214" s="282" t="s">
        <v>1215</v>
      </c>
      <c r="O214" s="238" t="s">
        <v>55</v>
      </c>
      <c r="P214" s="64" t="str">
        <f ca="1">IF(AND(OR(INDIRECT("K" &amp; ROW())="NAV-Premium",INDIRECT("K" &amp; ROW())="DA-Premium"),INDIRECT("M" &amp; ROW())="PARTITION_SCHEMA128__NavPiviJpn", INDIRECT("O" &amp; ROW())="JPN_SDB"),'SDB vs GN'!$B$41, IF(INDIRECT("H" &amp; ROW())="Chenc",'SDB vs GN'!$B$40, VLOOKUP(INDIRECT("O" &amp; ROW()),'SDB vs GN'!$A$16:$B$38,2,FALSE)))</f>
        <v>742_JPN_831_AUSKRJPN</v>
      </c>
      <c r="Q214" s="79" t="s">
        <v>396</v>
      </c>
      <c r="R214" s="262" t="s">
        <v>61</v>
      </c>
      <c r="S214" s="157" t="s">
        <v>10</v>
      </c>
      <c r="T214" s="79" t="s">
        <v>449</v>
      </c>
      <c r="U214" s="104" t="s">
        <v>12</v>
      </c>
      <c r="V214" s="68" t="s">
        <v>555</v>
      </c>
      <c r="W214" s="129" t="s">
        <v>447</v>
      </c>
      <c r="X214" s="64" t="s">
        <v>521</v>
      </c>
      <c r="Y214" s="282" t="s">
        <v>1286</v>
      </c>
      <c r="Z214" s="282" t="s">
        <v>1592</v>
      </c>
      <c r="AA214" s="37"/>
      <c r="AB214" s="154" t="s">
        <v>225</v>
      </c>
      <c r="AC214" s="235" t="s">
        <v>539</v>
      </c>
      <c r="AD214" s="72" t="s">
        <v>888</v>
      </c>
      <c r="AE214" s="302"/>
      <c r="AF214" s="67"/>
      <c r="AG214" s="67"/>
      <c r="AH214" s="72" t="s">
        <v>652</v>
      </c>
      <c r="AI214" s="24"/>
      <c r="AJ214" s="24"/>
      <c r="AK214" s="24"/>
      <c r="AL214" s="24"/>
    </row>
    <row r="215" spans="1:38">
      <c r="A215" s="51">
        <v>206</v>
      </c>
      <c r="B215" s="51" t="str">
        <f t="shared" si="3"/>
        <v>00CE</v>
      </c>
      <c r="C215" s="76" t="s">
        <v>595</v>
      </c>
      <c r="D215" s="55" t="s">
        <v>143</v>
      </c>
      <c r="E215" s="282" t="s">
        <v>1233</v>
      </c>
      <c r="F215" s="78" t="s">
        <v>1047</v>
      </c>
      <c r="G215" s="78" t="s">
        <v>761</v>
      </c>
      <c r="H215" s="55" t="s">
        <v>637</v>
      </c>
      <c r="I215" s="155" t="s">
        <v>815</v>
      </c>
      <c r="J215" s="127" t="s">
        <v>1</v>
      </c>
      <c r="K215" s="79" t="s">
        <v>749</v>
      </c>
      <c r="L215" s="79" t="s">
        <v>500</v>
      </c>
      <c r="M215" s="55" t="s">
        <v>1615</v>
      </c>
      <c r="N215" s="282" t="s">
        <v>1215</v>
      </c>
      <c r="O215" s="238" t="s">
        <v>84</v>
      </c>
      <c r="P215" s="64" t="str">
        <f ca="1">IF(AND(OR(INDIRECT("K" &amp; ROW())="NAV-Premium",INDIRECT("K" &amp; ROW())="DA-Premium"),INDIRECT("M" &amp; ROW())="PARTITION_SCHEMA128__NavPiviJpn", INDIRECT("O" &amp; ROW())="JPN_SDB"),'SDB vs GN'!$B$41, IF(INDIRECT("H" &amp; ROW())="Chenc",'SDB vs GN'!$B$40, VLOOKUP(INDIRECT("O" &amp; ROW()),'SDB vs GN'!$A$16:$B$38,2,FALSE)))</f>
        <v>727_NAM</v>
      </c>
      <c r="Q215" s="79" t="s">
        <v>396</v>
      </c>
      <c r="R215" s="64" t="s">
        <v>60</v>
      </c>
      <c r="S215" s="157" t="s">
        <v>10</v>
      </c>
      <c r="T215" s="79" t="s">
        <v>449</v>
      </c>
      <c r="U215" s="104" t="s">
        <v>12</v>
      </c>
      <c r="V215" s="172" t="s">
        <v>566</v>
      </c>
      <c r="W215" s="129" t="s">
        <v>447</v>
      </c>
      <c r="X215" s="64" t="s">
        <v>521</v>
      </c>
      <c r="Y215" s="282" t="s">
        <v>1286</v>
      </c>
      <c r="Z215" s="282" t="s">
        <v>1592</v>
      </c>
      <c r="AA215" s="37"/>
      <c r="AB215" s="154" t="s">
        <v>225</v>
      </c>
      <c r="AC215" s="229" t="s">
        <v>540</v>
      </c>
      <c r="AD215" s="72" t="s">
        <v>808</v>
      </c>
      <c r="AE215" s="302"/>
      <c r="AF215" s="67"/>
      <c r="AG215" s="67"/>
      <c r="AH215" s="72" t="s">
        <v>653</v>
      </c>
      <c r="AI215" s="24"/>
      <c r="AJ215" s="24"/>
      <c r="AK215" s="24"/>
      <c r="AL215" s="24"/>
    </row>
    <row r="216" spans="1:38" ht="39.6">
      <c r="A216" s="51">
        <v>207</v>
      </c>
      <c r="B216" s="51" t="str">
        <f t="shared" si="3"/>
        <v>00CF</v>
      </c>
      <c r="C216" s="79" t="s">
        <v>596</v>
      </c>
      <c r="D216" s="55" t="s">
        <v>143</v>
      </c>
      <c r="E216" s="282" t="s">
        <v>1233</v>
      </c>
      <c r="F216" s="78" t="s">
        <v>1047</v>
      </c>
      <c r="G216" s="78" t="s">
        <v>761</v>
      </c>
      <c r="H216" s="55" t="s">
        <v>637</v>
      </c>
      <c r="I216" s="155" t="s">
        <v>815</v>
      </c>
      <c r="J216" s="127" t="s">
        <v>1</v>
      </c>
      <c r="K216" s="79" t="s">
        <v>749</v>
      </c>
      <c r="L216" s="79" t="s">
        <v>500</v>
      </c>
      <c r="M216" s="55" t="s">
        <v>1615</v>
      </c>
      <c r="N216" s="282" t="s">
        <v>1215</v>
      </c>
      <c r="O216" s="238" t="s">
        <v>825</v>
      </c>
      <c r="P216" s="64" t="str">
        <f ca="1">IF(AND(OR(INDIRECT("K" &amp; ROW())="NAV-Premium",INDIRECT("K" &amp; ROW())="DA-Premium"),INDIRECT("M" &amp; ROW())="PARTITION_SCHEMA128__NavPiviJpn", INDIRECT("O" &amp; ROW())="JPN_SDB"),'SDB vs GN'!$B$41, IF(INDIRECT("H" &amp; ROW())="Chenc",'SDB vs GN'!$B$40, VLOOKUP(INDIRECT("O" &amp; ROW()),'SDB vs GN'!$A$16:$B$38,2,FALSE)))</f>
        <v>831_AUSKRJPN</v>
      </c>
      <c r="Q216" s="79" t="s">
        <v>396</v>
      </c>
      <c r="R216" s="64" t="s">
        <v>61</v>
      </c>
      <c r="S216" s="157" t="s">
        <v>10</v>
      </c>
      <c r="T216" s="79" t="s">
        <v>449</v>
      </c>
      <c r="U216" s="104" t="s">
        <v>12</v>
      </c>
      <c r="V216" s="172" t="s">
        <v>546</v>
      </c>
      <c r="W216" s="129" t="s">
        <v>447</v>
      </c>
      <c r="X216" s="64" t="s">
        <v>521</v>
      </c>
      <c r="Y216" s="282" t="s">
        <v>1286</v>
      </c>
      <c r="Z216" s="282" t="s">
        <v>1592</v>
      </c>
      <c r="AA216" s="37"/>
      <c r="AB216" s="154" t="s">
        <v>225</v>
      </c>
      <c r="AC216" s="229" t="s">
        <v>1571</v>
      </c>
      <c r="AD216" s="72" t="s">
        <v>808</v>
      </c>
      <c r="AE216" s="302"/>
      <c r="AF216" s="67"/>
      <c r="AG216" s="67"/>
      <c r="AH216" s="72" t="s">
        <v>1572</v>
      </c>
      <c r="AI216" s="24"/>
      <c r="AJ216" s="24"/>
      <c r="AK216" s="24"/>
      <c r="AL216" s="24"/>
    </row>
    <row r="217" spans="1:38">
      <c r="A217" s="51">
        <v>208</v>
      </c>
      <c r="B217" s="51" t="str">
        <f t="shared" si="3"/>
        <v>00D0</v>
      </c>
      <c r="C217" s="79" t="s">
        <v>597</v>
      </c>
      <c r="D217" s="61" t="s">
        <v>567</v>
      </c>
      <c r="E217" s="323" t="s">
        <v>1233</v>
      </c>
      <c r="F217" s="78" t="s">
        <v>1047</v>
      </c>
      <c r="G217" s="78" t="s">
        <v>761</v>
      </c>
      <c r="H217" s="55" t="s">
        <v>637</v>
      </c>
      <c r="I217" s="155" t="s">
        <v>815</v>
      </c>
      <c r="J217" s="127" t="s">
        <v>1</v>
      </c>
      <c r="K217" s="79" t="s">
        <v>749</v>
      </c>
      <c r="L217" s="79" t="s">
        <v>500</v>
      </c>
      <c r="M217" s="55" t="s">
        <v>1615</v>
      </c>
      <c r="N217" s="282" t="s">
        <v>1215</v>
      </c>
      <c r="O217" s="238" t="s">
        <v>54</v>
      </c>
      <c r="P217" s="64" t="str">
        <f ca="1">IF(AND(OR(INDIRECT("K" &amp; ROW())="NAV-Premium",INDIRECT("K" &amp; ROW())="DA-Premium"),INDIRECT("M" &amp; ROW())="PARTITION_SCHEMA128__NavPiviJpn", INDIRECT("O" &amp; ROW())="JPN_SDB"),'SDB vs GN'!$B$41, IF(INDIRECT("H" &amp; ROW())="Chenc",'SDB vs GN'!$B$40, VLOOKUP(INDIRECT("O" &amp; ROW()),'SDB vs GN'!$A$16:$B$38,2,FALSE)))</f>
        <v>731_EUR</v>
      </c>
      <c r="Q217" s="79" t="s">
        <v>396</v>
      </c>
      <c r="R217" s="64" t="s">
        <v>61</v>
      </c>
      <c r="S217" s="157" t="s">
        <v>10</v>
      </c>
      <c r="T217" s="79" t="s">
        <v>449</v>
      </c>
      <c r="U217" s="104" t="s">
        <v>12</v>
      </c>
      <c r="V217" s="172" t="s">
        <v>553</v>
      </c>
      <c r="W217" s="129" t="s">
        <v>447</v>
      </c>
      <c r="X217" s="64" t="s">
        <v>521</v>
      </c>
      <c r="Y217" s="282" t="s">
        <v>1286</v>
      </c>
      <c r="Z217" s="282" t="s">
        <v>1592</v>
      </c>
      <c r="AA217" s="37"/>
      <c r="AB217" s="154" t="s">
        <v>225</v>
      </c>
      <c r="AC217" s="229" t="s">
        <v>541</v>
      </c>
      <c r="AD217" s="72" t="s">
        <v>808</v>
      </c>
      <c r="AE217" s="302"/>
      <c r="AF217" s="67"/>
      <c r="AG217" s="67"/>
      <c r="AH217" s="72" t="s">
        <v>568</v>
      </c>
      <c r="AI217" s="24"/>
      <c r="AJ217" s="24"/>
      <c r="AK217" s="24"/>
      <c r="AL217" s="24"/>
    </row>
    <row r="218" spans="1:38" ht="26.4">
      <c r="A218" s="51">
        <v>209</v>
      </c>
      <c r="B218" s="51" t="str">
        <f t="shared" si="3"/>
        <v>00D1</v>
      </c>
      <c r="C218" s="94" t="s">
        <v>660</v>
      </c>
      <c r="D218" s="55" t="s">
        <v>187</v>
      </c>
      <c r="E218" s="282" t="s">
        <v>1233</v>
      </c>
      <c r="F218" s="178" t="s">
        <v>1044</v>
      </c>
      <c r="G218" s="178" t="s">
        <v>345</v>
      </c>
      <c r="H218" s="55" t="s">
        <v>637</v>
      </c>
      <c r="I218" s="155" t="s">
        <v>815</v>
      </c>
      <c r="J218" s="55" t="s">
        <v>0</v>
      </c>
      <c r="K218" s="79" t="s">
        <v>453</v>
      </c>
      <c r="L218" s="158" t="s">
        <v>1271</v>
      </c>
      <c r="M218" s="55" t="s">
        <v>254</v>
      </c>
      <c r="N218" s="282" t="s">
        <v>1215</v>
      </c>
      <c r="O218" s="238" t="s">
        <v>826</v>
      </c>
      <c r="P218" s="64" t="str">
        <f ca="1">IF(AND(OR(INDIRECT("K" &amp; ROW())="NAV-Premium",INDIRECT("K" &amp; ROW())="DA-Premium"),INDIRECT("M" &amp; ROW())="PARTITION_SCHEMA128__NavPiviJpn", INDIRECT("O" &amp; ROW())="JPN_SDB"),'SDB vs GN'!$B$41, IF(INDIRECT("H" &amp; ROW())="Chenc",'SDB vs GN'!$B$40, VLOOKUP(INDIRECT("O" &amp; ROW()),'SDB vs GN'!$A$16:$B$38,2,FALSE)))</f>
        <v>731_EUR</v>
      </c>
      <c r="Q218" s="79" t="s">
        <v>396</v>
      </c>
      <c r="R218" s="64" t="s">
        <v>59</v>
      </c>
      <c r="S218" s="157" t="s">
        <v>10</v>
      </c>
      <c r="T218" s="79" t="s">
        <v>449</v>
      </c>
      <c r="U218" s="104" t="s">
        <v>816</v>
      </c>
      <c r="V218" s="172" t="s">
        <v>656</v>
      </c>
      <c r="W218" s="129" t="s">
        <v>447</v>
      </c>
      <c r="X218" s="64" t="s">
        <v>521</v>
      </c>
      <c r="Y218" s="282" t="s">
        <v>1286</v>
      </c>
      <c r="Z218" s="282" t="s">
        <v>1592</v>
      </c>
      <c r="AA218" s="37"/>
      <c r="AB218" s="154" t="s">
        <v>225</v>
      </c>
      <c r="AC218" s="229" t="s">
        <v>659</v>
      </c>
      <c r="AD218" s="72" t="s">
        <v>808</v>
      </c>
      <c r="AE218" s="302"/>
      <c r="AF218" s="67"/>
      <c r="AG218" s="67"/>
      <c r="AH218" s="72" t="s">
        <v>664</v>
      </c>
      <c r="AI218" s="24"/>
      <c r="AJ218" s="24"/>
      <c r="AK218" s="24"/>
      <c r="AL218" s="24"/>
    </row>
    <row r="219" spans="1:38" ht="105.6">
      <c r="A219" s="51">
        <v>210</v>
      </c>
      <c r="B219" s="51" t="str">
        <f t="shared" si="3"/>
        <v>00D2</v>
      </c>
      <c r="C219" s="94" t="s">
        <v>661</v>
      </c>
      <c r="D219" s="55" t="s">
        <v>187</v>
      </c>
      <c r="E219" s="282" t="s">
        <v>1233</v>
      </c>
      <c r="F219" s="178" t="s">
        <v>1044</v>
      </c>
      <c r="G219" s="178" t="s">
        <v>345</v>
      </c>
      <c r="H219" s="55" t="s">
        <v>637</v>
      </c>
      <c r="I219" s="155" t="s">
        <v>815</v>
      </c>
      <c r="J219" s="55" t="s">
        <v>0</v>
      </c>
      <c r="K219" s="79" t="s">
        <v>453</v>
      </c>
      <c r="L219" s="158" t="s">
        <v>1271</v>
      </c>
      <c r="M219" s="55" t="s">
        <v>256</v>
      </c>
      <c r="N219" s="282" t="s">
        <v>1215</v>
      </c>
      <c r="O219" s="238" t="s">
        <v>54</v>
      </c>
      <c r="P219" s="64" t="str">
        <f ca="1">IF(AND(OR(INDIRECT("K" &amp; ROW())="NAV-Premium",INDIRECT("K" &amp; ROW())="DA-Premium"),INDIRECT("M" &amp; ROW())="PARTITION_SCHEMA128__NavPiviJpn", INDIRECT("O" &amp; ROW())="JPN_SDB"),'SDB vs GN'!$B$41, IF(INDIRECT("H" &amp; ROW())="Chenc",'SDB vs GN'!$B$40, VLOOKUP(INDIRECT("O" &amp; ROW()),'SDB vs GN'!$A$16:$B$38,2,FALSE)))</f>
        <v>731_EUR</v>
      </c>
      <c r="Q219" s="79" t="s">
        <v>396</v>
      </c>
      <c r="R219" s="64" t="s">
        <v>59</v>
      </c>
      <c r="S219" s="157" t="s">
        <v>10</v>
      </c>
      <c r="T219" s="79" t="s">
        <v>449</v>
      </c>
      <c r="U219" s="104" t="s">
        <v>816</v>
      </c>
      <c r="V219" s="172" t="s">
        <v>657</v>
      </c>
      <c r="W219" s="129" t="s">
        <v>447</v>
      </c>
      <c r="X219" s="64" t="s">
        <v>521</v>
      </c>
      <c r="Y219" s="282" t="s">
        <v>1286</v>
      </c>
      <c r="Z219" s="282" t="s">
        <v>1592</v>
      </c>
      <c r="AA219" s="37"/>
      <c r="AB219" s="154" t="s">
        <v>225</v>
      </c>
      <c r="AC219" s="229" t="s">
        <v>1494</v>
      </c>
      <c r="AD219" s="72" t="s">
        <v>808</v>
      </c>
      <c r="AE219" s="302"/>
      <c r="AF219" s="67"/>
      <c r="AG219" s="67"/>
      <c r="AH219" s="72" t="s">
        <v>1495</v>
      </c>
      <c r="AI219" s="24"/>
      <c r="AJ219" s="24"/>
      <c r="AK219" s="24"/>
      <c r="AL219" s="24"/>
    </row>
    <row r="220" spans="1:38" ht="26.4">
      <c r="A220" s="51">
        <v>211</v>
      </c>
      <c r="B220" s="51" t="str">
        <f t="shared" si="3"/>
        <v>00D3</v>
      </c>
      <c r="C220" s="94" t="s">
        <v>669</v>
      </c>
      <c r="D220" s="55" t="s">
        <v>187</v>
      </c>
      <c r="E220" s="282" t="s">
        <v>1233</v>
      </c>
      <c r="F220" s="178" t="s">
        <v>1044</v>
      </c>
      <c r="G220" s="178" t="s">
        <v>345</v>
      </c>
      <c r="H220" s="55" t="s">
        <v>637</v>
      </c>
      <c r="I220" s="155" t="s">
        <v>815</v>
      </c>
      <c r="J220" s="55" t="s">
        <v>0</v>
      </c>
      <c r="K220" s="79" t="s">
        <v>453</v>
      </c>
      <c r="L220" s="158" t="s">
        <v>1271</v>
      </c>
      <c r="M220" s="55" t="s">
        <v>254</v>
      </c>
      <c r="N220" s="282" t="s">
        <v>1215</v>
      </c>
      <c r="O220" s="238" t="s">
        <v>825</v>
      </c>
      <c r="P220" s="64" t="str">
        <f ca="1">IF(AND(OR(INDIRECT("K" &amp; ROW())="NAV-Premium",INDIRECT("K" &amp; ROW())="DA-Premium"),INDIRECT("M" &amp; ROW())="PARTITION_SCHEMA128__NavPiviJpn", INDIRECT("O" &amp; ROW())="JPN_SDB"),'SDB vs GN'!$B$41, IF(INDIRECT("H" &amp; ROW())="Chenc",'SDB vs GN'!$B$40, VLOOKUP(INDIRECT("O" &amp; ROW()),'SDB vs GN'!$A$16:$B$38,2,FALSE)))</f>
        <v>831_AUSKRJPN</v>
      </c>
      <c r="Q220" s="79" t="s">
        <v>396</v>
      </c>
      <c r="R220" s="64" t="s">
        <v>59</v>
      </c>
      <c r="S220" s="157" t="s">
        <v>10</v>
      </c>
      <c r="T220" s="79" t="s">
        <v>449</v>
      </c>
      <c r="U220" s="104" t="s">
        <v>816</v>
      </c>
      <c r="V220" s="172" t="s">
        <v>658</v>
      </c>
      <c r="W220" s="129" t="s">
        <v>447</v>
      </c>
      <c r="X220" s="64" t="s">
        <v>521</v>
      </c>
      <c r="Y220" s="282" t="s">
        <v>1286</v>
      </c>
      <c r="Z220" s="282" t="s">
        <v>1592</v>
      </c>
      <c r="AA220" s="37"/>
      <c r="AB220" s="154" t="s">
        <v>225</v>
      </c>
      <c r="AC220" s="229" t="s">
        <v>668</v>
      </c>
      <c r="AD220" s="72" t="s">
        <v>808</v>
      </c>
      <c r="AE220" s="302"/>
      <c r="AF220" s="67"/>
      <c r="AG220" s="67"/>
      <c r="AH220" s="72" t="s">
        <v>667</v>
      </c>
      <c r="AI220" s="24"/>
      <c r="AJ220" s="24"/>
      <c r="AK220" s="24"/>
      <c r="AL220" s="24"/>
    </row>
    <row r="221" spans="1:38">
      <c r="A221" s="51">
        <v>212</v>
      </c>
      <c r="B221" s="51" t="str">
        <f t="shared" si="3"/>
        <v>00D4</v>
      </c>
      <c r="C221" s="94" t="s">
        <v>745</v>
      </c>
      <c r="D221" s="94" t="s">
        <v>136</v>
      </c>
      <c r="E221" s="314" t="s">
        <v>1233</v>
      </c>
      <c r="F221" s="177" t="s">
        <v>1046</v>
      </c>
      <c r="G221" s="177" t="s">
        <v>344</v>
      </c>
      <c r="H221" s="55" t="s">
        <v>637</v>
      </c>
      <c r="I221" s="94" t="s">
        <v>4</v>
      </c>
      <c r="J221" s="55" t="s">
        <v>0</v>
      </c>
      <c r="K221" s="55" t="s">
        <v>451</v>
      </c>
      <c r="L221" s="158" t="s">
        <v>499</v>
      </c>
      <c r="M221" s="168" t="s">
        <v>255</v>
      </c>
      <c r="N221" s="282" t="s">
        <v>1215</v>
      </c>
      <c r="O221" s="238" t="s">
        <v>827</v>
      </c>
      <c r="P221" s="64" t="str">
        <f ca="1">IF(AND(OR(INDIRECT("K" &amp; ROW())="NAV-Premium",INDIRECT("K" &amp; ROW())="DA-Premium"),INDIRECT("M" &amp; ROW())="PARTITION_SCHEMA128__NavPiviJpn", INDIRECT("O" &amp; ROW())="JPN_SDB"),'SDB vs GN'!$B$41, IF(INDIRECT("H" &amp; ROW())="Chenc",'SDB vs GN'!$B$40, VLOOKUP(INDIRECT("O" &amp; ROW()),'SDB vs GN'!$A$16:$B$38,2,FALSE)))</f>
        <v>734_CN_831_AUSKRJPN</v>
      </c>
      <c r="Q221" s="79" t="s">
        <v>396</v>
      </c>
      <c r="R221" s="64" t="s">
        <v>59</v>
      </c>
      <c r="S221" s="157" t="s">
        <v>10</v>
      </c>
      <c r="T221" s="79" t="s">
        <v>449</v>
      </c>
      <c r="U221" s="104" t="s">
        <v>816</v>
      </c>
      <c r="V221" s="172" t="s">
        <v>7</v>
      </c>
      <c r="W221" s="129" t="s">
        <v>2184</v>
      </c>
      <c r="X221" s="64" t="s">
        <v>521</v>
      </c>
      <c r="Y221" s="282" t="s">
        <v>1286</v>
      </c>
      <c r="Z221" s="282" t="s">
        <v>1592</v>
      </c>
      <c r="AA221" s="37"/>
      <c r="AB221" s="154" t="s">
        <v>225</v>
      </c>
      <c r="AC221" s="226" t="s">
        <v>696</v>
      </c>
      <c r="AD221" s="72" t="s">
        <v>808</v>
      </c>
      <c r="AE221" s="302"/>
      <c r="AF221" s="67"/>
      <c r="AG221" s="67"/>
      <c r="AH221" s="72" t="s">
        <v>697</v>
      </c>
      <c r="AI221" s="24"/>
      <c r="AJ221" s="24"/>
      <c r="AK221" s="24"/>
      <c r="AL221" s="24"/>
    </row>
    <row r="222" spans="1:38" ht="26.4">
      <c r="A222" s="51">
        <v>213</v>
      </c>
      <c r="B222" s="51" t="str">
        <f t="shared" si="3"/>
        <v>00D5</v>
      </c>
      <c r="C222" s="135" t="s">
        <v>762</v>
      </c>
      <c r="D222" s="55" t="s">
        <v>143</v>
      </c>
      <c r="E222" s="282" t="s">
        <v>1233</v>
      </c>
      <c r="F222" s="78" t="s">
        <v>1047</v>
      </c>
      <c r="G222" s="78" t="s">
        <v>761</v>
      </c>
      <c r="H222" s="55" t="s">
        <v>637</v>
      </c>
      <c r="I222" s="182" t="s">
        <v>5</v>
      </c>
      <c r="J222" s="127" t="s">
        <v>1</v>
      </c>
      <c r="K222" s="79" t="s">
        <v>749</v>
      </c>
      <c r="L222" s="79" t="s">
        <v>500</v>
      </c>
      <c r="M222" s="55" t="s">
        <v>1615</v>
      </c>
      <c r="N222" s="282" t="s">
        <v>1215</v>
      </c>
      <c r="O222" s="238" t="s">
        <v>55</v>
      </c>
      <c r="P222" s="64" t="str">
        <f ca="1">IF(AND(OR(INDIRECT("K" &amp; ROW())="NAV-Premium",INDIRECT("K" &amp; ROW())="DA-Premium"),INDIRECT("M" &amp; ROW())="PARTITION_SCHEMA128__NavPiviJpn", INDIRECT("O" &amp; ROW())="JPN_SDB"),'SDB vs GN'!$B$41, IF(INDIRECT("H" &amp; ROW())="Chenc",'SDB vs GN'!$B$40, VLOOKUP(INDIRECT("O" &amp; ROW()),'SDB vs GN'!$A$16:$B$38,2,FALSE)))</f>
        <v>742_JPN_831_AUSKRJPN</v>
      </c>
      <c r="Q222" s="79" t="s">
        <v>396</v>
      </c>
      <c r="R222" s="238" t="s">
        <v>248</v>
      </c>
      <c r="S222" s="157" t="s">
        <v>10</v>
      </c>
      <c r="T222" s="79" t="s">
        <v>449</v>
      </c>
      <c r="U222" s="104" t="s">
        <v>12</v>
      </c>
      <c r="V222" s="172" t="s">
        <v>554</v>
      </c>
      <c r="W222" s="129" t="s">
        <v>447</v>
      </c>
      <c r="X222" s="64" t="s">
        <v>521</v>
      </c>
      <c r="Y222" s="282" t="s">
        <v>1286</v>
      </c>
      <c r="Z222" s="282" t="s">
        <v>1592</v>
      </c>
      <c r="AA222" s="37"/>
      <c r="AB222" s="131" t="s">
        <v>225</v>
      </c>
      <c r="AC222" s="229" t="s">
        <v>902</v>
      </c>
      <c r="AD222" s="72" t="s">
        <v>808</v>
      </c>
      <c r="AE222" s="302"/>
      <c r="AF222" s="67"/>
      <c r="AG222" s="67"/>
      <c r="AH222" s="67" t="s">
        <v>955</v>
      </c>
      <c r="AI222" s="24"/>
      <c r="AJ222" s="24"/>
      <c r="AK222" s="24"/>
      <c r="AL222" s="24"/>
    </row>
    <row r="223" spans="1:38">
      <c r="A223" s="51">
        <v>214</v>
      </c>
      <c r="B223" s="51" t="str">
        <f t="shared" si="3"/>
        <v>00D6</v>
      </c>
      <c r="C223" s="176" t="s">
        <v>727</v>
      </c>
      <c r="D223" s="55" t="s">
        <v>232</v>
      </c>
      <c r="E223" s="282" t="s">
        <v>1233</v>
      </c>
      <c r="F223" s="178" t="s">
        <v>1044</v>
      </c>
      <c r="G223" s="178" t="s">
        <v>345</v>
      </c>
      <c r="H223" s="55" t="s">
        <v>637</v>
      </c>
      <c r="I223" s="155" t="s">
        <v>815</v>
      </c>
      <c r="J223" s="55" t="s">
        <v>0</v>
      </c>
      <c r="K223" s="55" t="s">
        <v>452</v>
      </c>
      <c r="L223" s="190" t="s">
        <v>499</v>
      </c>
      <c r="M223" s="55" t="s">
        <v>254</v>
      </c>
      <c r="N223" s="282" t="s">
        <v>1215</v>
      </c>
      <c r="O223" s="238" t="s">
        <v>97</v>
      </c>
      <c r="P223" s="64" t="str">
        <f ca="1">IF(AND(OR(INDIRECT("K" &amp; ROW())="NAV-Premium",INDIRECT("K" &amp; ROW())="DA-Premium"),INDIRECT("M" &amp; ROW())="PARTITION_SCHEMA128__NavPiviJpn", INDIRECT("O" &amp; ROW())="JPN_SDB"),'SDB vs GN'!$B$41, IF(INDIRECT("H" &amp; ROW())="Chenc",'SDB vs GN'!$B$40, VLOOKUP(INDIRECT("O" &amp; ROW()),'SDB vs GN'!$A$16:$B$38,2,FALSE)))</f>
        <v>734_CN_831_AUSKRJPN</v>
      </c>
      <c r="Q223" s="79" t="s">
        <v>396</v>
      </c>
      <c r="R223" s="64" t="s">
        <v>59</v>
      </c>
      <c r="S223" s="157" t="s">
        <v>10</v>
      </c>
      <c r="T223" s="79" t="s">
        <v>449</v>
      </c>
      <c r="U223" s="104" t="s">
        <v>816</v>
      </c>
      <c r="V223" s="68" t="s">
        <v>728</v>
      </c>
      <c r="W223" s="129" t="s">
        <v>447</v>
      </c>
      <c r="X223" s="64" t="s">
        <v>362</v>
      </c>
      <c r="Y223" s="282" t="s">
        <v>1286</v>
      </c>
      <c r="Z223" s="282" t="s">
        <v>1592</v>
      </c>
      <c r="AA223" s="37"/>
      <c r="AB223" s="154" t="s">
        <v>225</v>
      </c>
      <c r="AC223" s="229" t="s">
        <v>729</v>
      </c>
      <c r="AD223" s="72" t="s">
        <v>808</v>
      </c>
      <c r="AE223" s="302"/>
      <c r="AF223" s="67"/>
      <c r="AG223" s="67"/>
      <c r="AH223" s="122" t="s">
        <v>736</v>
      </c>
      <c r="AI223" s="24"/>
      <c r="AJ223" s="24"/>
      <c r="AK223" s="24"/>
      <c r="AL223" s="24"/>
    </row>
    <row r="224" spans="1:38">
      <c r="A224" s="51">
        <v>215</v>
      </c>
      <c r="B224" s="51" t="str">
        <f t="shared" si="3"/>
        <v>00D7</v>
      </c>
      <c r="C224" s="176" t="s">
        <v>730</v>
      </c>
      <c r="D224" s="55" t="s">
        <v>232</v>
      </c>
      <c r="E224" s="282" t="s">
        <v>1233</v>
      </c>
      <c r="F224" s="178" t="s">
        <v>1044</v>
      </c>
      <c r="G224" s="178" t="s">
        <v>345</v>
      </c>
      <c r="H224" s="55" t="s">
        <v>637</v>
      </c>
      <c r="I224" s="155" t="s">
        <v>815</v>
      </c>
      <c r="J224" s="55" t="s">
        <v>0</v>
      </c>
      <c r="K224" s="55" t="s">
        <v>452</v>
      </c>
      <c r="L224" s="190" t="s">
        <v>499</v>
      </c>
      <c r="M224" s="55" t="s">
        <v>254</v>
      </c>
      <c r="N224" s="282" t="s">
        <v>1215</v>
      </c>
      <c r="O224" s="238" t="s">
        <v>97</v>
      </c>
      <c r="P224" s="64" t="str">
        <f ca="1">IF(AND(OR(INDIRECT("K" &amp; ROW())="NAV-Premium",INDIRECT("K" &amp; ROW())="DA-Premium"),INDIRECT("M" &amp; ROW())="PARTITION_SCHEMA128__NavPiviJpn", INDIRECT("O" &amp; ROW())="JPN_SDB"),'SDB vs GN'!$B$41, IF(INDIRECT("H" &amp; ROW())="Chenc",'SDB vs GN'!$B$40, VLOOKUP(INDIRECT("O" &amp; ROW()),'SDB vs GN'!$A$16:$B$38,2,FALSE)))</f>
        <v>734_CN_831_AUSKRJPN</v>
      </c>
      <c r="Q224" s="79" t="s">
        <v>396</v>
      </c>
      <c r="R224" s="64" t="s">
        <v>59</v>
      </c>
      <c r="S224" s="157" t="s">
        <v>10</v>
      </c>
      <c r="T224" s="79" t="s">
        <v>449</v>
      </c>
      <c r="U224" s="104" t="s">
        <v>816</v>
      </c>
      <c r="V224" s="68" t="s">
        <v>728</v>
      </c>
      <c r="W224" s="129" t="s">
        <v>447</v>
      </c>
      <c r="X224" s="64" t="s">
        <v>362</v>
      </c>
      <c r="Y224" s="282" t="s">
        <v>1286</v>
      </c>
      <c r="Z224" s="282" t="s">
        <v>1592</v>
      </c>
      <c r="AA224" s="37"/>
      <c r="AB224" s="154" t="s">
        <v>225</v>
      </c>
      <c r="AC224" s="229" t="s">
        <v>731</v>
      </c>
      <c r="AD224" s="72" t="s">
        <v>808</v>
      </c>
      <c r="AE224" s="302"/>
      <c r="AF224" s="67"/>
      <c r="AG224" s="67"/>
      <c r="AH224" s="122" t="s">
        <v>735</v>
      </c>
      <c r="AI224" s="24"/>
      <c r="AJ224" s="24"/>
      <c r="AK224" s="24"/>
      <c r="AL224" s="24"/>
    </row>
    <row r="225" spans="1:38">
      <c r="A225" s="51">
        <v>216</v>
      </c>
      <c r="B225" s="51" t="str">
        <f t="shared" si="3"/>
        <v>00D8</v>
      </c>
      <c r="C225" s="176" t="s">
        <v>732</v>
      </c>
      <c r="D225" s="94" t="s">
        <v>136</v>
      </c>
      <c r="E225" s="314" t="s">
        <v>1233</v>
      </c>
      <c r="F225" s="177" t="s">
        <v>1046</v>
      </c>
      <c r="G225" s="177" t="s">
        <v>344</v>
      </c>
      <c r="H225" s="55" t="s">
        <v>637</v>
      </c>
      <c r="I225" s="94" t="s">
        <v>4</v>
      </c>
      <c r="J225" s="55" t="s">
        <v>0</v>
      </c>
      <c r="K225" s="55" t="s">
        <v>451</v>
      </c>
      <c r="L225" s="190" t="s">
        <v>499</v>
      </c>
      <c r="M225" s="168" t="s">
        <v>255</v>
      </c>
      <c r="N225" s="282" t="s">
        <v>1215</v>
      </c>
      <c r="O225" s="238" t="s">
        <v>827</v>
      </c>
      <c r="P225" s="64" t="str">
        <f ca="1">IF(AND(OR(INDIRECT("K" &amp; ROW())="NAV-Premium",INDIRECT("K" &amp; ROW())="DA-Premium"),INDIRECT("M" &amp; ROW())="PARTITION_SCHEMA128__NavPiviJpn", INDIRECT("O" &amp; ROW())="JPN_SDB"),'SDB vs GN'!$B$41, IF(INDIRECT("H" &amp; ROW())="Chenc",'SDB vs GN'!$B$40, VLOOKUP(INDIRECT("O" &amp; ROW()),'SDB vs GN'!$A$16:$B$38,2,FALSE)))</f>
        <v>734_CN_831_AUSKRJPN</v>
      </c>
      <c r="Q225" s="79" t="s">
        <v>396</v>
      </c>
      <c r="R225" s="64" t="s">
        <v>59</v>
      </c>
      <c r="S225" s="157" t="s">
        <v>10</v>
      </c>
      <c r="T225" s="79" t="s">
        <v>449</v>
      </c>
      <c r="U225" s="104" t="s">
        <v>816</v>
      </c>
      <c r="V225" s="172" t="s">
        <v>7</v>
      </c>
      <c r="W225" s="129" t="s">
        <v>2184</v>
      </c>
      <c r="X225" s="64" t="s">
        <v>521</v>
      </c>
      <c r="Y225" s="282" t="s">
        <v>1286</v>
      </c>
      <c r="Z225" s="282" t="s">
        <v>1592</v>
      </c>
      <c r="AA225" s="37"/>
      <c r="AB225" s="154" t="s">
        <v>225</v>
      </c>
      <c r="AC225" s="229" t="s">
        <v>733</v>
      </c>
      <c r="AD225" s="72" t="s">
        <v>808</v>
      </c>
      <c r="AE225" s="302"/>
      <c r="AF225" s="67"/>
      <c r="AG225" s="67"/>
      <c r="AH225" s="122" t="s">
        <v>734</v>
      </c>
      <c r="AI225" s="24"/>
      <c r="AJ225" s="24"/>
      <c r="AK225" s="24"/>
      <c r="AL225" s="24"/>
    </row>
    <row r="226" spans="1:38">
      <c r="A226" s="51">
        <v>217</v>
      </c>
      <c r="B226" s="51" t="str">
        <f t="shared" si="3"/>
        <v>00D9</v>
      </c>
      <c r="C226" s="176" t="s">
        <v>738</v>
      </c>
      <c r="D226" s="94" t="s">
        <v>136</v>
      </c>
      <c r="E226" s="314" t="s">
        <v>1233</v>
      </c>
      <c r="F226" s="177" t="s">
        <v>1046</v>
      </c>
      <c r="G226" s="177" t="s">
        <v>344</v>
      </c>
      <c r="H226" s="55" t="s">
        <v>637</v>
      </c>
      <c r="I226" s="94" t="s">
        <v>4</v>
      </c>
      <c r="J226" s="55" t="s">
        <v>0</v>
      </c>
      <c r="K226" s="55" t="s">
        <v>451</v>
      </c>
      <c r="L226" s="190" t="s">
        <v>499</v>
      </c>
      <c r="M226" s="168" t="s">
        <v>255</v>
      </c>
      <c r="N226" s="282" t="s">
        <v>1215</v>
      </c>
      <c r="O226" s="238" t="s">
        <v>827</v>
      </c>
      <c r="P226" s="64" t="str">
        <f ca="1">IF(AND(OR(INDIRECT("K" &amp; ROW())="NAV-Premium",INDIRECT("K" &amp; ROW())="DA-Premium"),INDIRECT("M" &amp; ROW())="PARTITION_SCHEMA128__NavPiviJpn", INDIRECT("O" &amp; ROW())="JPN_SDB"),'SDB vs GN'!$B$41, IF(INDIRECT("H" &amp; ROW())="Chenc",'SDB vs GN'!$B$40, VLOOKUP(INDIRECT("O" &amp; ROW()),'SDB vs GN'!$A$16:$B$38,2,FALSE)))</f>
        <v>734_CN_831_AUSKRJPN</v>
      </c>
      <c r="Q226" s="79" t="s">
        <v>396</v>
      </c>
      <c r="R226" s="64" t="s">
        <v>59</v>
      </c>
      <c r="S226" s="157" t="s">
        <v>10</v>
      </c>
      <c r="T226" s="79" t="s">
        <v>449</v>
      </c>
      <c r="U226" s="104" t="s">
        <v>816</v>
      </c>
      <c r="V226" s="172" t="s">
        <v>7</v>
      </c>
      <c r="W226" s="129" t="s">
        <v>2184</v>
      </c>
      <c r="X226" s="64" t="s">
        <v>521</v>
      </c>
      <c r="Y226" s="282" t="s">
        <v>1286</v>
      </c>
      <c r="Z226" s="282" t="s">
        <v>1592</v>
      </c>
      <c r="AA226" s="37"/>
      <c r="AB226" s="154" t="s">
        <v>225</v>
      </c>
      <c r="AC226" s="229" t="s">
        <v>737</v>
      </c>
      <c r="AD226" s="72" t="s">
        <v>808</v>
      </c>
      <c r="AE226" s="302"/>
      <c r="AF226" s="67"/>
      <c r="AG226" s="67"/>
      <c r="AH226" s="122" t="s">
        <v>746</v>
      </c>
      <c r="AI226" s="24"/>
      <c r="AJ226" s="24"/>
      <c r="AK226" s="24"/>
      <c r="AL226" s="24"/>
    </row>
    <row r="227" spans="1:38">
      <c r="A227" s="51">
        <v>218</v>
      </c>
      <c r="B227" s="81" t="str">
        <f t="shared" si="3"/>
        <v>00DA</v>
      </c>
      <c r="C227" s="191" t="s">
        <v>740</v>
      </c>
      <c r="D227" s="55" t="s">
        <v>232</v>
      </c>
      <c r="E227" s="282" t="s">
        <v>1233</v>
      </c>
      <c r="F227" s="177" t="s">
        <v>1046</v>
      </c>
      <c r="G227" s="177" t="s">
        <v>344</v>
      </c>
      <c r="H227" s="55" t="s">
        <v>637</v>
      </c>
      <c r="I227" s="94" t="s">
        <v>4</v>
      </c>
      <c r="J227" s="112" t="s">
        <v>0</v>
      </c>
      <c r="K227" s="55" t="s">
        <v>451</v>
      </c>
      <c r="L227" s="100" t="s">
        <v>1271</v>
      </c>
      <c r="M227" s="55" t="s">
        <v>257</v>
      </c>
      <c r="N227" s="282" t="s">
        <v>1215</v>
      </c>
      <c r="O227" s="238" t="s">
        <v>84</v>
      </c>
      <c r="P227" s="64" t="str">
        <f ca="1">IF(AND(OR(INDIRECT("K" &amp; ROW())="NAV-Premium",INDIRECT("K" &amp; ROW())="DA-Premium"),INDIRECT("M" &amp; ROW())="PARTITION_SCHEMA128__NavPiviJpn", INDIRECT("O" &amp; ROW())="JPN_SDB"),'SDB vs GN'!$B$41, IF(INDIRECT("H" &amp; ROW())="Chenc",'SDB vs GN'!$B$40, VLOOKUP(INDIRECT("O" &amp; ROW()),'SDB vs GN'!$A$16:$B$38,2,FALSE)))</f>
        <v>727_NAM</v>
      </c>
      <c r="Q227" s="64" t="s">
        <v>20</v>
      </c>
      <c r="R227" s="64" t="s">
        <v>60</v>
      </c>
      <c r="S227" s="103" t="s">
        <v>10</v>
      </c>
      <c r="T227" s="64" t="s">
        <v>450</v>
      </c>
      <c r="U227" s="104" t="s">
        <v>816</v>
      </c>
      <c r="V227" s="172" t="s">
        <v>7</v>
      </c>
      <c r="W227" s="76" t="s">
        <v>447</v>
      </c>
      <c r="X227" s="64" t="s">
        <v>521</v>
      </c>
      <c r="Y227" s="282" t="s">
        <v>1286</v>
      </c>
      <c r="Z227" s="282" t="s">
        <v>1592</v>
      </c>
      <c r="AA227" s="96"/>
      <c r="AB227" s="131" t="s">
        <v>225</v>
      </c>
      <c r="AC227" s="229" t="s">
        <v>742</v>
      </c>
      <c r="AD227" s="72" t="s">
        <v>808</v>
      </c>
      <c r="AE227" s="302"/>
      <c r="AF227" s="67"/>
      <c r="AG227" s="67"/>
      <c r="AH227" s="122" t="s">
        <v>744</v>
      </c>
      <c r="AI227" s="24"/>
      <c r="AJ227" s="24"/>
      <c r="AK227" s="24"/>
      <c r="AL227" s="24"/>
    </row>
    <row r="228" spans="1:38">
      <c r="A228" s="51">
        <v>219</v>
      </c>
      <c r="B228" s="81" t="str">
        <f t="shared" si="3"/>
        <v>00DB</v>
      </c>
      <c r="C228" s="176" t="s">
        <v>739</v>
      </c>
      <c r="D228" s="55" t="s">
        <v>232</v>
      </c>
      <c r="E228" s="282" t="s">
        <v>1233</v>
      </c>
      <c r="F228" s="177" t="s">
        <v>1046</v>
      </c>
      <c r="G228" s="177" t="s">
        <v>344</v>
      </c>
      <c r="H228" s="55" t="s">
        <v>637</v>
      </c>
      <c r="I228" s="79" t="s">
        <v>4</v>
      </c>
      <c r="J228" s="55" t="s">
        <v>0</v>
      </c>
      <c r="K228" s="55" t="s">
        <v>451</v>
      </c>
      <c r="L228" s="100" t="s">
        <v>1271</v>
      </c>
      <c r="M228" s="55" t="s">
        <v>257</v>
      </c>
      <c r="N228" s="282" t="s">
        <v>1215</v>
      </c>
      <c r="O228" s="238" t="s">
        <v>84</v>
      </c>
      <c r="P228" s="64" t="str">
        <f ca="1">IF(AND(OR(INDIRECT("K" &amp; ROW())="NAV-Premium",INDIRECT("K" &amp; ROW())="DA-Premium"),INDIRECT("M" &amp; ROW())="PARTITION_SCHEMA128__NavPiviJpn", INDIRECT("O" &amp; ROW())="JPN_SDB"),'SDB vs GN'!$B$41, IF(INDIRECT("H" &amp; ROW())="Chenc",'SDB vs GN'!$B$40, VLOOKUP(INDIRECT("O" &amp; ROW()),'SDB vs GN'!$A$16:$B$38,2,FALSE)))</f>
        <v>727_NAM</v>
      </c>
      <c r="Q228" s="79" t="s">
        <v>20</v>
      </c>
      <c r="R228" s="67" t="s">
        <v>59</v>
      </c>
      <c r="S228" s="103" t="s">
        <v>10</v>
      </c>
      <c r="T228" s="64" t="s">
        <v>450</v>
      </c>
      <c r="U228" s="159" t="s">
        <v>816</v>
      </c>
      <c r="V228" s="172" t="s">
        <v>7</v>
      </c>
      <c r="W228" s="129" t="s">
        <v>447</v>
      </c>
      <c r="X228" s="64" t="s">
        <v>521</v>
      </c>
      <c r="Y228" s="282" t="s">
        <v>1286</v>
      </c>
      <c r="Z228" s="282" t="s">
        <v>1592</v>
      </c>
      <c r="AA228" s="37"/>
      <c r="AB228" s="131" t="s">
        <v>225</v>
      </c>
      <c r="AC228" s="229" t="s">
        <v>741</v>
      </c>
      <c r="AD228" s="72" t="s">
        <v>808</v>
      </c>
      <c r="AE228" s="302"/>
      <c r="AF228" s="67"/>
      <c r="AG228" s="67"/>
      <c r="AH228" s="161" t="s">
        <v>743</v>
      </c>
      <c r="AI228" s="24"/>
      <c r="AJ228" s="24"/>
      <c r="AK228" s="24"/>
      <c r="AL228" s="24"/>
    </row>
    <row r="229" spans="1:38" ht="105.6">
      <c r="A229" s="51">
        <v>220</v>
      </c>
      <c r="B229" s="81" t="str">
        <f t="shared" si="3"/>
        <v>00DC</v>
      </c>
      <c r="C229" s="94" t="s">
        <v>885</v>
      </c>
      <c r="D229" s="94" t="s">
        <v>104</v>
      </c>
      <c r="E229" s="314" t="s">
        <v>1233</v>
      </c>
      <c r="F229" s="178" t="s">
        <v>1044</v>
      </c>
      <c r="G229" s="178" t="s">
        <v>345</v>
      </c>
      <c r="H229" s="55" t="s">
        <v>637</v>
      </c>
      <c r="I229" s="94" t="s">
        <v>815</v>
      </c>
      <c r="J229" s="112" t="s">
        <v>0</v>
      </c>
      <c r="K229" s="79" t="s">
        <v>453</v>
      </c>
      <c r="L229" s="100" t="s">
        <v>1271</v>
      </c>
      <c r="M229" s="55" t="s">
        <v>254</v>
      </c>
      <c r="N229" s="282" t="s">
        <v>1215</v>
      </c>
      <c r="O229" s="238" t="s">
        <v>825</v>
      </c>
      <c r="P229" s="64" t="str">
        <f ca="1">IF(AND(OR(INDIRECT("K" &amp; ROW())="NAV-Premium",INDIRECT("K" &amp; ROW())="DA-Premium"),INDIRECT("M" &amp; ROW())="PARTITION_SCHEMA128__NavPiviJpn", INDIRECT("O" &amp; ROW())="JPN_SDB"),'SDB vs GN'!$B$41, IF(INDIRECT("H" &amp; ROW())="Chenc",'SDB vs GN'!$B$40, VLOOKUP(INDIRECT("O" &amp; ROW()),'SDB vs GN'!$A$16:$B$38,2,FALSE)))</f>
        <v>831_AUSKRJPN</v>
      </c>
      <c r="Q229" s="64" t="s">
        <v>396</v>
      </c>
      <c r="R229" s="67" t="s">
        <v>59</v>
      </c>
      <c r="S229" s="103" t="s">
        <v>10</v>
      </c>
      <c r="T229" s="79" t="s">
        <v>449</v>
      </c>
      <c r="U229" s="159" t="s">
        <v>816</v>
      </c>
      <c r="V229" s="172" t="s">
        <v>603</v>
      </c>
      <c r="W229" s="129" t="s">
        <v>447</v>
      </c>
      <c r="X229" s="64" t="s">
        <v>521</v>
      </c>
      <c r="Y229" s="282" t="s">
        <v>1286</v>
      </c>
      <c r="Z229" s="282" t="s">
        <v>1592</v>
      </c>
      <c r="AA229" s="37"/>
      <c r="AB229" s="131" t="s">
        <v>244</v>
      </c>
      <c r="AC229" s="229" t="s">
        <v>1488</v>
      </c>
      <c r="AD229" s="72" t="s">
        <v>808</v>
      </c>
      <c r="AE229" s="302"/>
      <c r="AF229" s="67"/>
      <c r="AG229" s="67"/>
      <c r="AH229" s="72" t="s">
        <v>1489</v>
      </c>
      <c r="AI229" s="24"/>
      <c r="AJ229" s="24"/>
      <c r="AK229" s="24"/>
      <c r="AL229" s="24"/>
    </row>
    <row r="230" spans="1:38">
      <c r="A230" s="51">
        <v>221</v>
      </c>
      <c r="B230" s="81" t="str">
        <f t="shared" si="3"/>
        <v>00DD</v>
      </c>
      <c r="C230" s="94" t="s">
        <v>777</v>
      </c>
      <c r="D230" s="94" t="s">
        <v>704</v>
      </c>
      <c r="E230" s="314" t="s">
        <v>1233</v>
      </c>
      <c r="F230" s="178" t="s">
        <v>1044</v>
      </c>
      <c r="G230" s="178" t="s">
        <v>345</v>
      </c>
      <c r="H230" s="55" t="s">
        <v>637</v>
      </c>
      <c r="I230" s="94" t="s">
        <v>815</v>
      </c>
      <c r="J230" s="112" t="s">
        <v>0</v>
      </c>
      <c r="K230" s="55" t="s">
        <v>452</v>
      </c>
      <c r="L230" s="100" t="s">
        <v>1271</v>
      </c>
      <c r="M230" s="55" t="s">
        <v>256</v>
      </c>
      <c r="N230" s="282" t="s">
        <v>1215</v>
      </c>
      <c r="O230" s="238" t="s">
        <v>54</v>
      </c>
      <c r="P230" s="64" t="str">
        <f ca="1">IF(AND(OR(INDIRECT("K" &amp; ROW())="NAV-Premium",INDIRECT("K" &amp; ROW())="DA-Premium"),INDIRECT("M" &amp; ROW())="PARTITION_SCHEMA128__NavPiviJpn", INDIRECT("O" &amp; ROW())="JPN_SDB"),'SDB vs GN'!$B$41, IF(INDIRECT("H" &amp; ROW())="Chenc",'SDB vs GN'!$B$40, VLOOKUP(INDIRECT("O" &amp; ROW()),'SDB vs GN'!$A$16:$B$38,2,FALSE)))</f>
        <v>731_EUR</v>
      </c>
      <c r="Q230" s="64" t="s">
        <v>396</v>
      </c>
      <c r="R230" s="64" t="s">
        <v>61</v>
      </c>
      <c r="S230" s="103" t="s">
        <v>10</v>
      </c>
      <c r="T230" s="79" t="s">
        <v>449</v>
      </c>
      <c r="U230" s="159" t="s">
        <v>816</v>
      </c>
      <c r="V230" s="173" t="s">
        <v>1132</v>
      </c>
      <c r="W230" s="129" t="s">
        <v>447</v>
      </c>
      <c r="X230" s="64" t="s">
        <v>521</v>
      </c>
      <c r="Y230" s="282" t="s">
        <v>1286</v>
      </c>
      <c r="Z230" s="282" t="s">
        <v>1592</v>
      </c>
      <c r="AA230" s="37"/>
      <c r="AB230" s="131" t="s">
        <v>225</v>
      </c>
      <c r="AC230" s="229" t="s">
        <v>769</v>
      </c>
      <c r="AD230" s="72" t="s">
        <v>808</v>
      </c>
      <c r="AE230" s="302"/>
      <c r="AF230" s="67"/>
      <c r="AG230" s="67"/>
      <c r="AH230" s="72" t="s">
        <v>796</v>
      </c>
      <c r="AI230" s="24"/>
      <c r="AJ230" s="24"/>
      <c r="AK230" s="24"/>
      <c r="AL230" s="24"/>
    </row>
    <row r="231" spans="1:38" ht="264">
      <c r="A231" s="51">
        <v>222</v>
      </c>
      <c r="B231" s="81" t="str">
        <f t="shared" si="3"/>
        <v>00DE</v>
      </c>
      <c r="C231" s="94" t="s">
        <v>886</v>
      </c>
      <c r="D231" s="94" t="s">
        <v>704</v>
      </c>
      <c r="E231" s="314" t="s">
        <v>1233</v>
      </c>
      <c r="F231" s="178" t="s">
        <v>1044</v>
      </c>
      <c r="G231" s="178" t="s">
        <v>345</v>
      </c>
      <c r="H231" s="55" t="s">
        <v>637</v>
      </c>
      <c r="I231" s="79" t="s">
        <v>815</v>
      </c>
      <c r="J231" s="55" t="s">
        <v>0</v>
      </c>
      <c r="K231" s="55" t="s">
        <v>452</v>
      </c>
      <c r="L231" s="100" t="s">
        <v>1271</v>
      </c>
      <c r="M231" s="55" t="s">
        <v>254</v>
      </c>
      <c r="N231" s="282" t="s">
        <v>1215</v>
      </c>
      <c r="O231" s="238" t="s">
        <v>126</v>
      </c>
      <c r="P231" s="64" t="str">
        <f ca="1">IF(AND(OR(INDIRECT("K" &amp; ROW())="NAV-Premium",INDIRECT("K" &amp; ROW())="DA-Premium"),INDIRECT("M" &amp; ROW())="PARTITION_SCHEMA128__NavPiviJpn", INDIRECT("O" &amp; ROW())="JPN_SDB"),'SDB vs GN'!$B$41, IF(INDIRECT("H" &amp; ROW())="Chenc",'SDB vs GN'!$B$40, VLOOKUP(INDIRECT("O" &amp; ROW()),'SDB vs GN'!$A$16:$B$38,2,FALSE)))</f>
        <v>735_LA</v>
      </c>
      <c r="Q231" s="79" t="s">
        <v>396</v>
      </c>
      <c r="R231" s="67" t="s">
        <v>59</v>
      </c>
      <c r="S231" s="157" t="s">
        <v>10</v>
      </c>
      <c r="T231" s="79" t="s">
        <v>449</v>
      </c>
      <c r="U231" s="104" t="s">
        <v>816</v>
      </c>
      <c r="V231" s="172" t="s">
        <v>613</v>
      </c>
      <c r="W231" s="129" t="s">
        <v>447</v>
      </c>
      <c r="X231" s="64" t="s">
        <v>521</v>
      </c>
      <c r="Y231" s="282" t="s">
        <v>1286</v>
      </c>
      <c r="Z231" s="282" t="s">
        <v>1592</v>
      </c>
      <c r="AA231" s="37"/>
      <c r="AB231" s="131" t="s">
        <v>225</v>
      </c>
      <c r="AC231" s="229" t="s">
        <v>2156</v>
      </c>
      <c r="AD231" s="72" t="s">
        <v>808</v>
      </c>
      <c r="AE231" s="302"/>
      <c r="AF231" s="67"/>
      <c r="AG231" s="67"/>
      <c r="AH231" s="72" t="s">
        <v>2155</v>
      </c>
      <c r="AI231" s="24"/>
      <c r="AJ231" s="24"/>
      <c r="AK231" s="24"/>
      <c r="AL231" s="24"/>
    </row>
    <row r="232" spans="1:38" ht="277.2">
      <c r="A232" s="51">
        <v>223</v>
      </c>
      <c r="B232" s="81" t="str">
        <f t="shared" si="3"/>
        <v>00DF</v>
      </c>
      <c r="C232" s="94" t="s">
        <v>862</v>
      </c>
      <c r="D232" s="94" t="s">
        <v>704</v>
      </c>
      <c r="E232" s="314" t="s">
        <v>1233</v>
      </c>
      <c r="F232" s="178" t="s">
        <v>1044</v>
      </c>
      <c r="G232" s="178" t="s">
        <v>345</v>
      </c>
      <c r="H232" s="55" t="s">
        <v>637</v>
      </c>
      <c r="I232" s="79" t="s">
        <v>815</v>
      </c>
      <c r="J232" s="55" t="s">
        <v>0</v>
      </c>
      <c r="K232" s="55" t="s">
        <v>452</v>
      </c>
      <c r="L232" s="100" t="s">
        <v>1271</v>
      </c>
      <c r="M232" s="55" t="s">
        <v>254</v>
      </c>
      <c r="N232" s="282" t="s">
        <v>1215</v>
      </c>
      <c r="O232" s="238" t="s">
        <v>825</v>
      </c>
      <c r="P232" s="64" t="str">
        <f ca="1">IF(AND(OR(INDIRECT("K" &amp; ROW())="NAV-Premium",INDIRECT("K" &amp; ROW())="DA-Premium"),INDIRECT("M" &amp; ROW())="PARTITION_SCHEMA128__NavPiviJpn", INDIRECT("O" &amp; ROW())="JPN_SDB"),'SDB vs GN'!$B$41, IF(INDIRECT("H" &amp; ROW())="Chenc",'SDB vs GN'!$B$40, VLOOKUP(INDIRECT("O" &amp; ROW()),'SDB vs GN'!$A$16:$B$38,2,FALSE)))</f>
        <v>831_AUSKRJPN</v>
      </c>
      <c r="Q232" s="79" t="s">
        <v>396</v>
      </c>
      <c r="R232" s="67" t="s">
        <v>59</v>
      </c>
      <c r="S232" s="103" t="s">
        <v>10</v>
      </c>
      <c r="T232" s="79" t="s">
        <v>449</v>
      </c>
      <c r="U232" s="159" t="s">
        <v>816</v>
      </c>
      <c r="V232" s="172" t="s">
        <v>612</v>
      </c>
      <c r="W232" s="129" t="s">
        <v>447</v>
      </c>
      <c r="X232" s="64" t="s">
        <v>521</v>
      </c>
      <c r="Y232" s="282" t="s">
        <v>1286</v>
      </c>
      <c r="Z232" s="282" t="s">
        <v>1592</v>
      </c>
      <c r="AA232" s="37"/>
      <c r="AB232" s="131" t="s">
        <v>225</v>
      </c>
      <c r="AC232" s="229" t="s">
        <v>2246</v>
      </c>
      <c r="AD232" s="72" t="s">
        <v>808</v>
      </c>
      <c r="AE232" s="302"/>
      <c r="AF232" s="67"/>
      <c r="AG232" s="67"/>
      <c r="AH232" s="72" t="s">
        <v>2245</v>
      </c>
      <c r="AI232" s="24"/>
      <c r="AJ232" s="24"/>
      <c r="AK232" s="24"/>
      <c r="AL232" s="24"/>
    </row>
    <row r="233" spans="1:38" ht="66">
      <c r="A233" s="51">
        <v>224</v>
      </c>
      <c r="B233" s="81" t="str">
        <f t="shared" si="3"/>
        <v>00E0</v>
      </c>
      <c r="C233" s="94" t="s">
        <v>1326</v>
      </c>
      <c r="D233" s="94" t="s">
        <v>104</v>
      </c>
      <c r="E233" s="314" t="s">
        <v>1233</v>
      </c>
      <c r="F233" s="169" t="s">
        <v>1048</v>
      </c>
      <c r="G233" s="169" t="s">
        <v>347</v>
      </c>
      <c r="H233" s="55" t="s">
        <v>637</v>
      </c>
      <c r="I233" s="79" t="s">
        <v>815</v>
      </c>
      <c r="J233" s="127" t="s">
        <v>1</v>
      </c>
      <c r="K233" s="79" t="s">
        <v>750</v>
      </c>
      <c r="L233" s="79" t="s">
        <v>500</v>
      </c>
      <c r="M233" s="55" t="s">
        <v>1618</v>
      </c>
      <c r="N233" s="282" t="s">
        <v>1215</v>
      </c>
      <c r="O233" s="238" t="s">
        <v>825</v>
      </c>
      <c r="P233" s="64" t="str">
        <f ca="1">IF(AND(OR(INDIRECT("K" &amp; ROW())="NAV-Premium",INDIRECT("K" &amp; ROW())="DA-Premium"),INDIRECT("M" &amp; ROW())="PARTITION_SCHEMA128__NavPiviJpn", INDIRECT("O" &amp; ROW())="JPN_SDB"),'SDB vs GN'!$B$41, IF(INDIRECT("H" &amp; ROW())="Chenc",'SDB vs GN'!$B$40, VLOOKUP(INDIRECT("O" &amp; ROW()),'SDB vs GN'!$A$16:$B$38,2,FALSE)))</f>
        <v>831_AUSKRJPN</v>
      </c>
      <c r="Q233" s="79" t="s">
        <v>396</v>
      </c>
      <c r="R233" s="67" t="s">
        <v>59</v>
      </c>
      <c r="S233" s="157" t="s">
        <v>10</v>
      </c>
      <c r="T233" s="79" t="s">
        <v>449</v>
      </c>
      <c r="U233" s="104" t="s">
        <v>816</v>
      </c>
      <c r="V233" s="172" t="s">
        <v>544</v>
      </c>
      <c r="W233" s="129" t="s">
        <v>447</v>
      </c>
      <c r="X233" s="64" t="s">
        <v>521</v>
      </c>
      <c r="Y233" s="282" t="s">
        <v>1286</v>
      </c>
      <c r="Z233" s="282" t="s">
        <v>1592</v>
      </c>
      <c r="AA233" s="37"/>
      <c r="AB233" s="131" t="s">
        <v>244</v>
      </c>
      <c r="AC233" s="229" t="s">
        <v>1327</v>
      </c>
      <c r="AD233" s="72" t="s">
        <v>808</v>
      </c>
      <c r="AE233" s="302"/>
      <c r="AF233" s="67"/>
      <c r="AG233" s="67"/>
      <c r="AH233" s="72" t="s">
        <v>1328</v>
      </c>
      <c r="AI233" s="24"/>
      <c r="AJ233" s="24"/>
      <c r="AK233" s="24"/>
      <c r="AL233" s="24"/>
    </row>
    <row r="234" spans="1:38" ht="66">
      <c r="A234" s="51">
        <v>225</v>
      </c>
      <c r="B234" s="81" t="str">
        <f t="shared" si="3"/>
        <v>00E1</v>
      </c>
      <c r="C234" s="94" t="s">
        <v>1329</v>
      </c>
      <c r="D234" s="94" t="s">
        <v>104</v>
      </c>
      <c r="E234" s="314" t="s">
        <v>1233</v>
      </c>
      <c r="F234" s="169" t="s">
        <v>1048</v>
      </c>
      <c r="G234" s="169" t="s">
        <v>347</v>
      </c>
      <c r="H234" s="55" t="s">
        <v>637</v>
      </c>
      <c r="I234" s="79" t="s">
        <v>815</v>
      </c>
      <c r="J234" s="127" t="s">
        <v>1</v>
      </c>
      <c r="K234" s="79" t="s">
        <v>750</v>
      </c>
      <c r="L234" s="79" t="s">
        <v>500</v>
      </c>
      <c r="M234" s="55" t="s">
        <v>1618</v>
      </c>
      <c r="N234" s="282" t="s">
        <v>1215</v>
      </c>
      <c r="O234" s="238" t="s">
        <v>825</v>
      </c>
      <c r="P234" s="64" t="str">
        <f ca="1">IF(AND(OR(INDIRECT("K" &amp; ROW())="NAV-Premium",INDIRECT("K" &amp; ROW())="DA-Premium"),INDIRECT("M" &amp; ROW())="PARTITION_SCHEMA128__NavPiviJpn", INDIRECT("O" &amp; ROW())="JPN_SDB"),'SDB vs GN'!$B$41, IF(INDIRECT("H" &amp; ROW())="Chenc",'SDB vs GN'!$B$40, VLOOKUP(INDIRECT("O" &amp; ROW()),'SDB vs GN'!$A$16:$B$38,2,FALSE)))</f>
        <v>831_AUSKRJPN</v>
      </c>
      <c r="Q234" s="79" t="s">
        <v>396</v>
      </c>
      <c r="R234" s="67" t="s">
        <v>59</v>
      </c>
      <c r="S234" s="157" t="s">
        <v>10</v>
      </c>
      <c r="T234" s="79" t="s">
        <v>449</v>
      </c>
      <c r="U234" s="104" t="s">
        <v>816</v>
      </c>
      <c r="V234" s="172" t="s">
        <v>545</v>
      </c>
      <c r="W234" s="129" t="s">
        <v>447</v>
      </c>
      <c r="X234" s="64" t="s">
        <v>521</v>
      </c>
      <c r="Y234" s="282" t="s">
        <v>1286</v>
      </c>
      <c r="Z234" s="282" t="s">
        <v>1592</v>
      </c>
      <c r="AA234" s="37"/>
      <c r="AB234" s="154" t="s">
        <v>225</v>
      </c>
      <c r="AC234" s="229" t="s">
        <v>1330</v>
      </c>
      <c r="AD234" s="72" t="s">
        <v>808</v>
      </c>
      <c r="AE234" s="302"/>
      <c r="AF234" s="67"/>
      <c r="AG234" s="67"/>
      <c r="AH234" s="72" t="s">
        <v>1331</v>
      </c>
      <c r="AI234" s="24"/>
      <c r="AJ234" s="24"/>
      <c r="AK234" s="24"/>
      <c r="AL234" s="24"/>
    </row>
    <row r="235" spans="1:38" ht="52.8">
      <c r="A235" s="51">
        <v>226</v>
      </c>
      <c r="B235" s="81" t="str">
        <f t="shared" si="3"/>
        <v>00E2</v>
      </c>
      <c r="C235" s="94" t="s">
        <v>772</v>
      </c>
      <c r="D235" s="94" t="s">
        <v>104</v>
      </c>
      <c r="E235" s="314" t="s">
        <v>1233</v>
      </c>
      <c r="F235" s="169" t="s">
        <v>1048</v>
      </c>
      <c r="G235" s="169" t="s">
        <v>347</v>
      </c>
      <c r="H235" s="55" t="s">
        <v>637</v>
      </c>
      <c r="I235" s="79" t="s">
        <v>815</v>
      </c>
      <c r="J235" s="127" t="s">
        <v>1</v>
      </c>
      <c r="K235" s="79" t="s">
        <v>750</v>
      </c>
      <c r="L235" s="79" t="s">
        <v>500</v>
      </c>
      <c r="M235" s="55" t="s">
        <v>1618</v>
      </c>
      <c r="N235" s="282" t="s">
        <v>1215</v>
      </c>
      <c r="O235" s="238" t="s">
        <v>73</v>
      </c>
      <c r="P235" s="64" t="str">
        <f ca="1">IF(AND(OR(INDIRECT("K" &amp; ROW())="NAV-Premium",INDIRECT("K" &amp; ROW())="DA-Premium"),INDIRECT("M" &amp; ROW())="PARTITION_SCHEMA128__NavPiviJpn", INDIRECT("O" &amp; ROW())="JPN_SDB"),'SDB vs GN'!$B$41, IF(INDIRECT("H" &amp; ROW())="Chenc",'SDB vs GN'!$B$40, VLOOKUP(INDIRECT("O" &amp; ROW()),'SDB vs GN'!$A$16:$B$38,2,FALSE)))</f>
        <v>731_EUR</v>
      </c>
      <c r="Q235" s="79" t="s">
        <v>396</v>
      </c>
      <c r="R235" s="67" t="s">
        <v>59</v>
      </c>
      <c r="S235" s="157" t="s">
        <v>10</v>
      </c>
      <c r="T235" s="79" t="s">
        <v>449</v>
      </c>
      <c r="U235" s="104" t="s">
        <v>816</v>
      </c>
      <c r="V235" s="172" t="s">
        <v>548</v>
      </c>
      <c r="W235" s="129" t="s">
        <v>447</v>
      </c>
      <c r="X235" s="64" t="s">
        <v>521</v>
      </c>
      <c r="Y235" s="282" t="s">
        <v>1286</v>
      </c>
      <c r="Z235" s="282" t="s">
        <v>1592</v>
      </c>
      <c r="AA235" s="37"/>
      <c r="AB235" s="131" t="s">
        <v>225</v>
      </c>
      <c r="AC235" s="229" t="s">
        <v>1094</v>
      </c>
      <c r="AD235" s="72" t="s">
        <v>808</v>
      </c>
      <c r="AE235" s="302"/>
      <c r="AF235" s="67"/>
      <c r="AG235" s="67"/>
      <c r="AH235" s="72" t="s">
        <v>1095</v>
      </c>
      <c r="AI235" s="24"/>
      <c r="AJ235" s="24"/>
      <c r="AK235" s="24"/>
      <c r="AL235" s="24"/>
    </row>
    <row r="236" spans="1:38" ht="66">
      <c r="A236" s="51">
        <v>227</v>
      </c>
      <c r="B236" s="81" t="str">
        <f t="shared" si="3"/>
        <v>00E3</v>
      </c>
      <c r="C236" s="94" t="s">
        <v>1332</v>
      </c>
      <c r="D236" s="94" t="s">
        <v>104</v>
      </c>
      <c r="E236" s="314" t="s">
        <v>1233</v>
      </c>
      <c r="F236" s="169" t="s">
        <v>1048</v>
      </c>
      <c r="G236" s="169" t="s">
        <v>347</v>
      </c>
      <c r="H236" s="55" t="s">
        <v>637</v>
      </c>
      <c r="I236" s="79" t="s">
        <v>815</v>
      </c>
      <c r="J236" s="127" t="s">
        <v>1</v>
      </c>
      <c r="K236" s="79" t="s">
        <v>750</v>
      </c>
      <c r="L236" s="79" t="s">
        <v>500</v>
      </c>
      <c r="M236" s="55" t="s">
        <v>1618</v>
      </c>
      <c r="N236" s="282" t="s">
        <v>1215</v>
      </c>
      <c r="O236" s="238" t="s">
        <v>126</v>
      </c>
      <c r="P236" s="64" t="str">
        <f ca="1">IF(AND(OR(INDIRECT("K" &amp; ROW())="NAV-Premium",INDIRECT("K" &amp; ROW())="DA-Premium"),INDIRECT("M" &amp; ROW())="PARTITION_SCHEMA128__NavPiviJpn", INDIRECT("O" &amp; ROW())="JPN_SDB"),'SDB vs GN'!$B$41, IF(INDIRECT("H" &amp; ROW())="Chenc",'SDB vs GN'!$B$40, VLOOKUP(INDIRECT("O" &amp; ROW()),'SDB vs GN'!$A$16:$B$38,2,FALSE)))</f>
        <v>735_LA</v>
      </c>
      <c r="Q236" s="79" t="s">
        <v>396</v>
      </c>
      <c r="R236" s="67" t="s">
        <v>59</v>
      </c>
      <c r="S236" s="157" t="s">
        <v>10</v>
      </c>
      <c r="T236" s="79" t="s">
        <v>449</v>
      </c>
      <c r="U236" s="104" t="s">
        <v>816</v>
      </c>
      <c r="V236" s="172" t="s">
        <v>543</v>
      </c>
      <c r="W236" s="129" t="s">
        <v>447</v>
      </c>
      <c r="X236" s="64" t="s">
        <v>521</v>
      </c>
      <c r="Y236" s="282" t="s">
        <v>1286</v>
      </c>
      <c r="Z236" s="282" t="s">
        <v>1592</v>
      </c>
      <c r="AA236" s="37"/>
      <c r="AB236" s="154" t="s">
        <v>225</v>
      </c>
      <c r="AC236" s="229" t="s">
        <v>1333</v>
      </c>
      <c r="AD236" s="72" t="s">
        <v>808</v>
      </c>
      <c r="AE236" s="302"/>
      <c r="AF236" s="67"/>
      <c r="AG236" s="67"/>
      <c r="AH236" s="72" t="s">
        <v>1334</v>
      </c>
      <c r="AI236" s="24"/>
      <c r="AJ236" s="24"/>
      <c r="AK236" s="24"/>
      <c r="AL236" s="24"/>
    </row>
    <row r="237" spans="1:38" ht="26.4">
      <c r="A237" s="51">
        <v>228</v>
      </c>
      <c r="B237" s="81" t="str">
        <f t="shared" si="3"/>
        <v>00E4</v>
      </c>
      <c r="C237" s="135" t="s">
        <v>773</v>
      </c>
      <c r="D237" s="94" t="s">
        <v>104</v>
      </c>
      <c r="E237" s="314" t="s">
        <v>1233</v>
      </c>
      <c r="F237" s="169" t="s">
        <v>1048</v>
      </c>
      <c r="G237" s="169" t="s">
        <v>347</v>
      </c>
      <c r="H237" s="55" t="s">
        <v>637</v>
      </c>
      <c r="I237" s="79" t="s">
        <v>815</v>
      </c>
      <c r="J237" s="127" t="s">
        <v>1</v>
      </c>
      <c r="K237" s="79" t="s">
        <v>750</v>
      </c>
      <c r="L237" s="79" t="s">
        <v>500</v>
      </c>
      <c r="M237" s="55" t="s">
        <v>1618</v>
      </c>
      <c r="N237" s="282" t="s">
        <v>1215</v>
      </c>
      <c r="O237" s="249" t="s">
        <v>97</v>
      </c>
      <c r="P237" s="64" t="str">
        <f ca="1">IF(AND(OR(INDIRECT("K" &amp; ROW())="NAV-Premium",INDIRECT("K" &amp; ROW())="DA-Premium"),INDIRECT("M" &amp; ROW())="PARTITION_SCHEMA128__NavPiviJpn", INDIRECT("O" &amp; ROW())="JPN_SDB"),'SDB vs GN'!$B$41, IF(INDIRECT("H" &amp; ROW())="Chenc",'SDB vs GN'!$B$40, VLOOKUP(INDIRECT("O" &amp; ROW()),'SDB vs GN'!$A$16:$B$38,2,FALSE)))</f>
        <v>734_CN_831_AUSKRJPN</v>
      </c>
      <c r="Q237" s="79" t="s">
        <v>396</v>
      </c>
      <c r="R237" s="67" t="s">
        <v>59</v>
      </c>
      <c r="S237" s="157" t="s">
        <v>10</v>
      </c>
      <c r="T237" s="79" t="s">
        <v>449</v>
      </c>
      <c r="U237" s="104" t="s">
        <v>816</v>
      </c>
      <c r="V237" s="172" t="s">
        <v>551</v>
      </c>
      <c r="W237" s="129" t="s">
        <v>447</v>
      </c>
      <c r="X237" s="64" t="s">
        <v>521</v>
      </c>
      <c r="Y237" s="282" t="s">
        <v>1286</v>
      </c>
      <c r="Z237" s="282" t="s">
        <v>1592</v>
      </c>
      <c r="AA237" s="37"/>
      <c r="AB237" s="131" t="s">
        <v>244</v>
      </c>
      <c r="AC237" s="229" t="s">
        <v>791</v>
      </c>
      <c r="AD237" s="72" t="s">
        <v>808</v>
      </c>
      <c r="AE237" s="302"/>
      <c r="AF237" s="67"/>
      <c r="AG237" s="67"/>
      <c r="AH237" s="72" t="s">
        <v>792</v>
      </c>
      <c r="AI237" s="24"/>
      <c r="AJ237" s="24"/>
      <c r="AK237" s="24"/>
      <c r="AL237" s="24"/>
    </row>
    <row r="238" spans="1:38" ht="52.8">
      <c r="A238" s="51">
        <v>229</v>
      </c>
      <c r="B238" s="81" t="str">
        <f t="shared" si="3"/>
        <v>00E5</v>
      </c>
      <c r="C238" s="94" t="s">
        <v>774</v>
      </c>
      <c r="D238" s="94" t="s">
        <v>104</v>
      </c>
      <c r="E238" s="314" t="s">
        <v>1233</v>
      </c>
      <c r="F238" s="169" t="s">
        <v>1048</v>
      </c>
      <c r="G238" s="169" t="s">
        <v>347</v>
      </c>
      <c r="H238" s="55" t="s">
        <v>637</v>
      </c>
      <c r="I238" s="79" t="s">
        <v>815</v>
      </c>
      <c r="J238" s="127" t="s">
        <v>1</v>
      </c>
      <c r="K238" s="79" t="s">
        <v>750</v>
      </c>
      <c r="L238" s="79" t="s">
        <v>500</v>
      </c>
      <c r="M238" s="55" t="s">
        <v>1618</v>
      </c>
      <c r="N238" s="282" t="s">
        <v>1215</v>
      </c>
      <c r="O238" s="238" t="s">
        <v>826</v>
      </c>
      <c r="P238" s="64" t="str">
        <f ca="1">IF(AND(OR(INDIRECT("K" &amp; ROW())="NAV-Premium",INDIRECT("K" &amp; ROW())="DA-Premium"),INDIRECT("M" &amp; ROW())="PARTITION_SCHEMA128__NavPiviJpn", INDIRECT("O" &amp; ROW())="JPN_SDB"),'SDB vs GN'!$B$41, IF(INDIRECT("H" &amp; ROW())="Chenc",'SDB vs GN'!$B$40, VLOOKUP(INDIRECT("O" &amp; ROW()),'SDB vs GN'!$A$16:$B$38,2,FALSE)))</f>
        <v>731_EUR</v>
      </c>
      <c r="Q238" s="79" t="s">
        <v>396</v>
      </c>
      <c r="R238" s="67" t="s">
        <v>59</v>
      </c>
      <c r="S238" s="157" t="s">
        <v>10</v>
      </c>
      <c r="T238" s="79" t="s">
        <v>449</v>
      </c>
      <c r="U238" s="104" t="s">
        <v>816</v>
      </c>
      <c r="V238" s="326" t="s">
        <v>549</v>
      </c>
      <c r="W238" s="129" t="s">
        <v>447</v>
      </c>
      <c r="X238" s="64" t="s">
        <v>521</v>
      </c>
      <c r="Y238" s="282" t="s">
        <v>1286</v>
      </c>
      <c r="Z238" s="282" t="s">
        <v>1592</v>
      </c>
      <c r="AA238" s="37"/>
      <c r="AB238" s="131" t="s">
        <v>225</v>
      </c>
      <c r="AC238" s="229" t="s">
        <v>1096</v>
      </c>
      <c r="AD238" s="72" t="s">
        <v>808</v>
      </c>
      <c r="AE238" s="302"/>
      <c r="AF238" s="67"/>
      <c r="AG238" s="67"/>
      <c r="AH238" s="72" t="s">
        <v>1097</v>
      </c>
      <c r="AI238" s="24"/>
      <c r="AJ238" s="24"/>
      <c r="AK238" s="24"/>
      <c r="AL238" s="24"/>
    </row>
    <row r="239" spans="1:38" ht="66">
      <c r="A239" s="51">
        <v>230</v>
      </c>
      <c r="B239" s="81" t="str">
        <f t="shared" si="3"/>
        <v>00E6</v>
      </c>
      <c r="C239" s="94" t="s">
        <v>1335</v>
      </c>
      <c r="D239" s="94" t="s">
        <v>104</v>
      </c>
      <c r="E239" s="314" t="s">
        <v>1233</v>
      </c>
      <c r="F239" s="169" t="s">
        <v>1048</v>
      </c>
      <c r="G239" s="169" t="s">
        <v>347</v>
      </c>
      <c r="H239" s="55" t="s">
        <v>637</v>
      </c>
      <c r="I239" s="79" t="s">
        <v>815</v>
      </c>
      <c r="J239" s="127" t="s">
        <v>1</v>
      </c>
      <c r="K239" s="79" t="s">
        <v>750</v>
      </c>
      <c r="L239" s="79" t="s">
        <v>500</v>
      </c>
      <c r="M239" s="55" t="s">
        <v>1618</v>
      </c>
      <c r="N239" s="282" t="s">
        <v>1215</v>
      </c>
      <c r="O239" s="238" t="s">
        <v>825</v>
      </c>
      <c r="P239" s="64" t="str">
        <f ca="1">IF(AND(OR(INDIRECT("K" &amp; ROW())="NAV-Premium",INDIRECT("K" &amp; ROW())="DA-Premium"),INDIRECT("M" &amp; ROW())="PARTITION_SCHEMA128__NavPiviJpn", INDIRECT("O" &amp; ROW())="JPN_SDB"),'SDB vs GN'!$B$41, IF(INDIRECT("H" &amp; ROW())="Chenc",'SDB vs GN'!$B$40, VLOOKUP(INDIRECT("O" &amp; ROW()),'SDB vs GN'!$A$16:$B$38,2,FALSE)))</f>
        <v>831_AUSKRJPN</v>
      </c>
      <c r="Q239" s="79" t="s">
        <v>396</v>
      </c>
      <c r="R239" s="67" t="s">
        <v>59</v>
      </c>
      <c r="S239" s="157" t="s">
        <v>10</v>
      </c>
      <c r="T239" s="79" t="s">
        <v>449</v>
      </c>
      <c r="U239" s="104" t="s">
        <v>816</v>
      </c>
      <c r="V239" s="172" t="s">
        <v>770</v>
      </c>
      <c r="W239" s="129" t="s">
        <v>447</v>
      </c>
      <c r="X239" s="64" t="s">
        <v>521</v>
      </c>
      <c r="Y239" s="282" t="s">
        <v>1286</v>
      </c>
      <c r="Z239" s="282" t="s">
        <v>1592</v>
      </c>
      <c r="AA239" s="37"/>
      <c r="AB239" s="131" t="s">
        <v>225</v>
      </c>
      <c r="AC239" s="229" t="s">
        <v>1336</v>
      </c>
      <c r="AD239" s="72" t="s">
        <v>808</v>
      </c>
      <c r="AE239" s="302"/>
      <c r="AF239" s="67"/>
      <c r="AG239" s="67"/>
      <c r="AH239" s="72" t="s">
        <v>1337</v>
      </c>
      <c r="AI239" s="24"/>
      <c r="AJ239" s="24"/>
      <c r="AK239" s="24"/>
      <c r="AL239" s="24"/>
    </row>
    <row r="240" spans="1:38" ht="66">
      <c r="A240" s="51">
        <v>231</v>
      </c>
      <c r="B240" s="81" t="str">
        <f t="shared" si="3"/>
        <v>00E7</v>
      </c>
      <c r="C240" s="94" t="s">
        <v>1338</v>
      </c>
      <c r="D240" s="94" t="s">
        <v>104</v>
      </c>
      <c r="E240" s="314" t="s">
        <v>1233</v>
      </c>
      <c r="F240" s="169" t="s">
        <v>1048</v>
      </c>
      <c r="G240" s="169" t="s">
        <v>347</v>
      </c>
      <c r="H240" s="55" t="s">
        <v>637</v>
      </c>
      <c r="I240" s="79" t="s">
        <v>815</v>
      </c>
      <c r="J240" s="127" t="s">
        <v>1</v>
      </c>
      <c r="K240" s="79" t="s">
        <v>750</v>
      </c>
      <c r="L240" s="79" t="s">
        <v>500</v>
      </c>
      <c r="M240" s="55" t="s">
        <v>1617</v>
      </c>
      <c r="N240" s="282" t="s">
        <v>1215</v>
      </c>
      <c r="O240" s="238" t="s">
        <v>54</v>
      </c>
      <c r="P240" s="64" t="str">
        <f ca="1">IF(AND(OR(INDIRECT("K" &amp; ROW())="NAV-Premium",INDIRECT("K" &amp; ROW())="DA-Premium"),INDIRECT("M" &amp; ROW())="PARTITION_SCHEMA128__NavPiviJpn", INDIRECT("O" &amp; ROW())="JPN_SDB"),'SDB vs GN'!$B$41, IF(INDIRECT("H" &amp; ROW())="Chenc",'SDB vs GN'!$B$40, VLOOKUP(INDIRECT("O" &amp; ROW()),'SDB vs GN'!$A$16:$B$38,2,FALSE)))</f>
        <v>731_EUR</v>
      </c>
      <c r="Q240" s="79" t="s">
        <v>396</v>
      </c>
      <c r="R240" s="67" t="s">
        <v>59</v>
      </c>
      <c r="S240" s="157" t="s">
        <v>10</v>
      </c>
      <c r="T240" s="79" t="s">
        <v>449</v>
      </c>
      <c r="U240" s="104" t="s">
        <v>816</v>
      </c>
      <c r="V240" s="172" t="s">
        <v>547</v>
      </c>
      <c r="W240" s="129" t="s">
        <v>447</v>
      </c>
      <c r="X240" s="64" t="s">
        <v>521</v>
      </c>
      <c r="Y240" s="282" t="s">
        <v>1286</v>
      </c>
      <c r="Z240" s="282" t="s">
        <v>1592</v>
      </c>
      <c r="AA240" s="37"/>
      <c r="AB240" s="154" t="s">
        <v>225</v>
      </c>
      <c r="AC240" s="229" t="s">
        <v>1339</v>
      </c>
      <c r="AD240" s="72" t="s">
        <v>808</v>
      </c>
      <c r="AE240" s="302"/>
      <c r="AF240" s="67"/>
      <c r="AG240" s="67"/>
      <c r="AH240" s="72" t="s">
        <v>1340</v>
      </c>
      <c r="AI240" s="24"/>
      <c r="AJ240" s="24"/>
      <c r="AK240" s="24"/>
      <c r="AL240" s="24"/>
    </row>
    <row r="241" spans="1:38" ht="52.8">
      <c r="A241" s="51">
        <v>232</v>
      </c>
      <c r="B241" s="81" t="str">
        <f t="shared" si="3"/>
        <v>00E8</v>
      </c>
      <c r="C241" s="94" t="s">
        <v>775</v>
      </c>
      <c r="D241" s="94" t="s">
        <v>104</v>
      </c>
      <c r="E241" s="314" t="s">
        <v>1233</v>
      </c>
      <c r="F241" s="169" t="s">
        <v>1048</v>
      </c>
      <c r="G241" s="169" t="s">
        <v>347</v>
      </c>
      <c r="H241" s="55" t="s">
        <v>637</v>
      </c>
      <c r="I241" s="79" t="s">
        <v>815</v>
      </c>
      <c r="J241" s="127" t="s">
        <v>1</v>
      </c>
      <c r="K241" s="79" t="s">
        <v>750</v>
      </c>
      <c r="L241" s="79" t="s">
        <v>500</v>
      </c>
      <c r="M241" s="55" t="s">
        <v>1618</v>
      </c>
      <c r="N241" s="282" t="s">
        <v>1215</v>
      </c>
      <c r="O241" s="238" t="s">
        <v>826</v>
      </c>
      <c r="P241" s="64" t="str">
        <f ca="1">IF(AND(OR(INDIRECT("K" &amp; ROW())="NAV-Premium",INDIRECT("K" &amp; ROW())="DA-Premium"),INDIRECT("M" &amp; ROW())="PARTITION_SCHEMA128__NavPiviJpn", INDIRECT("O" &amp; ROW())="JPN_SDB"),'SDB vs GN'!$B$41, IF(INDIRECT("H" &amp; ROW())="Chenc",'SDB vs GN'!$B$40, VLOOKUP(INDIRECT("O" &amp; ROW()),'SDB vs GN'!$A$16:$B$38,2,FALSE)))</f>
        <v>731_EUR</v>
      </c>
      <c r="Q241" s="79" t="s">
        <v>396</v>
      </c>
      <c r="R241" s="67" t="s">
        <v>59</v>
      </c>
      <c r="S241" s="157" t="s">
        <v>10</v>
      </c>
      <c r="T241" s="79" t="s">
        <v>449</v>
      </c>
      <c r="U241" s="104" t="s">
        <v>816</v>
      </c>
      <c r="V241" s="172" t="s">
        <v>552</v>
      </c>
      <c r="W241" s="129" t="s">
        <v>447</v>
      </c>
      <c r="X241" s="64" t="s">
        <v>521</v>
      </c>
      <c r="Y241" s="282" t="s">
        <v>1286</v>
      </c>
      <c r="Z241" s="282" t="s">
        <v>1592</v>
      </c>
      <c r="AA241" s="37"/>
      <c r="AB241" s="131" t="s">
        <v>244</v>
      </c>
      <c r="AC241" s="229" t="s">
        <v>1098</v>
      </c>
      <c r="AD241" s="72" t="s">
        <v>808</v>
      </c>
      <c r="AE241" s="302"/>
      <c r="AF241" s="67"/>
      <c r="AG241" s="67"/>
      <c r="AH241" s="72" t="s">
        <v>1099</v>
      </c>
      <c r="AI241" s="24"/>
      <c r="AJ241" s="24"/>
      <c r="AK241" s="24"/>
      <c r="AL241" s="24"/>
    </row>
    <row r="242" spans="1:38" ht="52.8">
      <c r="A242" s="51">
        <v>233</v>
      </c>
      <c r="B242" s="81" t="str">
        <f t="shared" si="3"/>
        <v>00E9</v>
      </c>
      <c r="C242" s="94" t="s">
        <v>776</v>
      </c>
      <c r="D242" s="94" t="s">
        <v>104</v>
      </c>
      <c r="E242" s="314" t="s">
        <v>1233</v>
      </c>
      <c r="F242" s="169" t="s">
        <v>1048</v>
      </c>
      <c r="G242" s="169" t="s">
        <v>347</v>
      </c>
      <c r="H242" s="55" t="s">
        <v>637</v>
      </c>
      <c r="I242" s="79" t="s">
        <v>815</v>
      </c>
      <c r="J242" s="127" t="s">
        <v>1</v>
      </c>
      <c r="K242" s="79" t="s">
        <v>750</v>
      </c>
      <c r="L242" s="79" t="s">
        <v>500</v>
      </c>
      <c r="M242" s="55" t="s">
        <v>1618</v>
      </c>
      <c r="N242" s="282" t="s">
        <v>1215</v>
      </c>
      <c r="O242" s="238" t="s">
        <v>84</v>
      </c>
      <c r="P242" s="64" t="str">
        <f ca="1">IF(AND(OR(INDIRECT("K" &amp; ROW())="NAV-Premium",INDIRECT("K" &amp; ROW())="DA-Premium"),INDIRECT("M" &amp; ROW())="PARTITION_SCHEMA128__NavPiviJpn", INDIRECT("O" &amp; ROW())="JPN_SDB"),'SDB vs GN'!$B$41, IF(INDIRECT("H" &amp; ROW())="Chenc",'SDB vs GN'!$B$40, VLOOKUP(INDIRECT("O" &amp; ROW()),'SDB vs GN'!$A$16:$B$38,2,FALSE)))</f>
        <v>727_NAM</v>
      </c>
      <c r="Q242" s="79" t="s">
        <v>396</v>
      </c>
      <c r="R242" s="67" t="s">
        <v>59</v>
      </c>
      <c r="S242" s="157" t="s">
        <v>10</v>
      </c>
      <c r="T242" s="79" t="s">
        <v>449</v>
      </c>
      <c r="U242" s="104" t="s">
        <v>816</v>
      </c>
      <c r="V242" s="172" t="s">
        <v>529</v>
      </c>
      <c r="W242" s="129" t="s">
        <v>447</v>
      </c>
      <c r="X242" s="64" t="s">
        <v>521</v>
      </c>
      <c r="Y242" s="282" t="s">
        <v>1286</v>
      </c>
      <c r="Z242" s="282" t="s">
        <v>1592</v>
      </c>
      <c r="AA242" s="37"/>
      <c r="AB242" s="131" t="s">
        <v>244</v>
      </c>
      <c r="AC242" s="229" t="s">
        <v>1100</v>
      </c>
      <c r="AD242" s="72" t="s">
        <v>808</v>
      </c>
      <c r="AE242" s="302"/>
      <c r="AF242" s="67"/>
      <c r="AG242" s="67"/>
      <c r="AH242" s="72" t="s">
        <v>1101</v>
      </c>
      <c r="AI242" s="24"/>
      <c r="AJ242" s="24"/>
      <c r="AK242" s="24"/>
      <c r="AL242" s="24"/>
    </row>
    <row r="243" spans="1:38" ht="66">
      <c r="A243" s="51">
        <v>234</v>
      </c>
      <c r="B243" s="81" t="str">
        <f t="shared" si="3"/>
        <v>00EA</v>
      </c>
      <c r="C243" s="135" t="s">
        <v>1341</v>
      </c>
      <c r="D243" s="94" t="s">
        <v>104</v>
      </c>
      <c r="E243" s="314" t="s">
        <v>1233</v>
      </c>
      <c r="F243" s="169" t="s">
        <v>1048</v>
      </c>
      <c r="G243" s="169" t="s">
        <v>347</v>
      </c>
      <c r="H243" s="55" t="s">
        <v>637</v>
      </c>
      <c r="I243" s="79" t="s">
        <v>815</v>
      </c>
      <c r="J243" s="127" t="s">
        <v>1</v>
      </c>
      <c r="K243" s="79" t="s">
        <v>750</v>
      </c>
      <c r="L243" s="79" t="s">
        <v>500</v>
      </c>
      <c r="M243" s="55" t="s">
        <v>1618</v>
      </c>
      <c r="N243" s="282" t="s">
        <v>1215</v>
      </c>
      <c r="O243" s="238" t="s">
        <v>126</v>
      </c>
      <c r="P243" s="64" t="str">
        <f ca="1">IF(AND(OR(INDIRECT("K" &amp; ROW())="NAV-Premium",INDIRECT("K" &amp; ROW())="DA-Premium"),INDIRECT("M" &amp; ROW())="PARTITION_SCHEMA128__NavPiviJpn", INDIRECT("O" &amp; ROW())="JPN_SDB"),'SDB vs GN'!$B$41, IF(INDIRECT("H" &amp; ROW())="Chenc",'SDB vs GN'!$B$40, VLOOKUP(INDIRECT("O" &amp; ROW()),'SDB vs GN'!$A$16:$B$38,2,FALSE)))</f>
        <v>735_LA</v>
      </c>
      <c r="Q243" s="79" t="s">
        <v>396</v>
      </c>
      <c r="R243" s="67" t="s">
        <v>59</v>
      </c>
      <c r="S243" s="157" t="s">
        <v>10</v>
      </c>
      <c r="T243" s="79" t="s">
        <v>449</v>
      </c>
      <c r="U243" s="104" t="s">
        <v>816</v>
      </c>
      <c r="V243" s="172" t="s">
        <v>542</v>
      </c>
      <c r="W243" s="129" t="s">
        <v>447</v>
      </c>
      <c r="X243" s="64" t="s">
        <v>521</v>
      </c>
      <c r="Y243" s="282" t="s">
        <v>1286</v>
      </c>
      <c r="Z243" s="282" t="s">
        <v>1592</v>
      </c>
      <c r="AA243" s="37"/>
      <c r="AB243" s="131" t="s">
        <v>244</v>
      </c>
      <c r="AC243" s="229" t="s">
        <v>1342</v>
      </c>
      <c r="AD243" s="72" t="s">
        <v>808</v>
      </c>
      <c r="AE243" s="302"/>
      <c r="AF243" s="67"/>
      <c r="AG243" s="67"/>
      <c r="AH243" s="67" t="s">
        <v>1343</v>
      </c>
      <c r="AI243" s="24"/>
      <c r="AJ243" s="24"/>
      <c r="AK243" s="24"/>
      <c r="AL243" s="24"/>
    </row>
    <row r="244" spans="1:38" ht="184.8">
      <c r="A244" s="51">
        <v>235</v>
      </c>
      <c r="B244" s="81" t="str">
        <f t="shared" si="3"/>
        <v>00EB</v>
      </c>
      <c r="C244" s="94" t="s">
        <v>1432</v>
      </c>
      <c r="D244" s="94" t="s">
        <v>704</v>
      </c>
      <c r="E244" s="314" t="s">
        <v>1233</v>
      </c>
      <c r="F244" s="178" t="s">
        <v>1044</v>
      </c>
      <c r="G244" s="178" t="s">
        <v>345</v>
      </c>
      <c r="H244" s="55" t="s">
        <v>637</v>
      </c>
      <c r="I244" s="79" t="s">
        <v>815</v>
      </c>
      <c r="J244" s="112" t="s">
        <v>0</v>
      </c>
      <c r="K244" s="55" t="s">
        <v>452</v>
      </c>
      <c r="L244" s="100" t="s">
        <v>1271</v>
      </c>
      <c r="M244" s="55" t="s">
        <v>256</v>
      </c>
      <c r="N244" s="282" t="s">
        <v>1215</v>
      </c>
      <c r="O244" s="238" t="s">
        <v>54</v>
      </c>
      <c r="P244" s="64" t="str">
        <f ca="1">IF(AND(OR(INDIRECT("K" &amp; ROW())="NAV-Premium",INDIRECT("K" &amp; ROW())="DA-Premium"),INDIRECT("M" &amp; ROW())="PARTITION_SCHEMA128__NavPiviJpn", INDIRECT("O" &amp; ROW())="JPN_SDB"),'SDB vs GN'!$B$41, IF(INDIRECT("H" &amp; ROW())="Chenc",'SDB vs GN'!$B$40, VLOOKUP(INDIRECT("O" &amp; ROW()),'SDB vs GN'!$A$16:$B$38,2,FALSE)))</f>
        <v>731_EUR</v>
      </c>
      <c r="Q244" s="79" t="s">
        <v>396</v>
      </c>
      <c r="R244" s="64" t="s">
        <v>61</v>
      </c>
      <c r="S244" s="157" t="s">
        <v>10</v>
      </c>
      <c r="T244" s="79" t="s">
        <v>449</v>
      </c>
      <c r="U244" s="104" t="s">
        <v>816</v>
      </c>
      <c r="V244" s="173" t="s">
        <v>1130</v>
      </c>
      <c r="W244" s="129" t="s">
        <v>447</v>
      </c>
      <c r="X244" s="64" t="s">
        <v>521</v>
      </c>
      <c r="Y244" s="282" t="s">
        <v>1286</v>
      </c>
      <c r="Z244" s="282" t="s">
        <v>1592</v>
      </c>
      <c r="AA244" s="37"/>
      <c r="AB244" s="131" t="s">
        <v>225</v>
      </c>
      <c r="AC244" s="229" t="s">
        <v>1587</v>
      </c>
      <c r="AD244" s="72" t="s">
        <v>808</v>
      </c>
      <c r="AE244" s="302"/>
      <c r="AF244" s="194"/>
      <c r="AG244" s="194"/>
      <c r="AH244" s="67" t="s">
        <v>2360</v>
      </c>
      <c r="AI244" s="24"/>
      <c r="AJ244" s="24"/>
      <c r="AK244" s="24"/>
      <c r="AL244" s="24"/>
    </row>
    <row r="245" spans="1:38" ht="39.6">
      <c r="A245" s="51">
        <v>236</v>
      </c>
      <c r="B245" s="81" t="str">
        <f t="shared" si="3"/>
        <v>00EC</v>
      </c>
      <c r="C245" s="94" t="s">
        <v>1433</v>
      </c>
      <c r="D245" s="94" t="s">
        <v>704</v>
      </c>
      <c r="E245" s="314" t="s">
        <v>1233</v>
      </c>
      <c r="F245" s="178" t="s">
        <v>1044</v>
      </c>
      <c r="G245" s="178" t="s">
        <v>345</v>
      </c>
      <c r="H245" s="55" t="s">
        <v>637</v>
      </c>
      <c r="I245" s="79" t="s">
        <v>815</v>
      </c>
      <c r="J245" s="112" t="s">
        <v>0</v>
      </c>
      <c r="K245" s="55" t="s">
        <v>452</v>
      </c>
      <c r="L245" s="100" t="s">
        <v>1271</v>
      </c>
      <c r="M245" s="55" t="s">
        <v>256</v>
      </c>
      <c r="N245" s="282" t="s">
        <v>1215</v>
      </c>
      <c r="O245" s="238" t="s">
        <v>54</v>
      </c>
      <c r="P245" s="64" t="str">
        <f ca="1">IF(AND(OR(INDIRECT("K" &amp; ROW())="NAV-Premium",INDIRECT("K" &amp; ROW())="DA-Premium"),INDIRECT("M" &amp; ROW())="PARTITION_SCHEMA128__NavPiviJpn", INDIRECT("O" &amp; ROW())="JPN_SDB"),'SDB vs GN'!$B$41, IF(INDIRECT("H" &amp; ROW())="Chenc",'SDB vs GN'!$B$40, VLOOKUP(INDIRECT("O" &amp; ROW()),'SDB vs GN'!$A$16:$B$38,2,FALSE)))</f>
        <v>731_EUR</v>
      </c>
      <c r="Q245" s="79" t="s">
        <v>396</v>
      </c>
      <c r="R245" s="64" t="s">
        <v>61</v>
      </c>
      <c r="S245" s="157" t="s">
        <v>10</v>
      </c>
      <c r="T245" s="79" t="s">
        <v>449</v>
      </c>
      <c r="U245" s="104" t="s">
        <v>816</v>
      </c>
      <c r="V245" s="173" t="s">
        <v>1130</v>
      </c>
      <c r="W245" s="129" t="s">
        <v>447</v>
      </c>
      <c r="X245" s="64" t="s">
        <v>521</v>
      </c>
      <c r="Y245" s="282" t="s">
        <v>1286</v>
      </c>
      <c r="Z245" s="282" t="s">
        <v>1592</v>
      </c>
      <c r="AA245" s="37"/>
      <c r="AB245" s="154" t="s">
        <v>225</v>
      </c>
      <c r="AC245" s="229" t="s">
        <v>1010</v>
      </c>
      <c r="AD245" s="72" t="s">
        <v>808</v>
      </c>
      <c r="AE245" s="302"/>
      <c r="AF245" s="194"/>
      <c r="AG245" s="194"/>
      <c r="AH245" s="67" t="s">
        <v>2361</v>
      </c>
      <c r="AI245" s="24"/>
      <c r="AJ245" s="24"/>
      <c r="AK245" s="24"/>
      <c r="AL245" s="24"/>
    </row>
    <row r="246" spans="1:38">
      <c r="A246" s="51">
        <v>237</v>
      </c>
      <c r="B246" s="81" t="str">
        <f t="shared" si="3"/>
        <v>00ED</v>
      </c>
      <c r="C246" s="94" t="s">
        <v>804</v>
      </c>
      <c r="D246" s="94" t="s">
        <v>704</v>
      </c>
      <c r="E246" s="314" t="s">
        <v>1233</v>
      </c>
      <c r="F246" s="178" t="s">
        <v>1044</v>
      </c>
      <c r="G246" s="178" t="s">
        <v>345</v>
      </c>
      <c r="H246" s="55" t="s">
        <v>637</v>
      </c>
      <c r="I246" s="79" t="s">
        <v>815</v>
      </c>
      <c r="J246" s="112" t="s">
        <v>0</v>
      </c>
      <c r="K246" s="55" t="s">
        <v>452</v>
      </c>
      <c r="L246" s="158" t="s">
        <v>499</v>
      </c>
      <c r="M246" s="55" t="s">
        <v>254</v>
      </c>
      <c r="N246" s="282" t="s">
        <v>1215</v>
      </c>
      <c r="O246" s="238" t="s">
        <v>97</v>
      </c>
      <c r="P246" s="64" t="str">
        <f ca="1">IF(AND(OR(INDIRECT("K" &amp; ROW())="NAV-Premium",INDIRECT("K" &amp; ROW())="DA-Premium"),INDIRECT("M" &amp; ROW())="PARTITION_SCHEMA128__NavPiviJpn", INDIRECT("O" &amp; ROW())="JPN_SDB"),'SDB vs GN'!$B$41, IF(INDIRECT("H" &amp; ROW())="Chenc",'SDB vs GN'!$B$40, VLOOKUP(INDIRECT("O" &amp; ROW()),'SDB vs GN'!$A$16:$B$38,2,FALSE)))</f>
        <v>734_CN_831_AUSKRJPN</v>
      </c>
      <c r="Q246" s="79" t="s">
        <v>396</v>
      </c>
      <c r="R246" s="67" t="s">
        <v>59</v>
      </c>
      <c r="S246" s="157" t="s">
        <v>10</v>
      </c>
      <c r="T246" s="79" t="s">
        <v>449</v>
      </c>
      <c r="U246" s="104" t="s">
        <v>816</v>
      </c>
      <c r="V246" s="173" t="s">
        <v>786</v>
      </c>
      <c r="W246" s="129" t="s">
        <v>447</v>
      </c>
      <c r="X246" s="64" t="s">
        <v>522</v>
      </c>
      <c r="Y246" s="282" t="s">
        <v>1286</v>
      </c>
      <c r="Z246" s="282" t="s">
        <v>1592</v>
      </c>
      <c r="AA246" s="37"/>
      <c r="AB246" s="131" t="s">
        <v>225</v>
      </c>
      <c r="AC246" s="229" t="s">
        <v>782</v>
      </c>
      <c r="AD246" s="72" t="s">
        <v>808</v>
      </c>
      <c r="AE246" s="302"/>
      <c r="AF246" s="194"/>
      <c r="AG246" s="194"/>
      <c r="AH246" s="72" t="s">
        <v>793</v>
      </c>
      <c r="AI246" s="24"/>
      <c r="AJ246" s="24"/>
      <c r="AK246" s="24"/>
      <c r="AL246" s="24"/>
    </row>
    <row r="247" spans="1:38">
      <c r="A247" s="51">
        <v>238</v>
      </c>
      <c r="B247" s="81" t="str">
        <f t="shared" si="3"/>
        <v>00EE</v>
      </c>
      <c r="C247" s="94" t="s">
        <v>800</v>
      </c>
      <c r="D247" s="94" t="s">
        <v>136</v>
      </c>
      <c r="E247" s="314" t="s">
        <v>1233</v>
      </c>
      <c r="F247" s="177" t="s">
        <v>1046</v>
      </c>
      <c r="G247" s="177" t="s">
        <v>344</v>
      </c>
      <c r="H247" s="55" t="s">
        <v>637</v>
      </c>
      <c r="I247" s="94" t="s">
        <v>4</v>
      </c>
      <c r="J247" s="55" t="s">
        <v>0</v>
      </c>
      <c r="K247" s="55" t="s">
        <v>451</v>
      </c>
      <c r="L247" s="158" t="s">
        <v>499</v>
      </c>
      <c r="M247" s="168" t="s">
        <v>255</v>
      </c>
      <c r="N247" s="282" t="s">
        <v>1215</v>
      </c>
      <c r="O247" s="238" t="s">
        <v>827</v>
      </c>
      <c r="P247" s="64" t="str">
        <f ca="1">IF(AND(OR(INDIRECT("K" &amp; ROW())="NAV-Premium",INDIRECT("K" &amp; ROW())="DA-Premium"),INDIRECT("M" &amp; ROW())="PARTITION_SCHEMA128__NavPiviJpn", INDIRECT("O" &amp; ROW())="JPN_SDB"),'SDB vs GN'!$B$41, IF(INDIRECT("H" &amp; ROW())="Chenc",'SDB vs GN'!$B$40, VLOOKUP(INDIRECT("O" &amp; ROW()),'SDB vs GN'!$A$16:$B$38,2,FALSE)))</f>
        <v>734_CN_831_AUSKRJPN</v>
      </c>
      <c r="Q247" s="79" t="s">
        <v>396</v>
      </c>
      <c r="R247" s="67" t="s">
        <v>59</v>
      </c>
      <c r="S247" s="157" t="s">
        <v>10</v>
      </c>
      <c r="T247" s="79" t="s">
        <v>449</v>
      </c>
      <c r="U247" s="104" t="s">
        <v>816</v>
      </c>
      <c r="V247" s="173" t="s">
        <v>7</v>
      </c>
      <c r="W247" s="129" t="s">
        <v>2184</v>
      </c>
      <c r="X247" s="64" t="s">
        <v>522</v>
      </c>
      <c r="Y247" s="282" t="s">
        <v>1286</v>
      </c>
      <c r="Z247" s="282" t="s">
        <v>1592</v>
      </c>
      <c r="AA247" s="37"/>
      <c r="AB247" s="131" t="s">
        <v>225</v>
      </c>
      <c r="AC247" s="229" t="s">
        <v>783</v>
      </c>
      <c r="AD247" s="72" t="s">
        <v>808</v>
      </c>
      <c r="AE247" s="302"/>
      <c r="AF247" s="194"/>
      <c r="AG247" s="194"/>
      <c r="AH247" s="72" t="s">
        <v>794</v>
      </c>
      <c r="AI247" s="24"/>
      <c r="AJ247" s="24"/>
      <c r="AK247" s="24"/>
      <c r="AL247" s="24"/>
    </row>
    <row r="248" spans="1:38">
      <c r="A248" s="51">
        <v>239</v>
      </c>
      <c r="B248" s="81" t="str">
        <f t="shared" si="3"/>
        <v>00EF</v>
      </c>
      <c r="C248" s="94" t="s">
        <v>1584</v>
      </c>
      <c r="D248" s="94" t="s">
        <v>704</v>
      </c>
      <c r="E248" s="314" t="s">
        <v>1233</v>
      </c>
      <c r="F248" s="178" t="s">
        <v>1044</v>
      </c>
      <c r="G248" s="178" t="s">
        <v>345</v>
      </c>
      <c r="H248" s="55" t="s">
        <v>637</v>
      </c>
      <c r="I248" s="79" t="s">
        <v>815</v>
      </c>
      <c r="J248" s="112" t="s">
        <v>0</v>
      </c>
      <c r="K248" s="55" t="s">
        <v>452</v>
      </c>
      <c r="L248" s="158" t="s">
        <v>499</v>
      </c>
      <c r="M248" s="55" t="s">
        <v>254</v>
      </c>
      <c r="N248" s="282" t="s">
        <v>1215</v>
      </c>
      <c r="O248" s="238" t="s">
        <v>73</v>
      </c>
      <c r="P248" s="64" t="str">
        <f ca="1">IF(AND(OR(INDIRECT("K" &amp; ROW())="NAV-Premium",INDIRECT("K" &amp; ROW())="DA-Premium"),INDIRECT("M" &amp; ROW())="PARTITION_SCHEMA128__NavPiviJpn", INDIRECT("O" &amp; ROW())="JPN_SDB"),'SDB vs GN'!$B$41, IF(INDIRECT("H" &amp; ROW())="Chenc",'SDB vs GN'!$B$40, VLOOKUP(INDIRECT("O" &amp; ROW()),'SDB vs GN'!$A$16:$B$38,2,FALSE)))</f>
        <v>731_EUR</v>
      </c>
      <c r="Q248" s="79" t="s">
        <v>396</v>
      </c>
      <c r="R248" s="67" t="s">
        <v>59</v>
      </c>
      <c r="S248" s="157" t="s">
        <v>10</v>
      </c>
      <c r="T248" s="79" t="s">
        <v>449</v>
      </c>
      <c r="U248" s="104" t="s">
        <v>816</v>
      </c>
      <c r="V248" s="357" t="s">
        <v>787</v>
      </c>
      <c r="W248" s="129" t="s">
        <v>447</v>
      </c>
      <c r="X248" s="64" t="s">
        <v>522</v>
      </c>
      <c r="Y248" s="282" t="s">
        <v>1286</v>
      </c>
      <c r="Z248" s="282" t="s">
        <v>1592</v>
      </c>
      <c r="AA248" s="37"/>
      <c r="AB248" s="154" t="s">
        <v>225</v>
      </c>
      <c r="AC248" s="229" t="s">
        <v>784</v>
      </c>
      <c r="AD248" s="72" t="s">
        <v>808</v>
      </c>
      <c r="AE248" s="302"/>
      <c r="AF248" s="194"/>
      <c r="AG248" s="194"/>
      <c r="AH248" s="72" t="s">
        <v>795</v>
      </c>
      <c r="AI248" s="24"/>
      <c r="AJ248" s="24"/>
      <c r="AK248" s="24"/>
      <c r="AL248" s="24"/>
    </row>
    <row r="249" spans="1:38" ht="26.4">
      <c r="A249" s="51">
        <v>240</v>
      </c>
      <c r="B249" s="81" t="str">
        <f t="shared" si="3"/>
        <v>00F0</v>
      </c>
      <c r="C249" s="94" t="s">
        <v>1103</v>
      </c>
      <c r="D249" s="94" t="s">
        <v>136</v>
      </c>
      <c r="E249" s="314" t="s">
        <v>1233</v>
      </c>
      <c r="F249" s="177" t="s">
        <v>1046</v>
      </c>
      <c r="G249" s="177" t="s">
        <v>344</v>
      </c>
      <c r="H249" s="55" t="s">
        <v>637</v>
      </c>
      <c r="I249" s="94" t="s">
        <v>4</v>
      </c>
      <c r="J249" s="112" t="s">
        <v>0</v>
      </c>
      <c r="K249" s="55" t="s">
        <v>451</v>
      </c>
      <c r="L249" s="158" t="s">
        <v>499</v>
      </c>
      <c r="M249" s="168" t="s">
        <v>255</v>
      </c>
      <c r="N249" s="282" t="s">
        <v>1215</v>
      </c>
      <c r="O249" s="239" t="s">
        <v>828</v>
      </c>
      <c r="P249" s="64" t="str">
        <f ca="1">IF(AND(OR(INDIRECT("K" &amp; ROW())="NAV-Premium",INDIRECT("K" &amp; ROW())="DA-Premium"),INDIRECT("M" &amp; ROW())="PARTITION_SCHEMA128__NavPiviJpn", INDIRECT("O" &amp; ROW())="JPN_SDB"),'SDB vs GN'!$B$41, IF(INDIRECT("H" &amp; ROW())="Chenc",'SDB vs GN'!$B$40, VLOOKUP(INDIRECT("O" &amp; ROW()),'SDB vs GN'!$A$16:$B$38,2,FALSE)))</f>
        <v>735_LA_831_AUSKRJPN</v>
      </c>
      <c r="Q249" s="79" t="s">
        <v>396</v>
      </c>
      <c r="R249" s="67" t="s">
        <v>59</v>
      </c>
      <c r="S249" s="157" t="s">
        <v>10</v>
      </c>
      <c r="T249" s="79" t="s">
        <v>449</v>
      </c>
      <c r="U249" s="104" t="s">
        <v>816</v>
      </c>
      <c r="V249" s="173" t="s">
        <v>7</v>
      </c>
      <c r="W249" s="129" t="s">
        <v>2184</v>
      </c>
      <c r="X249" s="64" t="s">
        <v>522</v>
      </c>
      <c r="Y249" s="282" t="s">
        <v>1286</v>
      </c>
      <c r="Z249" s="282" t="s">
        <v>1592</v>
      </c>
      <c r="AA249" s="37"/>
      <c r="AB249" s="131" t="s">
        <v>225</v>
      </c>
      <c r="AC249" s="229" t="s">
        <v>1104</v>
      </c>
      <c r="AD249" s="72" t="s">
        <v>808</v>
      </c>
      <c r="AE249" s="302"/>
      <c r="AF249" s="194"/>
      <c r="AG249" s="194"/>
      <c r="AH249" s="72" t="s">
        <v>1105</v>
      </c>
      <c r="AI249" s="24"/>
      <c r="AJ249" s="24"/>
      <c r="AK249" s="24"/>
      <c r="AL249" s="24"/>
    </row>
    <row r="250" spans="1:38" ht="264">
      <c r="A250" s="51">
        <v>241</v>
      </c>
      <c r="B250" s="81" t="str">
        <f t="shared" si="3"/>
        <v>00F1</v>
      </c>
      <c r="C250" s="94" t="s">
        <v>1420</v>
      </c>
      <c r="D250" s="94" t="s">
        <v>704</v>
      </c>
      <c r="E250" s="314" t="s">
        <v>1233</v>
      </c>
      <c r="F250" s="178" t="s">
        <v>1044</v>
      </c>
      <c r="G250" s="178" t="s">
        <v>345</v>
      </c>
      <c r="H250" s="55" t="s">
        <v>637</v>
      </c>
      <c r="I250" s="79" t="s">
        <v>815</v>
      </c>
      <c r="J250" s="55" t="s">
        <v>0</v>
      </c>
      <c r="K250" s="55" t="s">
        <v>452</v>
      </c>
      <c r="L250" s="158" t="s">
        <v>499</v>
      </c>
      <c r="M250" s="55" t="s">
        <v>257</v>
      </c>
      <c r="N250" s="282" t="s">
        <v>1215</v>
      </c>
      <c r="O250" s="238" t="s">
        <v>84</v>
      </c>
      <c r="P250" s="64" t="str">
        <f ca="1">IF(AND(OR(INDIRECT("K" &amp; ROW())="NAV-Premium",INDIRECT("K" &amp; ROW())="DA-Premium"),INDIRECT("M" &amp; ROW())="PARTITION_SCHEMA128__NavPiviJpn", INDIRECT("O" &amp; ROW())="JPN_SDB"),'SDB vs GN'!$B$41, IF(INDIRECT("H" &amp; ROW())="Chenc",'SDB vs GN'!$B$40, VLOOKUP(INDIRECT("O" &amp; ROW()),'SDB vs GN'!$A$16:$B$38,2,FALSE)))</f>
        <v>727_NAM</v>
      </c>
      <c r="Q250" s="79" t="s">
        <v>396</v>
      </c>
      <c r="R250" s="64" t="s">
        <v>60</v>
      </c>
      <c r="S250" s="157" t="s">
        <v>10</v>
      </c>
      <c r="T250" s="64" t="s">
        <v>450</v>
      </c>
      <c r="U250" s="104" t="s">
        <v>816</v>
      </c>
      <c r="V250" s="173" t="s">
        <v>1131</v>
      </c>
      <c r="W250" s="129" t="s">
        <v>447</v>
      </c>
      <c r="X250" s="64" t="s">
        <v>521</v>
      </c>
      <c r="Y250" s="282" t="s">
        <v>1286</v>
      </c>
      <c r="Z250" s="282" t="s">
        <v>1592</v>
      </c>
      <c r="AA250" s="37"/>
      <c r="AB250" s="131" t="s">
        <v>225</v>
      </c>
      <c r="AC250" s="229" t="s">
        <v>1836</v>
      </c>
      <c r="AD250" s="72" t="s">
        <v>808</v>
      </c>
      <c r="AE250" s="302"/>
      <c r="AF250" s="194"/>
      <c r="AG250" s="194"/>
      <c r="AH250" s="72" t="s">
        <v>1835</v>
      </c>
      <c r="AI250" s="24"/>
      <c r="AJ250" s="24"/>
      <c r="AK250" s="24"/>
      <c r="AL250" s="24"/>
    </row>
    <row r="251" spans="1:38" ht="409.6">
      <c r="A251" s="51">
        <v>242</v>
      </c>
      <c r="B251" s="81" t="str">
        <f t="shared" si="3"/>
        <v>00F2</v>
      </c>
      <c r="C251" s="94" t="s">
        <v>1421</v>
      </c>
      <c r="D251" s="94" t="s">
        <v>136</v>
      </c>
      <c r="E251" s="314" t="s">
        <v>1233</v>
      </c>
      <c r="F251" s="177" t="s">
        <v>1046</v>
      </c>
      <c r="G251" s="177" t="s">
        <v>344</v>
      </c>
      <c r="H251" s="55" t="s">
        <v>637</v>
      </c>
      <c r="I251" s="94" t="s">
        <v>4</v>
      </c>
      <c r="J251" s="112" t="s">
        <v>0</v>
      </c>
      <c r="K251" s="55" t="s">
        <v>451</v>
      </c>
      <c r="L251" s="158" t="s">
        <v>499</v>
      </c>
      <c r="M251" s="168" t="s">
        <v>255</v>
      </c>
      <c r="N251" s="282" t="s">
        <v>1215</v>
      </c>
      <c r="O251" s="238" t="s">
        <v>84</v>
      </c>
      <c r="P251" s="64" t="str">
        <f ca="1">IF(AND(OR(INDIRECT("K" &amp; ROW())="NAV-Premium",INDIRECT("K" &amp; ROW())="DA-Premium"),INDIRECT("M" &amp; ROW())="PARTITION_SCHEMA128__NavPiviJpn", INDIRECT("O" &amp; ROW())="JPN_SDB"),'SDB vs GN'!$B$41, IF(INDIRECT("H" &amp; ROW())="Chenc",'SDB vs GN'!$B$40, VLOOKUP(INDIRECT("O" &amp; ROW()),'SDB vs GN'!$A$16:$B$38,2,FALSE)))</f>
        <v>727_NAM</v>
      </c>
      <c r="Q251" s="79" t="s">
        <v>396</v>
      </c>
      <c r="R251" s="67" t="s">
        <v>59</v>
      </c>
      <c r="S251" s="157" t="s">
        <v>10</v>
      </c>
      <c r="T251" s="64" t="s">
        <v>450</v>
      </c>
      <c r="U251" s="104" t="s">
        <v>816</v>
      </c>
      <c r="V251" s="173" t="s">
        <v>7</v>
      </c>
      <c r="W251" s="129" t="s">
        <v>2184</v>
      </c>
      <c r="X251" s="64" t="s">
        <v>521</v>
      </c>
      <c r="Y251" s="282" t="s">
        <v>1286</v>
      </c>
      <c r="Z251" s="282" t="s">
        <v>1592</v>
      </c>
      <c r="AA251" s="37"/>
      <c r="AB251" s="154" t="s">
        <v>225</v>
      </c>
      <c r="AC251" s="229" t="s">
        <v>2404</v>
      </c>
      <c r="AD251" s="72" t="s">
        <v>808</v>
      </c>
      <c r="AE251" s="302"/>
      <c r="AF251" s="194"/>
      <c r="AG251" s="194"/>
      <c r="AH251" s="72" t="s">
        <v>2403</v>
      </c>
      <c r="AI251" s="24"/>
      <c r="AJ251" s="24"/>
      <c r="AK251" s="24"/>
      <c r="AL251" s="24"/>
    </row>
    <row r="252" spans="1:38" ht="211.2">
      <c r="A252" s="51">
        <v>243</v>
      </c>
      <c r="B252" s="81" t="str">
        <f t="shared" si="3"/>
        <v>00F3</v>
      </c>
      <c r="C252" s="94" t="s">
        <v>1946</v>
      </c>
      <c r="D252" s="94" t="s">
        <v>704</v>
      </c>
      <c r="E252" s="314" t="s">
        <v>1233</v>
      </c>
      <c r="F252" s="178" t="s">
        <v>1044</v>
      </c>
      <c r="G252" s="178" t="s">
        <v>345</v>
      </c>
      <c r="H252" s="55" t="s">
        <v>637</v>
      </c>
      <c r="I252" s="79" t="s">
        <v>815</v>
      </c>
      <c r="J252" s="112" t="s">
        <v>0</v>
      </c>
      <c r="K252" s="55" t="s">
        <v>452</v>
      </c>
      <c r="L252" s="158" t="s">
        <v>499</v>
      </c>
      <c r="M252" s="55" t="s">
        <v>257</v>
      </c>
      <c r="N252" s="282" t="s">
        <v>1215</v>
      </c>
      <c r="O252" s="238" t="s">
        <v>84</v>
      </c>
      <c r="P252" s="64" t="str">
        <f ca="1">IF(AND(OR(INDIRECT("K" &amp; ROW())="NAV-Premium",INDIRECT("K" &amp; ROW())="DA-Premium"),INDIRECT("M" &amp; ROW())="PARTITION_SCHEMA128__NavPiviJpn", INDIRECT("O" &amp; ROW())="JPN_SDB"),'SDB vs GN'!$B$41, IF(INDIRECT("H" &amp; ROW())="Chenc",'SDB vs GN'!$B$40, VLOOKUP(INDIRECT("O" &amp; ROW()),'SDB vs GN'!$A$16:$B$38,2,FALSE)))</f>
        <v>727_NAM</v>
      </c>
      <c r="Q252" s="79" t="s">
        <v>396</v>
      </c>
      <c r="R252" s="67" t="s">
        <v>59</v>
      </c>
      <c r="S252" s="157" t="s">
        <v>10</v>
      </c>
      <c r="T252" s="64" t="s">
        <v>450</v>
      </c>
      <c r="U252" s="104" t="s">
        <v>816</v>
      </c>
      <c r="V252" s="173" t="s">
        <v>1131</v>
      </c>
      <c r="W252" s="129" t="s">
        <v>447</v>
      </c>
      <c r="X252" s="64" t="s">
        <v>521</v>
      </c>
      <c r="Y252" s="282" t="s">
        <v>1286</v>
      </c>
      <c r="Z252" s="282" t="s">
        <v>1592</v>
      </c>
      <c r="AA252" s="37"/>
      <c r="AB252" s="131" t="s">
        <v>225</v>
      </c>
      <c r="AC252" s="229" t="s">
        <v>2347</v>
      </c>
      <c r="AD252" s="72" t="s">
        <v>808</v>
      </c>
      <c r="AE252" s="302"/>
      <c r="AF252" s="194"/>
      <c r="AG252" s="194"/>
      <c r="AH252" s="72" t="s">
        <v>2348</v>
      </c>
      <c r="AI252" s="24"/>
      <c r="AJ252" s="24"/>
      <c r="AK252" s="24"/>
      <c r="AL252" s="24"/>
    </row>
    <row r="253" spans="1:38" ht="409.6">
      <c r="A253" s="51">
        <v>244</v>
      </c>
      <c r="B253" s="81" t="str">
        <f t="shared" si="3"/>
        <v>00F4</v>
      </c>
      <c r="C253" s="94" t="s">
        <v>1416</v>
      </c>
      <c r="D253" s="94" t="s">
        <v>704</v>
      </c>
      <c r="E253" s="314" t="s">
        <v>1233</v>
      </c>
      <c r="F253" s="178" t="s">
        <v>1044</v>
      </c>
      <c r="G253" s="178" t="s">
        <v>345</v>
      </c>
      <c r="H253" s="55" t="s">
        <v>637</v>
      </c>
      <c r="I253" s="79" t="s">
        <v>815</v>
      </c>
      <c r="J253" s="112" t="s">
        <v>0</v>
      </c>
      <c r="K253" s="55" t="s">
        <v>452</v>
      </c>
      <c r="L253" s="100" t="s">
        <v>1271</v>
      </c>
      <c r="M253" s="55" t="s">
        <v>257</v>
      </c>
      <c r="N253" s="282" t="s">
        <v>1215</v>
      </c>
      <c r="O253" s="238" t="s">
        <v>84</v>
      </c>
      <c r="P253" s="64" t="str">
        <f ca="1">IF(AND(OR(INDIRECT("K" &amp; ROW())="NAV-Premium",INDIRECT("K" &amp; ROW())="DA-Premium"),INDIRECT("M" &amp; ROW())="PARTITION_SCHEMA128__NavPiviJpn", INDIRECT("O" &amp; ROW())="JPN_SDB"),'SDB vs GN'!$B$41, IF(INDIRECT("H" &amp; ROW())="Chenc",'SDB vs GN'!$B$40, VLOOKUP(INDIRECT("O" &amp; ROW()),'SDB vs GN'!$A$16:$B$38,2,FALSE)))</f>
        <v>727_NAM</v>
      </c>
      <c r="Q253" s="79" t="s">
        <v>396</v>
      </c>
      <c r="R253" s="64" t="s">
        <v>60</v>
      </c>
      <c r="S253" s="157" t="s">
        <v>10</v>
      </c>
      <c r="T253" s="64" t="s">
        <v>450</v>
      </c>
      <c r="U253" s="104" t="s">
        <v>816</v>
      </c>
      <c r="V253" s="101" t="s">
        <v>608</v>
      </c>
      <c r="W253" s="129" t="s">
        <v>447</v>
      </c>
      <c r="X253" s="64" t="s">
        <v>521</v>
      </c>
      <c r="Y253" s="282" t="s">
        <v>1286</v>
      </c>
      <c r="Z253" s="282" t="s">
        <v>1592</v>
      </c>
      <c r="AA253" s="37"/>
      <c r="AB253" s="154" t="s">
        <v>225</v>
      </c>
      <c r="AC253" s="226" t="s">
        <v>1940</v>
      </c>
      <c r="AD253" s="72" t="s">
        <v>808</v>
      </c>
      <c r="AE253" s="302"/>
      <c r="AF253" s="194"/>
      <c r="AG253" s="194"/>
      <c r="AH253" s="67" t="s">
        <v>2362</v>
      </c>
      <c r="AI253" s="24"/>
      <c r="AJ253" s="24"/>
      <c r="AK253" s="24"/>
      <c r="AL253" s="24"/>
    </row>
    <row r="254" spans="1:38" ht="250.8">
      <c r="A254" s="51">
        <v>245</v>
      </c>
      <c r="B254" s="81" t="str">
        <f t="shared" si="3"/>
        <v>00F5</v>
      </c>
      <c r="C254" s="94" t="s">
        <v>1943</v>
      </c>
      <c r="D254" s="94" t="s">
        <v>704</v>
      </c>
      <c r="E254" s="314" t="s">
        <v>1233</v>
      </c>
      <c r="F254" s="178" t="s">
        <v>1044</v>
      </c>
      <c r="G254" s="178" t="s">
        <v>345</v>
      </c>
      <c r="H254" s="55" t="s">
        <v>637</v>
      </c>
      <c r="I254" s="79" t="s">
        <v>815</v>
      </c>
      <c r="J254" s="112" t="s">
        <v>0</v>
      </c>
      <c r="K254" s="55" t="s">
        <v>452</v>
      </c>
      <c r="L254" s="100" t="s">
        <v>1271</v>
      </c>
      <c r="M254" s="55" t="s">
        <v>257</v>
      </c>
      <c r="N254" s="282" t="s">
        <v>1215</v>
      </c>
      <c r="O254" s="238" t="s">
        <v>84</v>
      </c>
      <c r="P254" s="64" t="str">
        <f ca="1">IF(AND(OR(INDIRECT("K" &amp; ROW())="NAV-Premium",INDIRECT("K" &amp; ROW())="DA-Premium"),INDIRECT("M" &amp; ROW())="PARTITION_SCHEMA128__NavPiviJpn", INDIRECT("O" &amp; ROW())="JPN_SDB"),'SDB vs GN'!$B$41, IF(INDIRECT("H" &amp; ROW())="Chenc",'SDB vs GN'!$B$40, VLOOKUP(INDIRECT("O" &amp; ROW()),'SDB vs GN'!$A$16:$B$38,2,FALSE)))</f>
        <v>727_NAM</v>
      </c>
      <c r="Q254" s="79" t="s">
        <v>396</v>
      </c>
      <c r="R254" s="67" t="s">
        <v>59</v>
      </c>
      <c r="S254" s="157" t="s">
        <v>10</v>
      </c>
      <c r="T254" s="64" t="s">
        <v>450</v>
      </c>
      <c r="U254" s="104" t="s">
        <v>816</v>
      </c>
      <c r="V254" s="101" t="s">
        <v>608</v>
      </c>
      <c r="W254" s="129" t="s">
        <v>447</v>
      </c>
      <c r="X254" s="64" t="s">
        <v>521</v>
      </c>
      <c r="Y254" s="282" t="s">
        <v>1286</v>
      </c>
      <c r="Z254" s="282" t="s">
        <v>1592</v>
      </c>
      <c r="AA254" s="37"/>
      <c r="AB254" s="131" t="s">
        <v>225</v>
      </c>
      <c r="AC254" s="226" t="s">
        <v>2235</v>
      </c>
      <c r="AD254" s="72" t="s">
        <v>808</v>
      </c>
      <c r="AE254" s="302" t="s">
        <v>2343</v>
      </c>
      <c r="AF254" s="194"/>
      <c r="AG254" s="194"/>
      <c r="AH254" s="67" t="s">
        <v>2236</v>
      </c>
      <c r="AI254" s="24"/>
      <c r="AJ254" s="24"/>
      <c r="AK254" s="24"/>
      <c r="AL254" s="24"/>
    </row>
    <row r="255" spans="1:38" ht="66">
      <c r="A255" s="51">
        <v>246</v>
      </c>
      <c r="B255" s="81" t="str">
        <f t="shared" si="3"/>
        <v>00F6</v>
      </c>
      <c r="C255" s="94" t="s">
        <v>803</v>
      </c>
      <c r="D255" s="94" t="s">
        <v>704</v>
      </c>
      <c r="E255" s="314" t="s">
        <v>1233</v>
      </c>
      <c r="F255" s="178" t="s">
        <v>1044</v>
      </c>
      <c r="G255" s="178" t="s">
        <v>345</v>
      </c>
      <c r="H255" s="55" t="s">
        <v>637</v>
      </c>
      <c r="I255" s="79" t="s">
        <v>815</v>
      </c>
      <c r="J255" s="112" t="s">
        <v>0</v>
      </c>
      <c r="K255" s="55" t="s">
        <v>452</v>
      </c>
      <c r="L255" s="100" t="s">
        <v>1271</v>
      </c>
      <c r="M255" s="55" t="s">
        <v>254</v>
      </c>
      <c r="N255" s="282" t="s">
        <v>1215</v>
      </c>
      <c r="O255" s="238" t="s">
        <v>97</v>
      </c>
      <c r="P255" s="64" t="str">
        <f ca="1">IF(AND(OR(INDIRECT("K" &amp; ROW())="NAV-Premium",INDIRECT("K" &amp; ROW())="DA-Premium"),INDIRECT("M" &amp; ROW())="PARTITION_SCHEMA128__NavPiviJpn", INDIRECT("O" &amp; ROW())="JPN_SDB"),'SDB vs GN'!$B$41, IF(INDIRECT("H" &amp; ROW())="Chenc",'SDB vs GN'!$B$40, VLOOKUP(INDIRECT("O" &amp; ROW()),'SDB vs GN'!$A$16:$B$38,2,FALSE)))</f>
        <v>734_CN_831_AUSKRJPN</v>
      </c>
      <c r="Q255" s="79" t="s">
        <v>396</v>
      </c>
      <c r="R255" s="67" t="s">
        <v>59</v>
      </c>
      <c r="S255" s="157" t="s">
        <v>10</v>
      </c>
      <c r="T255" s="79" t="s">
        <v>449</v>
      </c>
      <c r="U255" s="104" t="s">
        <v>816</v>
      </c>
      <c r="V255" s="101" t="s">
        <v>614</v>
      </c>
      <c r="W255" s="129" t="s">
        <v>447</v>
      </c>
      <c r="X255" s="64" t="s">
        <v>521</v>
      </c>
      <c r="Y255" s="282" t="s">
        <v>1286</v>
      </c>
      <c r="Z255" s="282" t="s">
        <v>1592</v>
      </c>
      <c r="AA255" s="37"/>
      <c r="AB255" s="154" t="s">
        <v>225</v>
      </c>
      <c r="AC255" s="229" t="s">
        <v>1119</v>
      </c>
      <c r="AD255" s="72" t="s">
        <v>808</v>
      </c>
      <c r="AE255" s="302"/>
      <c r="AF255" s="194"/>
      <c r="AG255" s="194"/>
      <c r="AH255" s="67" t="s">
        <v>1118</v>
      </c>
      <c r="AI255" s="24"/>
      <c r="AJ255" s="24"/>
      <c r="AK255" s="24"/>
      <c r="AL255" s="24"/>
    </row>
    <row r="256" spans="1:38" ht="26.4">
      <c r="A256" s="51">
        <v>247</v>
      </c>
      <c r="B256" s="81" t="str">
        <f t="shared" si="3"/>
        <v>00F7</v>
      </c>
      <c r="C256" s="94" t="s">
        <v>801</v>
      </c>
      <c r="D256" s="94" t="s">
        <v>704</v>
      </c>
      <c r="E256" s="314" t="s">
        <v>1233</v>
      </c>
      <c r="F256" s="178" t="s">
        <v>1044</v>
      </c>
      <c r="G256" s="178" t="s">
        <v>345</v>
      </c>
      <c r="H256" s="55" t="s">
        <v>637</v>
      </c>
      <c r="I256" s="79" t="s">
        <v>815</v>
      </c>
      <c r="J256" s="112" t="s">
        <v>0</v>
      </c>
      <c r="K256" s="55" t="s">
        <v>452</v>
      </c>
      <c r="L256" s="100" t="s">
        <v>1271</v>
      </c>
      <c r="M256" s="55" t="s">
        <v>254</v>
      </c>
      <c r="N256" s="282" t="s">
        <v>1215</v>
      </c>
      <c r="O256" s="238" t="s">
        <v>97</v>
      </c>
      <c r="P256" s="64" t="str">
        <f ca="1">IF(AND(OR(INDIRECT("K" &amp; ROW())="NAV-Premium",INDIRECT("K" &amp; ROW())="DA-Premium"),INDIRECT("M" &amp; ROW())="PARTITION_SCHEMA128__NavPiviJpn", INDIRECT("O" &amp; ROW())="JPN_SDB"),'SDB vs GN'!$B$41, IF(INDIRECT("H" &amp; ROW())="Chenc",'SDB vs GN'!$B$40, VLOOKUP(INDIRECT("O" &amp; ROW()),'SDB vs GN'!$A$16:$B$38,2,FALSE)))</f>
        <v>734_CN_831_AUSKRJPN</v>
      </c>
      <c r="Q256" s="79" t="s">
        <v>396</v>
      </c>
      <c r="R256" s="67" t="s">
        <v>59</v>
      </c>
      <c r="S256" s="157" t="s">
        <v>10</v>
      </c>
      <c r="T256" s="79" t="s">
        <v>449</v>
      </c>
      <c r="U256" s="104" t="s">
        <v>816</v>
      </c>
      <c r="V256" s="173" t="s">
        <v>601</v>
      </c>
      <c r="W256" s="129" t="s">
        <v>447</v>
      </c>
      <c r="X256" s="64" t="s">
        <v>521</v>
      </c>
      <c r="Y256" s="282" t="s">
        <v>1286</v>
      </c>
      <c r="Z256" s="282" t="s">
        <v>1592</v>
      </c>
      <c r="AA256" s="37"/>
      <c r="AB256" s="154" t="s">
        <v>225</v>
      </c>
      <c r="AC256" s="229" t="s">
        <v>867</v>
      </c>
      <c r="AD256" s="72" t="s">
        <v>808</v>
      </c>
      <c r="AE256" s="302"/>
      <c r="AF256" s="194"/>
      <c r="AG256" s="194"/>
      <c r="AH256" s="67" t="s">
        <v>868</v>
      </c>
      <c r="AI256" s="24"/>
      <c r="AJ256" s="24"/>
      <c r="AK256" s="24"/>
      <c r="AL256" s="24"/>
    </row>
    <row r="257" spans="1:38" ht="39.6">
      <c r="A257" s="51">
        <v>248</v>
      </c>
      <c r="B257" s="81" t="str">
        <f t="shared" si="3"/>
        <v>00F8</v>
      </c>
      <c r="C257" s="94" t="s">
        <v>1565</v>
      </c>
      <c r="D257" s="94" t="s">
        <v>704</v>
      </c>
      <c r="E257" s="314" t="s">
        <v>1233</v>
      </c>
      <c r="F257" s="178" t="s">
        <v>1044</v>
      </c>
      <c r="G257" s="178" t="s">
        <v>345</v>
      </c>
      <c r="H257" s="55" t="s">
        <v>637</v>
      </c>
      <c r="I257" s="79" t="s">
        <v>815</v>
      </c>
      <c r="J257" s="112" t="s">
        <v>0</v>
      </c>
      <c r="K257" s="55" t="s">
        <v>452</v>
      </c>
      <c r="L257" s="100" t="s">
        <v>1271</v>
      </c>
      <c r="M257" s="55" t="s">
        <v>254</v>
      </c>
      <c r="N257" s="282" t="s">
        <v>1215</v>
      </c>
      <c r="O257" s="238" t="s">
        <v>97</v>
      </c>
      <c r="P257" s="64" t="str">
        <f ca="1">IF(AND(OR(INDIRECT("K" &amp; ROW())="NAV-Premium",INDIRECT("K" &amp; ROW())="DA-Premium"),INDIRECT("M" &amp; ROW())="PARTITION_SCHEMA128__NavPiviJpn", INDIRECT("O" &amp; ROW())="JPN_SDB"),'SDB vs GN'!$B$41, IF(INDIRECT("H" &amp; ROW())="Chenc",'SDB vs GN'!$B$40, VLOOKUP(INDIRECT("O" &amp; ROW()),'SDB vs GN'!$A$16:$B$38,2,FALSE)))</f>
        <v>734_CN_831_AUSKRJPN</v>
      </c>
      <c r="Q257" s="79" t="s">
        <v>396</v>
      </c>
      <c r="R257" s="67" t="s">
        <v>59</v>
      </c>
      <c r="S257" s="157" t="s">
        <v>10</v>
      </c>
      <c r="T257" s="79" t="s">
        <v>449</v>
      </c>
      <c r="U257" s="104" t="s">
        <v>816</v>
      </c>
      <c r="V257" s="101" t="s">
        <v>601</v>
      </c>
      <c r="W257" s="129" t="s">
        <v>447</v>
      </c>
      <c r="X257" s="64" t="s">
        <v>521</v>
      </c>
      <c r="Y257" s="282" t="s">
        <v>1286</v>
      </c>
      <c r="Z257" s="282" t="s">
        <v>1592</v>
      </c>
      <c r="AA257" s="37"/>
      <c r="AB257" s="154" t="s">
        <v>225</v>
      </c>
      <c r="AC257" s="229" t="s">
        <v>1082</v>
      </c>
      <c r="AD257" s="72" t="s">
        <v>808</v>
      </c>
      <c r="AE257" s="302"/>
      <c r="AF257" s="194"/>
      <c r="AG257" s="194"/>
      <c r="AH257" s="72" t="s">
        <v>1303</v>
      </c>
      <c r="AI257" s="24"/>
      <c r="AJ257" s="24"/>
      <c r="AK257" s="24"/>
      <c r="AL257" s="24"/>
    </row>
    <row r="258" spans="1:38" ht="277.2">
      <c r="A258" s="51">
        <v>249</v>
      </c>
      <c r="B258" s="81" t="str">
        <f t="shared" si="3"/>
        <v>00F9</v>
      </c>
      <c r="C258" s="94" t="s">
        <v>919</v>
      </c>
      <c r="D258" s="94" t="s">
        <v>704</v>
      </c>
      <c r="E258" s="314" t="s">
        <v>1233</v>
      </c>
      <c r="F258" s="178" t="s">
        <v>1044</v>
      </c>
      <c r="G258" s="178" t="s">
        <v>345</v>
      </c>
      <c r="H258" s="55" t="s">
        <v>637</v>
      </c>
      <c r="I258" s="79" t="s">
        <v>815</v>
      </c>
      <c r="J258" s="55" t="s">
        <v>0</v>
      </c>
      <c r="K258" s="55" t="s">
        <v>452</v>
      </c>
      <c r="L258" s="100" t="s">
        <v>1271</v>
      </c>
      <c r="M258" s="55" t="s">
        <v>254</v>
      </c>
      <c r="N258" s="282" t="s">
        <v>1215</v>
      </c>
      <c r="O258" s="238" t="s">
        <v>826</v>
      </c>
      <c r="P258" s="64" t="str">
        <f ca="1">IF(AND(OR(INDIRECT("K" &amp; ROW())="NAV-Premium",INDIRECT("K" &amp; ROW())="DA-Premium"),INDIRECT("M" &amp; ROW())="PARTITION_SCHEMA128__NavPiviJpn", INDIRECT("O" &amp; ROW())="JPN_SDB"),'SDB vs GN'!$B$41, IF(INDIRECT("H" &amp; ROW())="Chenc",'SDB vs GN'!$B$40, VLOOKUP(INDIRECT("O" &amp; ROW()),'SDB vs GN'!$A$16:$B$38,2,FALSE)))</f>
        <v>731_EUR</v>
      </c>
      <c r="Q258" s="79" t="s">
        <v>396</v>
      </c>
      <c r="R258" s="67" t="s">
        <v>59</v>
      </c>
      <c r="S258" s="157" t="s">
        <v>10</v>
      </c>
      <c r="T258" s="79" t="s">
        <v>449</v>
      </c>
      <c r="U258" s="104" t="s">
        <v>816</v>
      </c>
      <c r="V258" s="174" t="s">
        <v>606</v>
      </c>
      <c r="W258" s="129" t="s">
        <v>447</v>
      </c>
      <c r="X258" s="64" t="s">
        <v>521</v>
      </c>
      <c r="Y258" s="282" t="s">
        <v>1286</v>
      </c>
      <c r="Z258" s="282" t="s">
        <v>1592</v>
      </c>
      <c r="AA258" s="37"/>
      <c r="AB258" s="154" t="s">
        <v>225</v>
      </c>
      <c r="AC258" s="229" t="s">
        <v>2247</v>
      </c>
      <c r="AD258" s="72" t="s">
        <v>808</v>
      </c>
      <c r="AE258" s="302"/>
      <c r="AF258" s="194"/>
      <c r="AG258" s="194"/>
      <c r="AH258" s="67" t="s">
        <v>2363</v>
      </c>
      <c r="AI258" s="24"/>
      <c r="AJ258" s="24"/>
      <c r="AK258" s="24"/>
      <c r="AL258" s="24"/>
    </row>
    <row r="259" spans="1:38" ht="132">
      <c r="A259" s="347">
        <v>250</v>
      </c>
      <c r="B259" s="348" t="str">
        <f t="shared" si="3"/>
        <v>00FA</v>
      </c>
      <c r="C259" s="314" t="s">
        <v>802</v>
      </c>
      <c r="D259" s="314" t="s">
        <v>704</v>
      </c>
      <c r="E259" s="314" t="s">
        <v>1233</v>
      </c>
      <c r="F259" s="349" t="s">
        <v>1044</v>
      </c>
      <c r="G259" s="349" t="s">
        <v>345</v>
      </c>
      <c r="H259" s="282" t="s">
        <v>637</v>
      </c>
      <c r="I259" s="295" t="s">
        <v>815</v>
      </c>
      <c r="J259" s="359" t="s">
        <v>0</v>
      </c>
      <c r="K259" s="282" t="s">
        <v>452</v>
      </c>
      <c r="L259" s="360" t="s">
        <v>1271</v>
      </c>
      <c r="M259" s="282" t="s">
        <v>254</v>
      </c>
      <c r="N259" s="282" t="s">
        <v>1215</v>
      </c>
      <c r="O259" s="296" t="s">
        <v>126</v>
      </c>
      <c r="P259" s="64" t="str">
        <f ca="1">IF(AND(OR(INDIRECT("K" &amp; ROW())="NAV-Premium",INDIRECT("K" &amp; ROW())="DA-Premium"),INDIRECT("M" &amp; ROW())="PARTITION_SCHEMA128__NavPiviJpn", INDIRECT("O" &amp; ROW())="JPN_SDB"),'SDB vs GN'!$B$41, IF(INDIRECT("H" &amp; ROW())="Chenc",'SDB vs GN'!$B$40, VLOOKUP(INDIRECT("O" &amp; ROW()),'SDB vs GN'!$A$16:$B$38,2,FALSE)))</f>
        <v>735_LA</v>
      </c>
      <c r="Q259" s="295" t="s">
        <v>396</v>
      </c>
      <c r="R259" s="302" t="s">
        <v>59</v>
      </c>
      <c r="S259" s="331" t="s">
        <v>10</v>
      </c>
      <c r="T259" s="295" t="s">
        <v>449</v>
      </c>
      <c r="U259" s="332" t="s">
        <v>816</v>
      </c>
      <c r="V259" s="308" t="s">
        <v>618</v>
      </c>
      <c r="W259" s="338" t="s">
        <v>447</v>
      </c>
      <c r="X259" s="297" t="s">
        <v>521</v>
      </c>
      <c r="Y259" s="282" t="s">
        <v>1286</v>
      </c>
      <c r="Z259" s="282" t="s">
        <v>1592</v>
      </c>
      <c r="AA259" s="284"/>
      <c r="AB259" s="300" t="s">
        <v>225</v>
      </c>
      <c r="AC259" s="307" t="s">
        <v>2153</v>
      </c>
      <c r="AD259" s="353" t="s">
        <v>808</v>
      </c>
      <c r="AE259" s="302"/>
      <c r="AF259" s="361"/>
      <c r="AG259" s="361"/>
      <c r="AH259" s="302" t="s">
        <v>2154</v>
      </c>
      <c r="AI259" s="24"/>
      <c r="AJ259" s="24"/>
      <c r="AK259" s="24"/>
      <c r="AL259" s="24"/>
    </row>
    <row r="260" spans="1:38" ht="184.8">
      <c r="A260" s="51">
        <v>251</v>
      </c>
      <c r="B260" s="81" t="str">
        <f t="shared" ref="B260:B323" si="4">DEC2HEX(A260,4)</f>
        <v>00FB</v>
      </c>
      <c r="C260" s="94" t="s">
        <v>425</v>
      </c>
      <c r="D260" s="94" t="s">
        <v>704</v>
      </c>
      <c r="E260" s="314" t="s">
        <v>1233</v>
      </c>
      <c r="F260" s="178" t="s">
        <v>1044</v>
      </c>
      <c r="G260" s="178" t="s">
        <v>345</v>
      </c>
      <c r="H260" s="55" t="s">
        <v>637</v>
      </c>
      <c r="I260" s="79" t="s">
        <v>815</v>
      </c>
      <c r="J260" s="112" t="s">
        <v>0</v>
      </c>
      <c r="K260" s="55" t="s">
        <v>452</v>
      </c>
      <c r="L260" s="100" t="s">
        <v>1271</v>
      </c>
      <c r="M260" s="55" t="s">
        <v>257</v>
      </c>
      <c r="N260" s="282" t="s">
        <v>1215</v>
      </c>
      <c r="O260" s="238" t="s">
        <v>84</v>
      </c>
      <c r="P260" s="64" t="str">
        <f ca="1">IF(AND(OR(INDIRECT("K" &amp; ROW())="NAV-Premium",INDIRECT("K" &amp; ROW())="DA-Premium"),INDIRECT("M" &amp; ROW())="PARTITION_SCHEMA128__NavPiviJpn", INDIRECT("O" &amp; ROW())="JPN_SDB"),'SDB vs GN'!$B$41, IF(INDIRECT("H" &amp; ROW())="Chenc",'SDB vs GN'!$B$40, VLOOKUP(INDIRECT("O" &amp; ROW()),'SDB vs GN'!$A$16:$B$38,2,FALSE)))</f>
        <v>727_NAM</v>
      </c>
      <c r="Q260" s="79" t="s">
        <v>396</v>
      </c>
      <c r="R260" s="64" t="s">
        <v>60</v>
      </c>
      <c r="S260" s="157" t="s">
        <v>10</v>
      </c>
      <c r="T260" s="79" t="s">
        <v>449</v>
      </c>
      <c r="U260" s="104" t="s">
        <v>816</v>
      </c>
      <c r="V260" s="173" t="s">
        <v>1128</v>
      </c>
      <c r="W260" s="129" t="s">
        <v>447</v>
      </c>
      <c r="X260" s="64" t="s">
        <v>521</v>
      </c>
      <c r="Y260" s="282" t="s">
        <v>1286</v>
      </c>
      <c r="Z260" s="282" t="s">
        <v>1592</v>
      </c>
      <c r="AA260" s="37"/>
      <c r="AB260" s="154" t="s">
        <v>225</v>
      </c>
      <c r="AC260" s="226" t="s">
        <v>2079</v>
      </c>
      <c r="AD260" s="72" t="s">
        <v>808</v>
      </c>
      <c r="AE260" s="302"/>
      <c r="AF260" s="194"/>
      <c r="AG260" s="194"/>
      <c r="AH260" s="67" t="s">
        <v>2367</v>
      </c>
      <c r="AI260" s="24"/>
      <c r="AJ260" s="24"/>
      <c r="AK260" s="24"/>
      <c r="AL260" s="24"/>
    </row>
    <row r="261" spans="1:38" ht="79.2">
      <c r="A261" s="51">
        <v>252</v>
      </c>
      <c r="B261" s="81" t="str">
        <f t="shared" si="4"/>
        <v>00FC</v>
      </c>
      <c r="C261" s="61" t="s">
        <v>797</v>
      </c>
      <c r="D261" s="94" t="s">
        <v>104</v>
      </c>
      <c r="E261" s="314" t="s">
        <v>1233</v>
      </c>
      <c r="F261" s="178" t="s">
        <v>1044</v>
      </c>
      <c r="G261" s="178" t="s">
        <v>345</v>
      </c>
      <c r="H261" s="55" t="s">
        <v>637</v>
      </c>
      <c r="I261" s="79" t="s">
        <v>815</v>
      </c>
      <c r="J261" s="112" t="s">
        <v>0</v>
      </c>
      <c r="K261" s="55" t="s">
        <v>453</v>
      </c>
      <c r="L261" s="100" t="s">
        <v>1271</v>
      </c>
      <c r="M261" s="55" t="s">
        <v>254</v>
      </c>
      <c r="N261" s="282" t="s">
        <v>1215</v>
      </c>
      <c r="O261" s="238" t="s">
        <v>126</v>
      </c>
      <c r="P261" s="64" t="str">
        <f ca="1">IF(AND(OR(INDIRECT("K" &amp; ROW())="NAV-Premium",INDIRECT("K" &amp; ROW())="DA-Premium"),INDIRECT("M" &amp; ROW())="PARTITION_SCHEMA128__NavPiviJpn", INDIRECT("O" &amp; ROW())="JPN_SDB"),'SDB vs GN'!$B$41, IF(INDIRECT("H" &amp; ROW())="Chenc",'SDB vs GN'!$B$40, VLOOKUP(INDIRECT("O" &amp; ROW()),'SDB vs GN'!$A$16:$B$38,2,FALSE)))</f>
        <v>735_LA</v>
      </c>
      <c r="Q261" s="79" t="s">
        <v>396</v>
      </c>
      <c r="R261" s="67" t="s">
        <v>59</v>
      </c>
      <c r="S261" s="157" t="s">
        <v>10</v>
      </c>
      <c r="T261" s="79" t="s">
        <v>449</v>
      </c>
      <c r="U261" s="104" t="s">
        <v>816</v>
      </c>
      <c r="V261" s="173" t="s">
        <v>785</v>
      </c>
      <c r="W261" s="129" t="s">
        <v>447</v>
      </c>
      <c r="X261" s="64" t="s">
        <v>521</v>
      </c>
      <c r="Y261" s="282" t="s">
        <v>1286</v>
      </c>
      <c r="Z261" s="282" t="s">
        <v>1592</v>
      </c>
      <c r="AA261" s="37"/>
      <c r="AB261" s="154" t="s">
        <v>225</v>
      </c>
      <c r="AC261" s="229" t="s">
        <v>2250</v>
      </c>
      <c r="AD261" s="72" t="s">
        <v>808</v>
      </c>
      <c r="AE261" s="302"/>
      <c r="AF261" s="194"/>
      <c r="AG261" s="194"/>
      <c r="AH261" s="67" t="s">
        <v>2249</v>
      </c>
      <c r="AI261" s="24"/>
      <c r="AJ261" s="24"/>
      <c r="AK261" s="24"/>
      <c r="AL261" s="24"/>
    </row>
    <row r="262" spans="1:38" ht="158.4">
      <c r="A262" s="51">
        <v>253</v>
      </c>
      <c r="B262" s="81" t="str">
        <f t="shared" si="4"/>
        <v>00FD</v>
      </c>
      <c r="C262" s="61" t="s">
        <v>798</v>
      </c>
      <c r="D262" s="94" t="s">
        <v>104</v>
      </c>
      <c r="E262" s="314" t="s">
        <v>1233</v>
      </c>
      <c r="F262" s="178" t="s">
        <v>1044</v>
      </c>
      <c r="G262" s="178" t="s">
        <v>345</v>
      </c>
      <c r="H262" s="55" t="s">
        <v>637</v>
      </c>
      <c r="I262" s="79" t="s">
        <v>815</v>
      </c>
      <c r="J262" s="112" t="s">
        <v>0</v>
      </c>
      <c r="K262" s="55" t="s">
        <v>453</v>
      </c>
      <c r="L262" s="100" t="s">
        <v>1271</v>
      </c>
      <c r="M262" s="55" t="s">
        <v>254</v>
      </c>
      <c r="N262" s="282" t="s">
        <v>1215</v>
      </c>
      <c r="O262" s="238" t="s">
        <v>126</v>
      </c>
      <c r="P262" s="64" t="str">
        <f ca="1">IF(AND(OR(INDIRECT("K" &amp; ROW())="NAV-Premium",INDIRECT("K" &amp; ROW())="DA-Premium"),INDIRECT("M" &amp; ROW())="PARTITION_SCHEMA128__NavPiviJpn", INDIRECT("O" &amp; ROW())="JPN_SDB"),'SDB vs GN'!$B$41, IF(INDIRECT("H" &amp; ROW())="Chenc",'SDB vs GN'!$B$40, VLOOKUP(INDIRECT("O" &amp; ROW()),'SDB vs GN'!$A$16:$B$38,2,FALSE)))</f>
        <v>735_LA</v>
      </c>
      <c r="Q262" s="79" t="s">
        <v>396</v>
      </c>
      <c r="R262" s="67" t="s">
        <v>59</v>
      </c>
      <c r="S262" s="157" t="s">
        <v>10</v>
      </c>
      <c r="T262" s="79" t="s">
        <v>449</v>
      </c>
      <c r="U262" s="104" t="s">
        <v>816</v>
      </c>
      <c r="V262" s="173" t="s">
        <v>616</v>
      </c>
      <c r="W262" s="129" t="s">
        <v>447</v>
      </c>
      <c r="X262" s="64" t="s">
        <v>521</v>
      </c>
      <c r="Y262" s="282" t="s">
        <v>1286</v>
      </c>
      <c r="Z262" s="282" t="s">
        <v>1592</v>
      </c>
      <c r="AA262" s="37"/>
      <c r="AB262" s="154" t="s">
        <v>225</v>
      </c>
      <c r="AC262" s="229" t="s">
        <v>2251</v>
      </c>
      <c r="AD262" s="72" t="s">
        <v>808</v>
      </c>
      <c r="AE262" s="302"/>
      <c r="AF262" s="194"/>
      <c r="AG262" s="194"/>
      <c r="AH262" s="72" t="s">
        <v>2364</v>
      </c>
      <c r="AI262" s="24"/>
      <c r="AJ262" s="24"/>
      <c r="AK262" s="24"/>
      <c r="AL262" s="24"/>
    </row>
    <row r="263" spans="1:38" ht="105.6">
      <c r="A263" s="51">
        <v>254</v>
      </c>
      <c r="B263" s="81" t="str">
        <f t="shared" si="4"/>
        <v>00FE</v>
      </c>
      <c r="C263" s="61" t="s">
        <v>799</v>
      </c>
      <c r="D263" s="94" t="s">
        <v>104</v>
      </c>
      <c r="E263" s="314" t="s">
        <v>1233</v>
      </c>
      <c r="F263" s="178" t="s">
        <v>1044</v>
      </c>
      <c r="G263" s="178" t="s">
        <v>345</v>
      </c>
      <c r="H263" s="55" t="s">
        <v>637</v>
      </c>
      <c r="I263" s="79" t="s">
        <v>815</v>
      </c>
      <c r="J263" s="112" t="s">
        <v>0</v>
      </c>
      <c r="K263" s="55" t="s">
        <v>453</v>
      </c>
      <c r="L263" s="100" t="s">
        <v>1271</v>
      </c>
      <c r="M263" s="55" t="s">
        <v>254</v>
      </c>
      <c r="N263" s="282" t="s">
        <v>1215</v>
      </c>
      <c r="O263" s="238" t="s">
        <v>826</v>
      </c>
      <c r="P263" s="64" t="str">
        <f ca="1">IF(AND(OR(INDIRECT("K" &amp; ROW())="NAV-Premium",INDIRECT("K" &amp; ROW())="DA-Premium"),INDIRECT("M" &amp; ROW())="PARTITION_SCHEMA128__NavPiviJpn", INDIRECT("O" &amp; ROW())="JPN_SDB"),'SDB vs GN'!$B$41, IF(INDIRECT("H" &amp; ROW())="Chenc",'SDB vs GN'!$B$40, VLOOKUP(INDIRECT("O" &amp; ROW()),'SDB vs GN'!$A$16:$B$38,2,FALSE)))</f>
        <v>731_EUR</v>
      </c>
      <c r="Q263" s="79" t="s">
        <v>396</v>
      </c>
      <c r="R263" s="67" t="s">
        <v>59</v>
      </c>
      <c r="S263" s="157" t="s">
        <v>10</v>
      </c>
      <c r="T263" s="79" t="s">
        <v>449</v>
      </c>
      <c r="U263" s="104" t="s">
        <v>816</v>
      </c>
      <c r="V263" s="173" t="s">
        <v>656</v>
      </c>
      <c r="W263" s="129" t="s">
        <v>447</v>
      </c>
      <c r="X263" s="64" t="s">
        <v>521</v>
      </c>
      <c r="Y263" s="282" t="s">
        <v>1286</v>
      </c>
      <c r="Z263" s="282" t="s">
        <v>1592</v>
      </c>
      <c r="AA263" s="37"/>
      <c r="AB263" s="154" t="s">
        <v>225</v>
      </c>
      <c r="AC263" s="229" t="s">
        <v>1492</v>
      </c>
      <c r="AD263" s="72" t="s">
        <v>808</v>
      </c>
      <c r="AE263" s="302"/>
      <c r="AF263" s="194"/>
      <c r="AG263" s="194"/>
      <c r="AH263" s="67" t="s">
        <v>1493</v>
      </c>
      <c r="AI263" s="24"/>
      <c r="AJ263" s="24"/>
      <c r="AK263" s="24"/>
      <c r="AL263" s="24"/>
    </row>
    <row r="264" spans="1:38" ht="92.4">
      <c r="A264" s="51">
        <v>255</v>
      </c>
      <c r="B264" s="81" t="str">
        <f t="shared" si="4"/>
        <v>00FF</v>
      </c>
      <c r="C264" s="94" t="s">
        <v>918</v>
      </c>
      <c r="D264" s="94" t="s">
        <v>136</v>
      </c>
      <c r="E264" s="314" t="s">
        <v>1233</v>
      </c>
      <c r="F264" s="177" t="s">
        <v>1046</v>
      </c>
      <c r="G264" s="177" t="s">
        <v>344</v>
      </c>
      <c r="H264" s="55" t="s">
        <v>637</v>
      </c>
      <c r="I264" s="94" t="s">
        <v>4</v>
      </c>
      <c r="J264" s="112" t="s">
        <v>0</v>
      </c>
      <c r="K264" s="55" t="s">
        <v>451</v>
      </c>
      <c r="L264" s="100" t="s">
        <v>1271</v>
      </c>
      <c r="M264" s="168" t="s">
        <v>255</v>
      </c>
      <c r="N264" s="282" t="s">
        <v>1215</v>
      </c>
      <c r="O264" s="238" t="s">
        <v>827</v>
      </c>
      <c r="P264" s="64" t="str">
        <f ca="1">IF(AND(OR(INDIRECT("K" &amp; ROW())="NAV-Premium",INDIRECT("K" &amp; ROW())="DA-Premium"),INDIRECT("M" &amp; ROW())="PARTITION_SCHEMA128__NavPiviJpn", INDIRECT("O" &amp; ROW())="JPN_SDB"),'SDB vs GN'!$B$41, IF(INDIRECT("H" &amp; ROW())="Chenc",'SDB vs GN'!$B$40, VLOOKUP(INDIRECT("O" &amp; ROW()),'SDB vs GN'!$A$16:$B$38,2,FALSE)))</f>
        <v>734_CN_831_AUSKRJPN</v>
      </c>
      <c r="Q264" s="79" t="s">
        <v>396</v>
      </c>
      <c r="R264" s="67" t="s">
        <v>59</v>
      </c>
      <c r="S264" s="157" t="s">
        <v>10</v>
      </c>
      <c r="T264" s="79" t="s">
        <v>449</v>
      </c>
      <c r="U264" s="104" t="s">
        <v>816</v>
      </c>
      <c r="V264" s="173" t="s">
        <v>7</v>
      </c>
      <c r="W264" s="129" t="s">
        <v>2184</v>
      </c>
      <c r="X264" s="64" t="s">
        <v>522</v>
      </c>
      <c r="Y264" s="282" t="s">
        <v>1286</v>
      </c>
      <c r="Z264" s="282" t="s">
        <v>1592</v>
      </c>
      <c r="AA264" s="37"/>
      <c r="AB264" s="154" t="s">
        <v>225</v>
      </c>
      <c r="AC264" s="229" t="s">
        <v>1396</v>
      </c>
      <c r="AD264" s="72" t="s">
        <v>808</v>
      </c>
      <c r="AE264" s="302"/>
      <c r="AF264" s="194"/>
      <c r="AG264" s="194"/>
      <c r="AH264" s="67" t="s">
        <v>2365</v>
      </c>
      <c r="AI264" s="24"/>
      <c r="AJ264" s="24"/>
      <c r="AK264" s="24"/>
      <c r="AL264" s="24"/>
    </row>
    <row r="265" spans="1:38" ht="250.8">
      <c r="A265" s="51">
        <v>256</v>
      </c>
      <c r="B265" s="81" t="str">
        <f t="shared" si="4"/>
        <v>0100</v>
      </c>
      <c r="C265" s="61" t="s">
        <v>1467</v>
      </c>
      <c r="D265" s="61" t="s">
        <v>476</v>
      </c>
      <c r="E265" s="323" t="s">
        <v>1233</v>
      </c>
      <c r="F265" s="115" t="s">
        <v>1049</v>
      </c>
      <c r="G265" s="115" t="s">
        <v>346</v>
      </c>
      <c r="H265" s="55" t="s">
        <v>637</v>
      </c>
      <c r="I265" s="79" t="s">
        <v>815</v>
      </c>
      <c r="J265" s="112" t="s">
        <v>0</v>
      </c>
      <c r="K265" s="61" t="s">
        <v>454</v>
      </c>
      <c r="L265" s="100" t="s">
        <v>1317</v>
      </c>
      <c r="M265" s="55" t="s">
        <v>236</v>
      </c>
      <c r="N265" s="282" t="s">
        <v>1215</v>
      </c>
      <c r="O265" s="238" t="s">
        <v>84</v>
      </c>
      <c r="P265" s="64" t="str">
        <f ca="1">IF(AND(OR(INDIRECT("K" &amp; ROW())="NAV-Premium",INDIRECT("K" &amp; ROW())="DA-Premium"),INDIRECT("M" &amp; ROW())="PARTITION_SCHEMA128__NavPiviJpn", INDIRECT("O" &amp; ROW())="JPN_SDB"),'SDB vs GN'!$B$41, IF(INDIRECT("H" &amp; ROW())="Chenc",'SDB vs GN'!$B$40, VLOOKUP(INDIRECT("O" &amp; ROW()),'SDB vs GN'!$A$16:$B$38,2,FALSE)))</f>
        <v>727_NAM</v>
      </c>
      <c r="Q265" s="64" t="s">
        <v>835</v>
      </c>
      <c r="R265" s="64" t="s">
        <v>60</v>
      </c>
      <c r="S265" s="157" t="s">
        <v>10</v>
      </c>
      <c r="T265" s="64" t="s">
        <v>449</v>
      </c>
      <c r="U265" s="104" t="s">
        <v>816</v>
      </c>
      <c r="V265" s="174" t="s">
        <v>604</v>
      </c>
      <c r="W265" s="76" t="s">
        <v>447</v>
      </c>
      <c r="X265" s="64" t="s">
        <v>521</v>
      </c>
      <c r="Y265" s="282" t="s">
        <v>1286</v>
      </c>
      <c r="Z265" s="282" t="s">
        <v>1592</v>
      </c>
      <c r="AA265" s="96"/>
      <c r="AB265" s="154" t="s">
        <v>225</v>
      </c>
      <c r="AC265" s="226" t="s">
        <v>2514</v>
      </c>
      <c r="AD265" s="72" t="s">
        <v>888</v>
      </c>
      <c r="AE265" s="302"/>
      <c r="AF265" s="194"/>
      <c r="AG265" s="194"/>
      <c r="AH265" s="67" t="s">
        <v>2513</v>
      </c>
      <c r="AI265" s="24"/>
      <c r="AJ265" s="24"/>
      <c r="AK265" s="24"/>
    </row>
    <row r="266" spans="1:38" ht="26.4">
      <c r="A266" s="51">
        <v>257</v>
      </c>
      <c r="B266" s="81" t="str">
        <f t="shared" si="4"/>
        <v>0101</v>
      </c>
      <c r="C266" s="61" t="s">
        <v>1468</v>
      </c>
      <c r="D266" s="61" t="s">
        <v>476</v>
      </c>
      <c r="E266" s="323" t="s">
        <v>1233</v>
      </c>
      <c r="F266" s="115" t="s">
        <v>1049</v>
      </c>
      <c r="G266" s="115" t="s">
        <v>346</v>
      </c>
      <c r="H266" s="55" t="s">
        <v>637</v>
      </c>
      <c r="I266" s="79" t="s">
        <v>815</v>
      </c>
      <c r="J266" s="112" t="s">
        <v>0</v>
      </c>
      <c r="K266" s="61" t="s">
        <v>454</v>
      </c>
      <c r="L266" s="100" t="s">
        <v>1317</v>
      </c>
      <c r="M266" s="55" t="s">
        <v>236</v>
      </c>
      <c r="N266" s="282" t="s">
        <v>1215</v>
      </c>
      <c r="O266" s="238" t="s">
        <v>84</v>
      </c>
      <c r="P266" s="64" t="str">
        <f ca="1">IF(AND(OR(INDIRECT("K" &amp; ROW())="NAV-Premium",INDIRECT("K" &amp; ROW())="DA-Premium"),INDIRECT("M" &amp; ROW())="PARTITION_SCHEMA128__NavPiviJpn", INDIRECT("O" &amp; ROW())="JPN_SDB"),'SDB vs GN'!$B$41, IF(INDIRECT("H" &amp; ROW())="Chenc",'SDB vs GN'!$B$40, VLOOKUP(INDIRECT("O" &amp; ROW()),'SDB vs GN'!$A$16:$B$38,2,FALSE)))</f>
        <v>727_NAM</v>
      </c>
      <c r="Q266" s="64" t="s">
        <v>835</v>
      </c>
      <c r="R266" s="162" t="s">
        <v>59</v>
      </c>
      <c r="S266" s="157" t="s">
        <v>10</v>
      </c>
      <c r="T266" s="79" t="s">
        <v>450</v>
      </c>
      <c r="U266" s="104" t="s">
        <v>816</v>
      </c>
      <c r="V266" s="173" t="s">
        <v>604</v>
      </c>
      <c r="W266" s="76" t="s">
        <v>447</v>
      </c>
      <c r="X266" s="64" t="s">
        <v>521</v>
      </c>
      <c r="Y266" s="282" t="s">
        <v>1286</v>
      </c>
      <c r="Z266" s="282" t="s">
        <v>1592</v>
      </c>
      <c r="AA266" s="96"/>
      <c r="AB266" s="154" t="s">
        <v>225</v>
      </c>
      <c r="AC266" s="226" t="s">
        <v>1266</v>
      </c>
      <c r="AD266" s="72" t="s">
        <v>888</v>
      </c>
      <c r="AE266" s="302"/>
      <c r="AF266" s="194"/>
      <c r="AG266" s="194"/>
      <c r="AH266" s="67" t="s">
        <v>1267</v>
      </c>
      <c r="AI266" s="24"/>
      <c r="AJ266" s="24"/>
      <c r="AK266" s="24"/>
    </row>
    <row r="267" spans="1:38" ht="145.19999999999999">
      <c r="A267" s="51">
        <v>258</v>
      </c>
      <c r="B267" s="81" t="str">
        <f t="shared" si="4"/>
        <v>0102</v>
      </c>
      <c r="C267" s="61" t="s">
        <v>1469</v>
      </c>
      <c r="D267" s="61" t="s">
        <v>476</v>
      </c>
      <c r="E267" s="323" t="s">
        <v>1233</v>
      </c>
      <c r="F267" s="115" t="s">
        <v>1049</v>
      </c>
      <c r="G267" s="115" t="s">
        <v>346</v>
      </c>
      <c r="H267" s="55" t="s">
        <v>637</v>
      </c>
      <c r="I267" s="79" t="s">
        <v>815</v>
      </c>
      <c r="J267" s="112" t="s">
        <v>0</v>
      </c>
      <c r="K267" s="61" t="s">
        <v>454</v>
      </c>
      <c r="L267" s="100" t="s">
        <v>1317</v>
      </c>
      <c r="M267" s="55" t="s">
        <v>236</v>
      </c>
      <c r="N267" s="282" t="s">
        <v>1215</v>
      </c>
      <c r="O267" s="238" t="s">
        <v>73</v>
      </c>
      <c r="P267" s="64" t="str">
        <f ca="1">IF(AND(OR(INDIRECT("K" &amp; ROW())="NAV-Premium",INDIRECT("K" &amp; ROW())="DA-Premium"),INDIRECT("M" &amp; ROW())="PARTITION_SCHEMA128__NavPiviJpn", INDIRECT("O" &amp; ROW())="JPN_SDB"),'SDB vs GN'!$B$41, IF(INDIRECT("H" &amp; ROW())="Chenc",'SDB vs GN'!$B$40, VLOOKUP(INDIRECT("O" &amp; ROW()),'SDB vs GN'!$A$16:$B$38,2,FALSE)))</f>
        <v>731_EUR</v>
      </c>
      <c r="Q267" s="64" t="s">
        <v>835</v>
      </c>
      <c r="R267" s="135" t="s">
        <v>59</v>
      </c>
      <c r="S267" s="157" t="s">
        <v>10</v>
      </c>
      <c r="T267" s="64" t="s">
        <v>449</v>
      </c>
      <c r="U267" s="104" t="s">
        <v>816</v>
      </c>
      <c r="V267" s="174" t="s">
        <v>831</v>
      </c>
      <c r="W267" s="76" t="s">
        <v>447</v>
      </c>
      <c r="X267" s="64" t="s">
        <v>521</v>
      </c>
      <c r="Y267" s="282" t="s">
        <v>1286</v>
      </c>
      <c r="Z267" s="282" t="s">
        <v>1592</v>
      </c>
      <c r="AA267" s="96"/>
      <c r="AB267" s="154" t="s">
        <v>225</v>
      </c>
      <c r="AC267" s="226" t="s">
        <v>2241</v>
      </c>
      <c r="AD267" s="72" t="s">
        <v>888</v>
      </c>
      <c r="AE267" s="302"/>
      <c r="AF267" s="194"/>
      <c r="AG267" s="194"/>
      <c r="AH267" s="67" t="s">
        <v>2242</v>
      </c>
      <c r="AI267" s="24"/>
      <c r="AJ267" s="24"/>
      <c r="AK267" s="24"/>
    </row>
    <row r="268" spans="1:38" ht="343.2">
      <c r="A268" s="51">
        <v>259</v>
      </c>
      <c r="B268" s="81" t="str">
        <f t="shared" si="4"/>
        <v>0103</v>
      </c>
      <c r="C268" s="170" t="s">
        <v>1440</v>
      </c>
      <c r="D268" s="61" t="s">
        <v>476</v>
      </c>
      <c r="E268" s="323" t="s">
        <v>1233</v>
      </c>
      <c r="F268" s="115" t="s">
        <v>1049</v>
      </c>
      <c r="G268" s="115" t="s">
        <v>346</v>
      </c>
      <c r="H268" s="55" t="s">
        <v>637</v>
      </c>
      <c r="I268" s="155" t="s">
        <v>5</v>
      </c>
      <c r="J268" s="112" t="s">
        <v>0</v>
      </c>
      <c r="K268" s="61" t="s">
        <v>454</v>
      </c>
      <c r="L268" s="100" t="s">
        <v>1317</v>
      </c>
      <c r="M268" s="55" t="s">
        <v>238</v>
      </c>
      <c r="N268" s="282" t="s">
        <v>1215</v>
      </c>
      <c r="O268" s="238" t="s">
        <v>55</v>
      </c>
      <c r="P268" s="64" t="str">
        <f ca="1">IF(AND(OR(INDIRECT("K" &amp; ROW())="NAV-Premium",INDIRECT("K" &amp; ROW())="DA-Premium"),INDIRECT("M" &amp; ROW())="PARTITION_SCHEMA128__NavPiviJpn", INDIRECT("O" &amp; ROW())="JPN_SDB"),'SDB vs GN'!$B$41, IF(INDIRECT("H" &amp; ROW())="Chenc",'SDB vs GN'!$B$40, VLOOKUP(INDIRECT("O" &amp; ROW()),'SDB vs GN'!$A$16:$B$38,2,FALSE)))</f>
        <v>742_JPN_831_AUSKRJPN_CDDB</v>
      </c>
      <c r="Q268" s="64" t="s">
        <v>835</v>
      </c>
      <c r="R268" s="64" t="s">
        <v>133</v>
      </c>
      <c r="S268" s="157" t="s">
        <v>10</v>
      </c>
      <c r="T268" s="64" t="s">
        <v>449</v>
      </c>
      <c r="U268" s="104" t="s">
        <v>816</v>
      </c>
      <c r="V268" s="174" t="s">
        <v>619</v>
      </c>
      <c r="W268" s="76" t="s">
        <v>447</v>
      </c>
      <c r="X268" s="64" t="s">
        <v>523</v>
      </c>
      <c r="Y268" s="282" t="s">
        <v>1286</v>
      </c>
      <c r="Z268" s="282" t="s">
        <v>1592</v>
      </c>
      <c r="AA268" s="96"/>
      <c r="AB268" s="154" t="s">
        <v>225</v>
      </c>
      <c r="AC268" s="226" t="s">
        <v>2848</v>
      </c>
      <c r="AD268" s="72" t="s">
        <v>888</v>
      </c>
      <c r="AE268" s="302"/>
      <c r="AF268" s="194"/>
      <c r="AG268" s="194"/>
      <c r="AH268" s="67" t="s">
        <v>2847</v>
      </c>
      <c r="AI268" s="24"/>
      <c r="AJ268" s="24"/>
      <c r="AK268" s="24"/>
    </row>
    <row r="269" spans="1:38" ht="145.19999999999999">
      <c r="A269" s="51">
        <v>260</v>
      </c>
      <c r="B269" s="81" t="str">
        <f t="shared" si="4"/>
        <v>0104</v>
      </c>
      <c r="C269" s="61" t="s">
        <v>1470</v>
      </c>
      <c r="D269" s="61" t="s">
        <v>476</v>
      </c>
      <c r="E269" s="323" t="s">
        <v>1233</v>
      </c>
      <c r="F269" s="115" t="s">
        <v>1049</v>
      </c>
      <c r="G269" s="115" t="s">
        <v>346</v>
      </c>
      <c r="H269" s="55" t="s">
        <v>637</v>
      </c>
      <c r="I269" s="79" t="s">
        <v>815</v>
      </c>
      <c r="J269" s="112" t="s">
        <v>0</v>
      </c>
      <c r="K269" s="61" t="s">
        <v>454</v>
      </c>
      <c r="L269" s="100" t="s">
        <v>1317</v>
      </c>
      <c r="M269" s="55" t="s">
        <v>236</v>
      </c>
      <c r="N269" s="282" t="s">
        <v>1215</v>
      </c>
      <c r="O269" s="238" t="s">
        <v>97</v>
      </c>
      <c r="P269" s="64" t="str">
        <f ca="1">IF(AND(OR(INDIRECT("K" &amp; ROW())="NAV-Premium",INDIRECT("K" &amp; ROW())="DA-Premium"),INDIRECT("M" &amp; ROW())="PARTITION_SCHEMA128__NavPiviJpn", INDIRECT("O" &amp; ROW())="JPN_SDB"),'SDB vs GN'!$B$41, IF(INDIRECT("H" &amp; ROW())="Chenc",'SDB vs GN'!$B$40, VLOOKUP(INDIRECT("O" &amp; ROW()),'SDB vs GN'!$A$16:$B$38,2,FALSE)))</f>
        <v>734_CN_831_AUSKRJPN</v>
      </c>
      <c r="Q269" s="64" t="s">
        <v>835</v>
      </c>
      <c r="R269" s="135" t="s">
        <v>59</v>
      </c>
      <c r="S269" s="157" t="s">
        <v>10</v>
      </c>
      <c r="T269" s="64" t="s">
        <v>449</v>
      </c>
      <c r="U269" s="104" t="s">
        <v>816</v>
      </c>
      <c r="V269" s="174" t="s">
        <v>833</v>
      </c>
      <c r="W269" s="76" t="s">
        <v>447</v>
      </c>
      <c r="X269" s="64" t="s">
        <v>521</v>
      </c>
      <c r="Y269" s="282" t="s">
        <v>1286</v>
      </c>
      <c r="Z269" s="282" t="s">
        <v>1592</v>
      </c>
      <c r="AA269" s="96"/>
      <c r="AB269" s="154" t="s">
        <v>225</v>
      </c>
      <c r="AC269" s="226" t="s">
        <v>2300</v>
      </c>
      <c r="AD269" s="72" t="s">
        <v>888</v>
      </c>
      <c r="AE269" s="302"/>
      <c r="AF269" s="194"/>
      <c r="AG269" s="194"/>
      <c r="AH269" s="67" t="s">
        <v>2299</v>
      </c>
      <c r="AI269" s="24"/>
      <c r="AJ269" s="24"/>
      <c r="AK269" s="24"/>
    </row>
    <row r="270" spans="1:38" ht="92.4">
      <c r="A270" s="51">
        <v>261</v>
      </c>
      <c r="B270" s="81" t="str">
        <f t="shared" si="4"/>
        <v>0105</v>
      </c>
      <c r="C270" s="61" t="s">
        <v>1471</v>
      </c>
      <c r="D270" s="61" t="s">
        <v>476</v>
      </c>
      <c r="E270" s="323" t="s">
        <v>1233</v>
      </c>
      <c r="F270" s="115" t="s">
        <v>1049</v>
      </c>
      <c r="G270" s="115" t="s">
        <v>346</v>
      </c>
      <c r="H270" s="55" t="s">
        <v>637</v>
      </c>
      <c r="I270" s="79" t="s">
        <v>815</v>
      </c>
      <c r="J270" s="112" t="s">
        <v>0</v>
      </c>
      <c r="K270" s="61" t="s">
        <v>454</v>
      </c>
      <c r="L270" s="100" t="s">
        <v>1317</v>
      </c>
      <c r="M270" s="55" t="s">
        <v>236</v>
      </c>
      <c r="N270" s="282" t="s">
        <v>1215</v>
      </c>
      <c r="O270" s="238" t="s">
        <v>97</v>
      </c>
      <c r="P270" s="64" t="str">
        <f ca="1">IF(AND(OR(INDIRECT("K" &amp; ROW())="NAV-Premium",INDIRECT("K" &amp; ROW())="DA-Premium"),INDIRECT("M" &amp; ROW())="PARTITION_SCHEMA128__NavPiviJpn", INDIRECT("O" &amp; ROW())="JPN_SDB"),'SDB vs GN'!$B$41, IF(INDIRECT("H" &amp; ROW())="Chenc",'SDB vs GN'!$B$40, VLOOKUP(INDIRECT("O" &amp; ROW()),'SDB vs GN'!$A$16:$B$38,2,FALSE)))</f>
        <v>734_CN_831_AUSKRJPN</v>
      </c>
      <c r="Q270" s="64" t="s">
        <v>835</v>
      </c>
      <c r="R270" s="135" t="s">
        <v>59</v>
      </c>
      <c r="S270" s="157" t="s">
        <v>10</v>
      </c>
      <c r="T270" s="64" t="s">
        <v>449</v>
      </c>
      <c r="U270" s="104" t="s">
        <v>816</v>
      </c>
      <c r="V270" s="175" t="s">
        <v>607</v>
      </c>
      <c r="W270" s="76" t="s">
        <v>447</v>
      </c>
      <c r="X270" s="64" t="s">
        <v>521</v>
      </c>
      <c r="Y270" s="282" t="s">
        <v>1286</v>
      </c>
      <c r="Z270" s="282" t="s">
        <v>1592</v>
      </c>
      <c r="AA270" s="96"/>
      <c r="AB270" s="154" t="s">
        <v>225</v>
      </c>
      <c r="AC270" s="226" t="s">
        <v>2026</v>
      </c>
      <c r="AD270" s="72" t="s">
        <v>888</v>
      </c>
      <c r="AE270" s="302"/>
      <c r="AF270" s="194"/>
      <c r="AG270" s="194"/>
      <c r="AH270" s="67" t="s">
        <v>2025</v>
      </c>
      <c r="AI270" s="24"/>
      <c r="AJ270" s="24"/>
      <c r="AK270" s="24"/>
    </row>
    <row r="271" spans="1:38" ht="145.19999999999999">
      <c r="A271" s="51">
        <v>262</v>
      </c>
      <c r="B271" s="81" t="str">
        <f t="shared" si="4"/>
        <v>0106</v>
      </c>
      <c r="C271" s="61" t="s">
        <v>1472</v>
      </c>
      <c r="D271" s="61" t="s">
        <v>476</v>
      </c>
      <c r="E271" s="323" t="s">
        <v>1233</v>
      </c>
      <c r="F271" s="115" t="s">
        <v>1049</v>
      </c>
      <c r="G271" s="115" t="s">
        <v>346</v>
      </c>
      <c r="H271" s="55" t="s">
        <v>637</v>
      </c>
      <c r="I271" s="79" t="s">
        <v>815</v>
      </c>
      <c r="J271" s="112" t="s">
        <v>0</v>
      </c>
      <c r="K271" s="61" t="s">
        <v>454</v>
      </c>
      <c r="L271" s="100" t="s">
        <v>1317</v>
      </c>
      <c r="M271" s="55" t="s">
        <v>236</v>
      </c>
      <c r="N271" s="282" t="s">
        <v>1215</v>
      </c>
      <c r="O271" s="238" t="s">
        <v>126</v>
      </c>
      <c r="P271" s="64" t="str">
        <f ca="1">IF(AND(OR(INDIRECT("K" &amp; ROW())="NAV-Premium",INDIRECT("K" &amp; ROW())="DA-Premium"),INDIRECT("M" &amp; ROW())="PARTITION_SCHEMA128__NavPiviJpn", INDIRECT("O" &amp; ROW())="JPN_SDB"),'SDB vs GN'!$B$41, IF(INDIRECT("H" &amp; ROW())="Chenc",'SDB vs GN'!$B$40, VLOOKUP(INDIRECT("O" &amp; ROW()),'SDB vs GN'!$A$16:$B$38,2,FALSE)))</f>
        <v>735_LA</v>
      </c>
      <c r="Q271" s="64" t="s">
        <v>835</v>
      </c>
      <c r="R271" s="135" t="s">
        <v>59</v>
      </c>
      <c r="S271" s="157" t="s">
        <v>10</v>
      </c>
      <c r="T271" s="64" t="s">
        <v>449</v>
      </c>
      <c r="U271" s="104" t="s">
        <v>816</v>
      </c>
      <c r="V271" s="174" t="s">
        <v>834</v>
      </c>
      <c r="W271" s="76" t="s">
        <v>447</v>
      </c>
      <c r="X271" s="64" t="s">
        <v>521</v>
      </c>
      <c r="Y271" s="282" t="s">
        <v>1286</v>
      </c>
      <c r="Z271" s="282" t="s">
        <v>1592</v>
      </c>
      <c r="AA271" s="96"/>
      <c r="AB271" s="154" t="s">
        <v>225</v>
      </c>
      <c r="AC271" s="226" t="s">
        <v>2028</v>
      </c>
      <c r="AD271" s="72" t="s">
        <v>888</v>
      </c>
      <c r="AE271" s="302"/>
      <c r="AF271" s="194"/>
      <c r="AG271" s="194"/>
      <c r="AH271" s="67" t="s">
        <v>2027</v>
      </c>
      <c r="AI271" s="24"/>
      <c r="AJ271" s="24"/>
      <c r="AK271" s="24"/>
    </row>
    <row r="272" spans="1:38" ht="26.4">
      <c r="A272" s="51">
        <v>263</v>
      </c>
      <c r="B272" s="81" t="str">
        <f t="shared" si="4"/>
        <v>0107</v>
      </c>
      <c r="C272" s="61" t="s">
        <v>1465</v>
      </c>
      <c r="D272" s="61" t="s">
        <v>476</v>
      </c>
      <c r="E272" s="323" t="s">
        <v>1233</v>
      </c>
      <c r="F272" s="115" t="s">
        <v>1049</v>
      </c>
      <c r="G272" s="115" t="s">
        <v>346</v>
      </c>
      <c r="H272" s="166" t="s">
        <v>638</v>
      </c>
      <c r="I272" s="79" t="s">
        <v>815</v>
      </c>
      <c r="J272" s="112" t="s">
        <v>0</v>
      </c>
      <c r="K272" s="61" t="s">
        <v>454</v>
      </c>
      <c r="L272" s="100" t="s">
        <v>1317</v>
      </c>
      <c r="M272" s="55" t="s">
        <v>236</v>
      </c>
      <c r="N272" s="282" t="s">
        <v>1215</v>
      </c>
      <c r="O272" s="238" t="s">
        <v>97</v>
      </c>
      <c r="P272"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272" s="64" t="s">
        <v>835</v>
      </c>
      <c r="R272" s="135" t="s">
        <v>59</v>
      </c>
      <c r="S272" s="157" t="s">
        <v>10</v>
      </c>
      <c r="T272" s="64" t="s">
        <v>449</v>
      </c>
      <c r="U272" s="104" t="s">
        <v>816</v>
      </c>
      <c r="V272" s="68" t="s">
        <v>832</v>
      </c>
      <c r="W272" s="76" t="s">
        <v>447</v>
      </c>
      <c r="X272" s="64" t="s">
        <v>521</v>
      </c>
      <c r="Y272" s="282" t="s">
        <v>1286</v>
      </c>
      <c r="Z272" s="282" t="s">
        <v>1592</v>
      </c>
      <c r="AA272" s="96"/>
      <c r="AB272" s="154" t="s">
        <v>225</v>
      </c>
      <c r="AC272" s="226" t="s">
        <v>953</v>
      </c>
      <c r="AD272" s="72" t="s">
        <v>888</v>
      </c>
      <c r="AE272" s="302"/>
      <c r="AF272" s="194"/>
      <c r="AG272" s="194"/>
      <c r="AH272" s="67" t="s">
        <v>954</v>
      </c>
      <c r="AI272" s="24"/>
      <c r="AJ272" s="24"/>
      <c r="AK272" s="24"/>
    </row>
    <row r="273" spans="1:38" ht="79.2">
      <c r="A273" s="51">
        <v>264</v>
      </c>
      <c r="B273" s="81" t="str">
        <f t="shared" si="4"/>
        <v>0108</v>
      </c>
      <c r="C273" s="61" t="s">
        <v>1464</v>
      </c>
      <c r="D273" s="61" t="s">
        <v>476</v>
      </c>
      <c r="E273" s="323" t="s">
        <v>1233</v>
      </c>
      <c r="F273" s="115" t="s">
        <v>1049</v>
      </c>
      <c r="G273" s="115" t="s">
        <v>346</v>
      </c>
      <c r="H273" s="55" t="s">
        <v>637</v>
      </c>
      <c r="I273" s="79" t="s">
        <v>815</v>
      </c>
      <c r="J273" s="112" t="s">
        <v>0</v>
      </c>
      <c r="K273" s="61" t="s">
        <v>454</v>
      </c>
      <c r="L273" s="100" t="s">
        <v>1317</v>
      </c>
      <c r="M273" s="55" t="s">
        <v>236</v>
      </c>
      <c r="N273" s="282" t="s">
        <v>1215</v>
      </c>
      <c r="O273" s="238" t="s">
        <v>97</v>
      </c>
      <c r="P273" s="64" t="str">
        <f ca="1">IF(AND(OR(INDIRECT("K" &amp; ROW())="NAV-Premium",INDIRECT("K" &amp; ROW())="DA-Premium"),INDIRECT("M" &amp; ROW())="PARTITION_SCHEMA128__NavPiviJpn", INDIRECT("O" &amp; ROW())="JPN_SDB"),'SDB vs GN'!$B$41, IF(INDIRECT("H" &amp; ROW())="Chenc",'SDB vs GN'!$B$40, VLOOKUP(INDIRECT("O" &amp; ROW()),'SDB vs GN'!$A$16:$B$38,2,FALSE)))</f>
        <v>734_CN_831_AUSKRJPN</v>
      </c>
      <c r="Q273" s="64" t="s">
        <v>835</v>
      </c>
      <c r="R273" s="64" t="s">
        <v>61</v>
      </c>
      <c r="S273" s="157" t="s">
        <v>10</v>
      </c>
      <c r="T273" s="64" t="s">
        <v>449</v>
      </c>
      <c r="U273" s="104" t="s">
        <v>816</v>
      </c>
      <c r="V273" s="173" t="s">
        <v>607</v>
      </c>
      <c r="W273" s="76" t="s">
        <v>447</v>
      </c>
      <c r="X273" s="64" t="s">
        <v>521</v>
      </c>
      <c r="Y273" s="282" t="s">
        <v>1286</v>
      </c>
      <c r="Z273" s="282" t="s">
        <v>1592</v>
      </c>
      <c r="AA273" s="96"/>
      <c r="AB273" s="154" t="s">
        <v>225</v>
      </c>
      <c r="AC273" s="226" t="s">
        <v>2030</v>
      </c>
      <c r="AD273" s="72" t="s">
        <v>888</v>
      </c>
      <c r="AE273" s="302"/>
      <c r="AF273" s="194"/>
      <c r="AG273" s="194"/>
      <c r="AH273" s="67" t="s">
        <v>2029</v>
      </c>
      <c r="AI273" s="24"/>
      <c r="AJ273" s="24"/>
      <c r="AK273" s="24"/>
    </row>
    <row r="274" spans="1:38" ht="224.4">
      <c r="A274" s="51">
        <v>265</v>
      </c>
      <c r="B274" s="81" t="str">
        <f t="shared" si="4"/>
        <v>0109</v>
      </c>
      <c r="C274" s="61" t="s">
        <v>1463</v>
      </c>
      <c r="D274" s="61" t="s">
        <v>475</v>
      </c>
      <c r="E274" s="323" t="s">
        <v>1233</v>
      </c>
      <c r="F274" s="167" t="s">
        <v>1053</v>
      </c>
      <c r="G274" s="167" t="s">
        <v>479</v>
      </c>
      <c r="H274" s="55" t="s">
        <v>637</v>
      </c>
      <c r="I274" s="94" t="s">
        <v>4</v>
      </c>
      <c r="J274" s="112" t="s">
        <v>0</v>
      </c>
      <c r="K274" s="61" t="s">
        <v>478</v>
      </c>
      <c r="L274" s="100" t="s">
        <v>1317</v>
      </c>
      <c r="M274" s="55" t="s">
        <v>1027</v>
      </c>
      <c r="N274" s="282" t="s">
        <v>1215</v>
      </c>
      <c r="O274" s="238" t="s">
        <v>84</v>
      </c>
      <c r="P274" s="64" t="str">
        <f ca="1">IF(AND(OR(INDIRECT("K" &amp; ROW())="NAV-Premium",INDIRECT("K" &amp; ROW())="DA-Premium"),INDIRECT("M" &amp; ROW())="PARTITION_SCHEMA128__NavPiviJpn", INDIRECT("O" &amp; ROW())="JPN_SDB"),'SDB vs GN'!$B$41, IF(INDIRECT("H" &amp; ROW())="Chenc",'SDB vs GN'!$B$40, VLOOKUP(INDIRECT("O" &amp; ROW()),'SDB vs GN'!$A$16:$B$38,2,FALSE)))</f>
        <v>727_NAM</v>
      </c>
      <c r="Q274" s="64" t="s">
        <v>835</v>
      </c>
      <c r="R274" s="64" t="s">
        <v>60</v>
      </c>
      <c r="S274" s="157" t="s">
        <v>10</v>
      </c>
      <c r="T274" s="64" t="s">
        <v>449</v>
      </c>
      <c r="U274" s="104" t="s">
        <v>816</v>
      </c>
      <c r="V274" s="172" t="s">
        <v>7</v>
      </c>
      <c r="W274" s="76" t="s">
        <v>447</v>
      </c>
      <c r="X274" s="64" t="s">
        <v>521</v>
      </c>
      <c r="Y274" s="282" t="s">
        <v>1286</v>
      </c>
      <c r="Z274" s="282" t="s">
        <v>1592</v>
      </c>
      <c r="AA274" s="96"/>
      <c r="AB274" s="154" t="s">
        <v>225</v>
      </c>
      <c r="AC274" s="226" t="s">
        <v>2310</v>
      </c>
      <c r="AD274" s="72" t="s">
        <v>888</v>
      </c>
      <c r="AE274" s="302"/>
      <c r="AF274" s="194"/>
      <c r="AG274" s="194"/>
      <c r="AH274" s="67" t="s">
        <v>2309</v>
      </c>
      <c r="AI274" s="24"/>
      <c r="AJ274" s="24"/>
      <c r="AK274" s="24"/>
    </row>
    <row r="275" spans="1:38" ht="356.4">
      <c r="A275" s="51">
        <v>266</v>
      </c>
      <c r="B275" s="81" t="str">
        <f t="shared" si="4"/>
        <v>010A</v>
      </c>
      <c r="C275" s="61" t="s">
        <v>1462</v>
      </c>
      <c r="D275" s="61" t="s">
        <v>475</v>
      </c>
      <c r="E275" s="323" t="s">
        <v>1233</v>
      </c>
      <c r="F275" s="167" t="s">
        <v>1053</v>
      </c>
      <c r="G275" s="167" t="s">
        <v>479</v>
      </c>
      <c r="H275" s="55" t="s">
        <v>637</v>
      </c>
      <c r="I275" s="94" t="s">
        <v>4</v>
      </c>
      <c r="J275" s="112" t="s">
        <v>0</v>
      </c>
      <c r="K275" s="61" t="s">
        <v>478</v>
      </c>
      <c r="L275" s="100" t="s">
        <v>1317</v>
      </c>
      <c r="M275" s="55" t="s">
        <v>1027</v>
      </c>
      <c r="N275" s="282" t="s">
        <v>1215</v>
      </c>
      <c r="O275" s="238" t="s">
        <v>827</v>
      </c>
      <c r="P275" s="64" t="str">
        <f ca="1">IF(AND(OR(INDIRECT("K" &amp; ROW())="NAV-Premium",INDIRECT("K" &amp; ROW())="DA-Premium"),INDIRECT("M" &amp; ROW())="PARTITION_SCHEMA128__NavPiviJpn", INDIRECT("O" &amp; ROW())="JPN_SDB"),'SDB vs GN'!$B$41, IF(INDIRECT("H" &amp; ROW())="Chenc",'SDB vs GN'!$B$40, VLOOKUP(INDIRECT("O" &amp; ROW()),'SDB vs GN'!$A$16:$B$38,2,FALSE)))</f>
        <v>734_CN_831_AUSKRJPN</v>
      </c>
      <c r="Q275" s="64" t="s">
        <v>835</v>
      </c>
      <c r="R275" s="135" t="s">
        <v>59</v>
      </c>
      <c r="S275" s="157" t="s">
        <v>10</v>
      </c>
      <c r="T275" s="64" t="s">
        <v>449</v>
      </c>
      <c r="U275" s="104" t="s">
        <v>816</v>
      </c>
      <c r="V275" s="172" t="s">
        <v>7</v>
      </c>
      <c r="W275" s="76" t="s">
        <v>447</v>
      </c>
      <c r="X275" s="64" t="s">
        <v>521</v>
      </c>
      <c r="Y275" s="282" t="s">
        <v>1286</v>
      </c>
      <c r="Z275" s="282" t="s">
        <v>1592</v>
      </c>
      <c r="AA275" s="96"/>
      <c r="AB275" s="154" t="s">
        <v>225</v>
      </c>
      <c r="AC275" s="226" t="s">
        <v>2425</v>
      </c>
      <c r="AD275" s="72" t="s">
        <v>888</v>
      </c>
      <c r="AE275" s="302"/>
      <c r="AF275" s="194"/>
      <c r="AG275" s="194"/>
      <c r="AH275" s="67" t="s">
        <v>2426</v>
      </c>
      <c r="AI275" s="24"/>
      <c r="AJ275" s="24"/>
      <c r="AK275" s="24"/>
    </row>
    <row r="276" spans="1:38" ht="66">
      <c r="A276" s="51">
        <v>267</v>
      </c>
      <c r="B276" s="81" t="str">
        <f t="shared" si="4"/>
        <v>010B</v>
      </c>
      <c r="C276" s="155" t="s">
        <v>854</v>
      </c>
      <c r="D276" s="61" t="s">
        <v>567</v>
      </c>
      <c r="E276" s="323" t="s">
        <v>1233</v>
      </c>
      <c r="F276" s="78" t="s">
        <v>1052</v>
      </c>
      <c r="G276" s="78" t="s">
        <v>761</v>
      </c>
      <c r="H276" s="55" t="s">
        <v>637</v>
      </c>
      <c r="I276" s="79" t="s">
        <v>815</v>
      </c>
      <c r="J276" s="127" t="s">
        <v>1</v>
      </c>
      <c r="K276" s="79" t="s">
        <v>749</v>
      </c>
      <c r="L276" s="64" t="s">
        <v>856</v>
      </c>
      <c r="M276" s="55" t="s">
        <v>1614</v>
      </c>
      <c r="N276" s="282" t="s">
        <v>1215</v>
      </c>
      <c r="O276" s="238" t="s">
        <v>54</v>
      </c>
      <c r="P276" s="64" t="str">
        <f ca="1">IF(AND(OR(INDIRECT("K" &amp; ROW())="NAV-Premium",INDIRECT("K" &amp; ROW())="DA-Premium"),INDIRECT("M" &amp; ROW())="PARTITION_SCHEMA128__NavPiviJpn", INDIRECT("O" &amp; ROW())="JPN_SDB"),'SDB vs GN'!$B$41, IF(INDIRECT("H" &amp; ROW())="Chenc",'SDB vs GN'!$B$40, VLOOKUP(INDIRECT("O" &amp; ROW()),'SDB vs GN'!$A$16:$B$38,2,FALSE)))</f>
        <v>731_EUR</v>
      </c>
      <c r="Q276" s="79" t="s">
        <v>396</v>
      </c>
      <c r="R276" s="262" t="s">
        <v>61</v>
      </c>
      <c r="S276" s="157" t="s">
        <v>10</v>
      </c>
      <c r="T276" s="64" t="s">
        <v>449</v>
      </c>
      <c r="U276" s="104" t="s">
        <v>12</v>
      </c>
      <c r="V276" s="101" t="s">
        <v>553</v>
      </c>
      <c r="W276" s="76" t="s">
        <v>447</v>
      </c>
      <c r="X276" s="64" t="s">
        <v>521</v>
      </c>
      <c r="Y276" s="282" t="s">
        <v>1286</v>
      </c>
      <c r="Z276" s="282" t="s">
        <v>1592</v>
      </c>
      <c r="AA276" s="96"/>
      <c r="AB276" s="154" t="s">
        <v>225</v>
      </c>
      <c r="AC276" s="229" t="s">
        <v>1177</v>
      </c>
      <c r="AD276" s="72" t="s">
        <v>888</v>
      </c>
      <c r="AE276" s="302"/>
      <c r="AF276" s="194"/>
      <c r="AG276" s="194"/>
      <c r="AH276" s="67" t="s">
        <v>1176</v>
      </c>
      <c r="AI276" s="24"/>
      <c r="AJ276" s="24"/>
      <c r="AK276" s="24"/>
      <c r="AL276" s="24"/>
    </row>
    <row r="277" spans="1:38" ht="39.6">
      <c r="A277" s="51">
        <v>268</v>
      </c>
      <c r="B277" s="81" t="str">
        <f t="shared" si="4"/>
        <v>010C</v>
      </c>
      <c r="C277" s="155" t="s">
        <v>855</v>
      </c>
      <c r="D277" s="61" t="s">
        <v>567</v>
      </c>
      <c r="E277" s="323" t="s">
        <v>1233</v>
      </c>
      <c r="F277" s="78" t="s">
        <v>1052</v>
      </c>
      <c r="G277" s="78" t="s">
        <v>761</v>
      </c>
      <c r="H277" s="55" t="s">
        <v>637</v>
      </c>
      <c r="I277" s="94" t="s">
        <v>3</v>
      </c>
      <c r="J277" s="127" t="s">
        <v>1</v>
      </c>
      <c r="K277" s="79" t="s">
        <v>749</v>
      </c>
      <c r="L277" s="64" t="s">
        <v>856</v>
      </c>
      <c r="M277" s="55" t="s">
        <v>1614</v>
      </c>
      <c r="N277" s="282" t="s">
        <v>1215</v>
      </c>
      <c r="O277" s="238" t="s">
        <v>55</v>
      </c>
      <c r="P277" s="64" t="str">
        <f ca="1">IF(AND(OR(INDIRECT("K" &amp; ROW())="NAV-Premium",INDIRECT("K" &amp; ROW())="DA-Premium"),INDIRECT("M" &amp; ROW())="PARTITION_SCHEMA128__NavPiviJpn", INDIRECT("O" &amp; ROW())="JPN_SDB"),'SDB vs GN'!$B$41, IF(INDIRECT("H" &amp; ROW())="Chenc",'SDB vs GN'!$B$40, VLOOKUP(INDIRECT("O" &amp; ROW()),'SDB vs GN'!$A$16:$B$38,2,FALSE)))</f>
        <v>742_JPN_831_AUSKRJPN</v>
      </c>
      <c r="Q277" s="79" t="s">
        <v>396</v>
      </c>
      <c r="R277" s="262" t="s">
        <v>61</v>
      </c>
      <c r="S277" s="157" t="s">
        <v>10</v>
      </c>
      <c r="T277" s="64" t="s">
        <v>449</v>
      </c>
      <c r="U277" s="104" t="s">
        <v>12</v>
      </c>
      <c r="V277" s="68" t="s">
        <v>555</v>
      </c>
      <c r="W277" s="76" t="s">
        <v>447</v>
      </c>
      <c r="X277" s="64" t="s">
        <v>521</v>
      </c>
      <c r="Y277" s="282" t="s">
        <v>1286</v>
      </c>
      <c r="Z277" s="282" t="s">
        <v>1592</v>
      </c>
      <c r="AA277" s="96"/>
      <c r="AB277" s="154" t="s">
        <v>225</v>
      </c>
      <c r="AC277" s="229" t="s">
        <v>1179</v>
      </c>
      <c r="AD277" s="72" t="s">
        <v>888</v>
      </c>
      <c r="AE277" s="302"/>
      <c r="AF277" s="194"/>
      <c r="AG277" s="194"/>
      <c r="AH277" s="67" t="s">
        <v>1178</v>
      </c>
      <c r="AI277" s="24"/>
      <c r="AJ277" s="24"/>
      <c r="AK277" s="24"/>
      <c r="AL277" s="24"/>
    </row>
    <row r="278" spans="1:38" ht="66">
      <c r="A278" s="51">
        <v>269</v>
      </c>
      <c r="B278" s="81" t="str">
        <f t="shared" si="4"/>
        <v>010D</v>
      </c>
      <c r="C278" s="61" t="s">
        <v>898</v>
      </c>
      <c r="D278" s="94" t="s">
        <v>704</v>
      </c>
      <c r="E278" s="314" t="s">
        <v>1233</v>
      </c>
      <c r="F278" s="178" t="s">
        <v>1044</v>
      </c>
      <c r="G278" s="178" t="s">
        <v>345</v>
      </c>
      <c r="H278" s="55" t="s">
        <v>637</v>
      </c>
      <c r="I278" s="79" t="s">
        <v>815</v>
      </c>
      <c r="J278" s="112" t="s">
        <v>0</v>
      </c>
      <c r="K278" s="55" t="s">
        <v>452</v>
      </c>
      <c r="L278" s="158" t="s">
        <v>499</v>
      </c>
      <c r="M278" s="55" t="s">
        <v>254</v>
      </c>
      <c r="N278" s="282" t="s">
        <v>1215</v>
      </c>
      <c r="O278" s="238" t="s">
        <v>97</v>
      </c>
      <c r="P278" s="64" t="str">
        <f ca="1">IF(AND(OR(INDIRECT("K" &amp; ROW())="NAV-Premium",INDIRECT("K" &amp; ROW())="DA-Premium"),INDIRECT("M" &amp; ROW())="PARTITION_SCHEMA128__NavPiviJpn", INDIRECT("O" &amp; ROW())="JPN_SDB"),'SDB vs GN'!$B$41, IF(INDIRECT("H" &amp; ROW())="Chenc",'SDB vs GN'!$B$40, VLOOKUP(INDIRECT("O" &amp; ROW()),'SDB vs GN'!$A$16:$B$38,2,FALSE)))</f>
        <v>734_CN_831_AUSKRJPN</v>
      </c>
      <c r="Q278" s="79" t="s">
        <v>396</v>
      </c>
      <c r="R278" s="135" t="s">
        <v>59</v>
      </c>
      <c r="S278" s="157" t="s">
        <v>10</v>
      </c>
      <c r="T278" s="64" t="s">
        <v>449</v>
      </c>
      <c r="U278" s="104" t="s">
        <v>816</v>
      </c>
      <c r="V278" s="172" t="s">
        <v>728</v>
      </c>
      <c r="W278" s="76" t="s">
        <v>447</v>
      </c>
      <c r="X278" s="64" t="s">
        <v>362</v>
      </c>
      <c r="Y278" s="282" t="s">
        <v>1286</v>
      </c>
      <c r="Z278" s="282" t="s">
        <v>1592</v>
      </c>
      <c r="AA278" s="96"/>
      <c r="AB278" s="154" t="s">
        <v>225</v>
      </c>
      <c r="AC278" s="226" t="s">
        <v>1498</v>
      </c>
      <c r="AD278" s="72" t="s">
        <v>808</v>
      </c>
      <c r="AE278" s="302"/>
      <c r="AF278" s="194"/>
      <c r="AG278" s="194"/>
      <c r="AH278" s="67" t="s">
        <v>2366</v>
      </c>
      <c r="AI278" s="24"/>
      <c r="AJ278" s="24"/>
      <c r="AK278" s="24"/>
      <c r="AL278" s="24"/>
    </row>
    <row r="279" spans="1:38" ht="409.6">
      <c r="A279" s="51">
        <v>270</v>
      </c>
      <c r="B279" s="81" t="str">
        <f t="shared" si="4"/>
        <v>010E</v>
      </c>
      <c r="C279" s="102" t="s">
        <v>934</v>
      </c>
      <c r="D279" s="94" t="s">
        <v>136</v>
      </c>
      <c r="E279" s="314" t="s">
        <v>1233</v>
      </c>
      <c r="F279" s="177" t="s">
        <v>1046</v>
      </c>
      <c r="G279" s="177" t="s">
        <v>344</v>
      </c>
      <c r="H279" s="55" t="s">
        <v>637</v>
      </c>
      <c r="I279" s="94" t="s">
        <v>4</v>
      </c>
      <c r="J279" s="112" t="s">
        <v>0</v>
      </c>
      <c r="K279" s="55" t="s">
        <v>451</v>
      </c>
      <c r="L279" s="158" t="s">
        <v>499</v>
      </c>
      <c r="M279" s="168" t="s">
        <v>255</v>
      </c>
      <c r="N279" s="282" t="s">
        <v>1215</v>
      </c>
      <c r="O279" s="238" t="s">
        <v>827</v>
      </c>
      <c r="P279" s="64" t="str">
        <f ca="1">IF(AND(OR(INDIRECT("K" &amp; ROW())="NAV-Premium",INDIRECT("K" &amp; ROW())="DA-Premium"),INDIRECT("M" &amp; ROW())="PARTITION_SCHEMA128__NavPiviJpn", INDIRECT("O" &amp; ROW())="JPN_SDB"),'SDB vs GN'!$B$41, IF(INDIRECT("H" &amp; ROW())="Chenc",'SDB vs GN'!$B$40, VLOOKUP(INDIRECT("O" &amp; ROW()),'SDB vs GN'!$A$16:$B$38,2,FALSE)))</f>
        <v>734_CN_831_AUSKRJPN</v>
      </c>
      <c r="Q279" s="79" t="s">
        <v>396</v>
      </c>
      <c r="R279" s="135" t="s">
        <v>59</v>
      </c>
      <c r="S279" s="157" t="s">
        <v>10</v>
      </c>
      <c r="T279" s="64" t="s">
        <v>449</v>
      </c>
      <c r="U279" s="104" t="s">
        <v>816</v>
      </c>
      <c r="V279" s="172" t="s">
        <v>7</v>
      </c>
      <c r="W279" s="129" t="s">
        <v>2184</v>
      </c>
      <c r="X279" s="64" t="s">
        <v>521</v>
      </c>
      <c r="Y279" s="282" t="s">
        <v>1286</v>
      </c>
      <c r="Z279" s="282" t="s">
        <v>1592</v>
      </c>
      <c r="AA279" s="96"/>
      <c r="AB279" s="154" t="s">
        <v>225</v>
      </c>
      <c r="AC279" s="226" t="s">
        <v>2406</v>
      </c>
      <c r="AD279" s="72" t="s">
        <v>808</v>
      </c>
      <c r="AE279" s="302"/>
      <c r="AF279" s="194"/>
      <c r="AG279" s="194"/>
      <c r="AH279" s="67" t="s">
        <v>2405</v>
      </c>
      <c r="AI279" s="24"/>
      <c r="AJ279" s="24"/>
      <c r="AK279" s="24"/>
      <c r="AL279" s="24"/>
    </row>
    <row r="280" spans="1:38" ht="158.4">
      <c r="A280" s="51">
        <v>271</v>
      </c>
      <c r="B280" s="81" t="str">
        <f t="shared" si="4"/>
        <v>010F</v>
      </c>
      <c r="C280" s="94" t="s">
        <v>869</v>
      </c>
      <c r="D280" s="94" t="s">
        <v>704</v>
      </c>
      <c r="E280" s="314" t="s">
        <v>1233</v>
      </c>
      <c r="F280" s="178" t="s">
        <v>1044</v>
      </c>
      <c r="G280" s="178" t="s">
        <v>345</v>
      </c>
      <c r="H280" s="55" t="s">
        <v>637</v>
      </c>
      <c r="I280" s="79" t="s">
        <v>815</v>
      </c>
      <c r="J280" s="112" t="s">
        <v>0</v>
      </c>
      <c r="K280" s="55" t="s">
        <v>452</v>
      </c>
      <c r="L280" s="100" t="s">
        <v>1271</v>
      </c>
      <c r="M280" s="55" t="s">
        <v>254</v>
      </c>
      <c r="N280" s="282" t="s">
        <v>1215</v>
      </c>
      <c r="O280" s="238" t="s">
        <v>825</v>
      </c>
      <c r="P280" s="64" t="str">
        <f ca="1">IF(AND(OR(INDIRECT("K" &amp; ROW())="NAV-Premium",INDIRECT("K" &amp; ROW())="DA-Premium"),INDIRECT("M" &amp; ROW())="PARTITION_SCHEMA128__NavPiviJpn", INDIRECT("O" &amp; ROW())="JPN_SDB"),'SDB vs GN'!$B$41, IF(INDIRECT("H" &amp; ROW())="Chenc",'SDB vs GN'!$B$40, VLOOKUP(INDIRECT("O" &amp; ROW()),'SDB vs GN'!$A$16:$B$38,2,FALSE)))</f>
        <v>831_AUSKRJPN</v>
      </c>
      <c r="Q280" s="79" t="s">
        <v>396</v>
      </c>
      <c r="R280" s="135" t="s">
        <v>59</v>
      </c>
      <c r="S280" s="157" t="s">
        <v>10</v>
      </c>
      <c r="T280" s="64" t="s">
        <v>449</v>
      </c>
      <c r="U280" s="104" t="s">
        <v>816</v>
      </c>
      <c r="V280" s="172" t="s">
        <v>605</v>
      </c>
      <c r="W280" s="76" t="s">
        <v>447</v>
      </c>
      <c r="X280" s="64" t="s">
        <v>521</v>
      </c>
      <c r="Y280" s="282" t="s">
        <v>1286</v>
      </c>
      <c r="Z280" s="282" t="s">
        <v>1592</v>
      </c>
      <c r="AA280" s="96"/>
      <c r="AB280" s="154" t="s">
        <v>225</v>
      </c>
      <c r="AC280" s="226" t="s">
        <v>2055</v>
      </c>
      <c r="AD280" s="72" t="s">
        <v>808</v>
      </c>
      <c r="AE280" s="302"/>
      <c r="AF280" s="194"/>
      <c r="AG280" s="194"/>
      <c r="AH280" s="67" t="s">
        <v>2056</v>
      </c>
      <c r="AI280" s="24"/>
      <c r="AJ280" s="24"/>
      <c r="AK280" s="24"/>
      <c r="AL280" s="24"/>
    </row>
    <row r="281" spans="1:38" ht="79.2">
      <c r="A281" s="51">
        <v>272</v>
      </c>
      <c r="B281" s="81" t="str">
        <f t="shared" si="4"/>
        <v>0110</v>
      </c>
      <c r="C281" s="155" t="s">
        <v>897</v>
      </c>
      <c r="D281" s="94" t="s">
        <v>136</v>
      </c>
      <c r="E281" s="314" t="s">
        <v>1233</v>
      </c>
      <c r="F281" s="177" t="s">
        <v>1046</v>
      </c>
      <c r="G281" s="177" t="s">
        <v>344</v>
      </c>
      <c r="H281" s="55" t="s">
        <v>637</v>
      </c>
      <c r="I281" s="94" t="s">
        <v>4</v>
      </c>
      <c r="J281" s="112" t="s">
        <v>0</v>
      </c>
      <c r="K281" s="166" t="s">
        <v>110</v>
      </c>
      <c r="L281" s="100" t="s">
        <v>1271</v>
      </c>
      <c r="M281" s="168" t="s">
        <v>255</v>
      </c>
      <c r="N281" s="282" t="s">
        <v>1215</v>
      </c>
      <c r="O281" s="238" t="s">
        <v>828</v>
      </c>
      <c r="P281" s="64" t="str">
        <f ca="1">IF(AND(OR(INDIRECT("K" &amp; ROW())="NAV-Premium",INDIRECT("K" &amp; ROW())="DA-Premium"),INDIRECT("M" &amp; ROW())="PARTITION_SCHEMA128__NavPiviJpn", INDIRECT("O" &amp; ROW())="JPN_SDB"),'SDB vs GN'!$B$41, IF(INDIRECT("H" &amp; ROW())="Chenc",'SDB vs GN'!$B$40, VLOOKUP(INDIRECT("O" &amp; ROW()),'SDB vs GN'!$A$16:$B$38,2,FALSE)))</f>
        <v>735_LA_831_AUSKRJPN</v>
      </c>
      <c r="Q281" s="79" t="s">
        <v>396</v>
      </c>
      <c r="R281" s="135" t="s">
        <v>59</v>
      </c>
      <c r="S281" s="157" t="s">
        <v>10</v>
      </c>
      <c r="T281" s="64" t="s">
        <v>449</v>
      </c>
      <c r="U281" s="104" t="s">
        <v>816</v>
      </c>
      <c r="V281" s="172" t="s">
        <v>7</v>
      </c>
      <c r="W281" s="129" t="s">
        <v>2184</v>
      </c>
      <c r="X281" s="64" t="s">
        <v>521</v>
      </c>
      <c r="Y281" s="282" t="s">
        <v>1286</v>
      </c>
      <c r="Z281" s="282" t="s">
        <v>1592</v>
      </c>
      <c r="AA281" s="96"/>
      <c r="AB281" s="154" t="s">
        <v>225</v>
      </c>
      <c r="AC281" s="226" t="s">
        <v>1734</v>
      </c>
      <c r="AD281" s="72" t="s">
        <v>808</v>
      </c>
      <c r="AE281" s="302"/>
      <c r="AF281" s="194"/>
      <c r="AG281" s="194"/>
      <c r="AH281" s="67" t="s">
        <v>1733</v>
      </c>
      <c r="AI281" s="24"/>
      <c r="AJ281" s="24"/>
      <c r="AK281" s="24"/>
      <c r="AL281" s="24"/>
    </row>
    <row r="282" spans="1:38" ht="409.6">
      <c r="A282" s="51">
        <v>273</v>
      </c>
      <c r="B282" s="81" t="str">
        <f t="shared" ref="B282" si="5">DEC2HEX(A282,4)</f>
        <v>0111</v>
      </c>
      <c r="C282" s="64" t="s">
        <v>1422</v>
      </c>
      <c r="D282" s="94" t="s">
        <v>136</v>
      </c>
      <c r="E282" s="314" t="s">
        <v>1233</v>
      </c>
      <c r="F282" s="327" t="s">
        <v>1054</v>
      </c>
      <c r="G282" s="327" t="s">
        <v>344</v>
      </c>
      <c r="H282" s="55" t="s">
        <v>637</v>
      </c>
      <c r="I282" s="158" t="s">
        <v>4</v>
      </c>
      <c r="J282" s="55" t="s">
        <v>0</v>
      </c>
      <c r="K282" s="55" t="s">
        <v>451</v>
      </c>
      <c r="L282" s="100" t="s">
        <v>857</v>
      </c>
      <c r="M282" s="55" t="s">
        <v>255</v>
      </c>
      <c r="N282" s="282" t="s">
        <v>1215</v>
      </c>
      <c r="O282" s="238" t="s">
        <v>84</v>
      </c>
      <c r="P282" s="64" t="str">
        <f ca="1">IF(AND(OR(INDIRECT("K" &amp; ROW())="NAV-Premium",INDIRECT("K" &amp; ROW())="DA-Premium"),INDIRECT("M" &amp; ROW())="PARTITION_SCHEMA128__NavPiviJpn", INDIRECT("O" &amp; ROW())="JPN_SDB"),'SDB vs GN'!$B$41, IF(INDIRECT("H" &amp; ROW())="Chenc",'SDB vs GN'!$B$40, VLOOKUP(INDIRECT("O" &amp; ROW()),'SDB vs GN'!$A$16:$B$38,2,FALSE)))</f>
        <v>727_NAM</v>
      </c>
      <c r="Q282" s="79" t="s">
        <v>20</v>
      </c>
      <c r="R282" s="67" t="s">
        <v>59</v>
      </c>
      <c r="S282" s="103" t="s">
        <v>10</v>
      </c>
      <c r="T282" s="64" t="s">
        <v>450</v>
      </c>
      <c r="U282" s="159" t="s">
        <v>816</v>
      </c>
      <c r="V282" s="101" t="s">
        <v>7</v>
      </c>
      <c r="W282" s="129" t="s">
        <v>2184</v>
      </c>
      <c r="X282" s="64" t="s">
        <v>521</v>
      </c>
      <c r="Y282" s="282" t="s">
        <v>1286</v>
      </c>
      <c r="Z282" s="282" t="s">
        <v>1592</v>
      </c>
      <c r="AA282" s="96"/>
      <c r="AB282" s="105" t="s">
        <v>225</v>
      </c>
      <c r="AC282" s="229" t="s">
        <v>2644</v>
      </c>
      <c r="AD282" s="72" t="s">
        <v>808</v>
      </c>
      <c r="AE282" s="302" t="s">
        <v>2346</v>
      </c>
      <c r="AF282" s="67"/>
      <c r="AG282" s="67"/>
      <c r="AH282" s="97" t="s">
        <v>2645</v>
      </c>
      <c r="AI282" s="24"/>
      <c r="AJ282" s="24"/>
      <c r="AK282" s="24"/>
      <c r="AL282" s="24"/>
    </row>
    <row r="283" spans="1:38">
      <c r="A283" s="51">
        <v>274</v>
      </c>
      <c r="B283" s="81" t="str">
        <f t="shared" si="4"/>
        <v>0112</v>
      </c>
      <c r="C283" s="64" t="s">
        <v>1423</v>
      </c>
      <c r="D283" s="166" t="s">
        <v>232</v>
      </c>
      <c r="E283" s="282" t="s">
        <v>1233</v>
      </c>
      <c r="F283" s="267" t="s">
        <v>1055</v>
      </c>
      <c r="G283" s="252" t="s">
        <v>879</v>
      </c>
      <c r="H283" s="55" t="s">
        <v>637</v>
      </c>
      <c r="I283" s="79" t="s">
        <v>815</v>
      </c>
      <c r="J283" s="55" t="s">
        <v>0</v>
      </c>
      <c r="K283" s="55" t="s">
        <v>452</v>
      </c>
      <c r="L283" s="100" t="s">
        <v>857</v>
      </c>
      <c r="M283" s="55" t="s">
        <v>236</v>
      </c>
      <c r="N283" s="282" t="s">
        <v>1215</v>
      </c>
      <c r="O283" s="238" t="s">
        <v>84</v>
      </c>
      <c r="P283" s="64" t="str">
        <f ca="1">IF(AND(OR(INDIRECT("K" &amp; ROW())="NAV-Premium",INDIRECT("K" &amp; ROW())="DA-Premium"),INDIRECT("M" &amp; ROW())="PARTITION_SCHEMA128__NavPiviJpn", INDIRECT("O" &amp; ROW())="JPN_SDB"),'SDB vs GN'!$B$41, IF(INDIRECT("H" &amp; ROW())="Chenc",'SDB vs GN'!$B$40, VLOOKUP(INDIRECT("O" &amp; ROW()),'SDB vs GN'!$A$16:$B$38,2,FALSE)))</f>
        <v>727_NAM</v>
      </c>
      <c r="Q283" s="79" t="s">
        <v>20</v>
      </c>
      <c r="R283" s="162" t="s">
        <v>59</v>
      </c>
      <c r="S283" s="103" t="s">
        <v>10</v>
      </c>
      <c r="T283" s="156" t="s">
        <v>449</v>
      </c>
      <c r="U283" s="104" t="s">
        <v>816</v>
      </c>
      <c r="V283" s="173" t="s">
        <v>1131</v>
      </c>
      <c r="W283" s="76" t="s">
        <v>447</v>
      </c>
      <c r="X283" s="156" t="s">
        <v>521</v>
      </c>
      <c r="Y283" s="282" t="s">
        <v>1286</v>
      </c>
      <c r="Z283" s="282" t="s">
        <v>1592</v>
      </c>
      <c r="AA283" s="96"/>
      <c r="AB283" s="105" t="s">
        <v>225</v>
      </c>
      <c r="AC283" s="229" t="s">
        <v>858</v>
      </c>
      <c r="AD283" s="67" t="s">
        <v>888</v>
      </c>
      <c r="AE283" s="302"/>
      <c r="AF283" s="67"/>
      <c r="AG283" s="67"/>
      <c r="AH283" s="161" t="s">
        <v>1384</v>
      </c>
      <c r="AI283" s="24"/>
      <c r="AJ283" s="24"/>
      <c r="AK283" s="24"/>
      <c r="AL283" s="24"/>
    </row>
    <row r="284" spans="1:38">
      <c r="A284" s="51">
        <v>275</v>
      </c>
      <c r="B284" s="81" t="str">
        <f t="shared" si="4"/>
        <v>0113</v>
      </c>
      <c r="C284" s="64" t="s">
        <v>1424</v>
      </c>
      <c r="D284" s="61" t="s">
        <v>567</v>
      </c>
      <c r="E284" s="323" t="s">
        <v>1233</v>
      </c>
      <c r="F284" s="267" t="s">
        <v>1055</v>
      </c>
      <c r="G284" s="252" t="s">
        <v>879</v>
      </c>
      <c r="H284" s="55" t="s">
        <v>637</v>
      </c>
      <c r="I284" s="79" t="s">
        <v>815</v>
      </c>
      <c r="J284" s="55" t="s">
        <v>0</v>
      </c>
      <c r="K284" s="55" t="s">
        <v>452</v>
      </c>
      <c r="L284" s="100" t="s">
        <v>857</v>
      </c>
      <c r="M284" s="55" t="s">
        <v>1375</v>
      </c>
      <c r="N284" s="282" t="s">
        <v>1215</v>
      </c>
      <c r="O284" s="238" t="s">
        <v>84</v>
      </c>
      <c r="P284" s="64" t="str">
        <f ca="1">IF(AND(OR(INDIRECT("K" &amp; ROW())="NAV-Premium",INDIRECT("K" &amp; ROW())="DA-Premium"),INDIRECT("M" &amp; ROW())="PARTITION_SCHEMA128__NavPiviJpn", INDIRECT("O" &amp; ROW())="JPN_SDB"),'SDB vs GN'!$B$41, IF(INDIRECT("H" &amp; ROW())="Chenc",'SDB vs GN'!$B$40, VLOOKUP(INDIRECT("O" &amp; ROW()),'SDB vs GN'!$A$16:$B$38,2,FALSE)))</f>
        <v>727_NAM</v>
      </c>
      <c r="Q284" s="79" t="s">
        <v>20</v>
      </c>
      <c r="R284" s="64" t="s">
        <v>60</v>
      </c>
      <c r="S284" s="103" t="s">
        <v>10</v>
      </c>
      <c r="T284" s="64" t="s">
        <v>450</v>
      </c>
      <c r="U284" s="104" t="s">
        <v>816</v>
      </c>
      <c r="V284" s="173" t="s">
        <v>1131</v>
      </c>
      <c r="W284" s="76" t="s">
        <v>447</v>
      </c>
      <c r="X284" s="64" t="s">
        <v>521</v>
      </c>
      <c r="Y284" s="282" t="s">
        <v>1286</v>
      </c>
      <c r="Z284" s="282" t="s">
        <v>1592</v>
      </c>
      <c r="AA284" s="96"/>
      <c r="AB284" s="105" t="s">
        <v>225</v>
      </c>
      <c r="AC284" s="229" t="s">
        <v>860</v>
      </c>
      <c r="AD284" s="67" t="s">
        <v>888</v>
      </c>
      <c r="AE284" s="302"/>
      <c r="AF284" s="67"/>
      <c r="AG284" s="67"/>
      <c r="AH284" s="97" t="s">
        <v>861</v>
      </c>
      <c r="AI284" s="24"/>
      <c r="AJ284" s="24"/>
      <c r="AK284" s="24"/>
      <c r="AL284" s="24"/>
    </row>
    <row r="285" spans="1:38" ht="409.6">
      <c r="A285" s="51">
        <v>276</v>
      </c>
      <c r="B285" s="81" t="str">
        <f t="shared" si="4"/>
        <v>0114</v>
      </c>
      <c r="C285" s="61" t="s">
        <v>1434</v>
      </c>
      <c r="D285" s="94" t="s">
        <v>704</v>
      </c>
      <c r="E285" s="314" t="s">
        <v>1233</v>
      </c>
      <c r="F285" s="178" t="s">
        <v>1044</v>
      </c>
      <c r="G285" s="178" t="s">
        <v>345</v>
      </c>
      <c r="H285" s="55" t="s">
        <v>637</v>
      </c>
      <c r="I285" s="79" t="s">
        <v>815</v>
      </c>
      <c r="J285" s="55" t="s">
        <v>0</v>
      </c>
      <c r="K285" s="55" t="s">
        <v>452</v>
      </c>
      <c r="L285" s="158" t="s">
        <v>499</v>
      </c>
      <c r="M285" s="55" t="s">
        <v>256</v>
      </c>
      <c r="N285" s="282" t="s">
        <v>1215</v>
      </c>
      <c r="O285" s="238" t="s">
        <v>54</v>
      </c>
      <c r="P285" s="64" t="str">
        <f ca="1">IF(AND(OR(INDIRECT("K" &amp; ROW())="NAV-Premium",INDIRECT("K" &amp; ROW())="DA-Premium"),INDIRECT("M" &amp; ROW())="PARTITION_SCHEMA128__NavPiviJpn", INDIRECT("O" &amp; ROW())="JPN_SDB"),'SDB vs GN'!$B$41, IF(INDIRECT("H" &amp; ROW())="Chenc",'SDB vs GN'!$B$40, VLOOKUP(INDIRECT("O" &amp; ROW()),'SDB vs GN'!$A$16:$B$38,2,FALSE)))</f>
        <v>731_EUR</v>
      </c>
      <c r="Q285" s="79" t="s">
        <v>396</v>
      </c>
      <c r="R285" s="64" t="s">
        <v>61</v>
      </c>
      <c r="S285" s="103" t="s">
        <v>10</v>
      </c>
      <c r="T285" s="64" t="s">
        <v>449</v>
      </c>
      <c r="U285" s="104" t="s">
        <v>816</v>
      </c>
      <c r="V285" s="173" t="s">
        <v>1132</v>
      </c>
      <c r="W285" s="76" t="s">
        <v>447</v>
      </c>
      <c r="X285" s="64" t="s">
        <v>521</v>
      </c>
      <c r="Y285" s="282" t="s">
        <v>1286</v>
      </c>
      <c r="Z285" s="282" t="s">
        <v>1592</v>
      </c>
      <c r="AA285" s="96"/>
      <c r="AB285" s="105" t="s">
        <v>225</v>
      </c>
      <c r="AC285" s="226" t="s">
        <v>2525</v>
      </c>
      <c r="AD285" s="72" t="s">
        <v>808</v>
      </c>
      <c r="AE285" s="302"/>
      <c r="AF285" s="67"/>
      <c r="AG285" s="67"/>
      <c r="AH285" s="67" t="s">
        <v>2526</v>
      </c>
      <c r="AI285" s="24"/>
      <c r="AJ285" s="24"/>
      <c r="AK285" s="24"/>
      <c r="AL285" s="24"/>
    </row>
    <row r="286" spans="1:38" ht="39.6">
      <c r="A286" s="51">
        <v>277</v>
      </c>
      <c r="B286" s="81" t="str">
        <f t="shared" si="4"/>
        <v>0115</v>
      </c>
      <c r="C286" s="61" t="s">
        <v>805</v>
      </c>
      <c r="D286" s="94" t="s">
        <v>704</v>
      </c>
      <c r="E286" s="314" t="s">
        <v>1233</v>
      </c>
      <c r="F286" s="178" t="s">
        <v>1044</v>
      </c>
      <c r="G286" s="178" t="s">
        <v>345</v>
      </c>
      <c r="H286" s="55" t="s">
        <v>637</v>
      </c>
      <c r="I286" s="79" t="s">
        <v>815</v>
      </c>
      <c r="J286" s="55" t="s">
        <v>0</v>
      </c>
      <c r="K286" s="55" t="s">
        <v>452</v>
      </c>
      <c r="L286" s="158" t="s">
        <v>499</v>
      </c>
      <c r="M286" s="55" t="s">
        <v>254</v>
      </c>
      <c r="N286" s="282" t="s">
        <v>1215</v>
      </c>
      <c r="O286" s="238" t="s">
        <v>73</v>
      </c>
      <c r="P286" s="64" t="str">
        <f ca="1">IF(AND(OR(INDIRECT("K" &amp; ROW())="NAV-Premium",INDIRECT("K" &amp; ROW())="DA-Premium"),INDIRECT("M" &amp; ROW())="PARTITION_SCHEMA128__NavPiviJpn", INDIRECT("O" &amp; ROW())="JPN_SDB"),'SDB vs GN'!$B$41, IF(INDIRECT("H" &amp; ROW())="Chenc",'SDB vs GN'!$B$40, VLOOKUP(INDIRECT("O" &amp; ROW()),'SDB vs GN'!$A$16:$B$38,2,FALSE)))</f>
        <v>731_EUR</v>
      </c>
      <c r="Q286" s="79" t="s">
        <v>396</v>
      </c>
      <c r="R286" s="135" t="s">
        <v>59</v>
      </c>
      <c r="S286" s="103" t="s">
        <v>10</v>
      </c>
      <c r="T286" s="64" t="s">
        <v>449</v>
      </c>
      <c r="U286" s="104" t="s">
        <v>816</v>
      </c>
      <c r="V286" s="357" t="s">
        <v>787</v>
      </c>
      <c r="W286" s="76" t="s">
        <v>447</v>
      </c>
      <c r="X286" s="64" t="s">
        <v>521</v>
      </c>
      <c r="Y286" s="282" t="s">
        <v>1286</v>
      </c>
      <c r="Z286" s="282" t="s">
        <v>1592</v>
      </c>
      <c r="AA286" s="96"/>
      <c r="AB286" s="105" t="s">
        <v>225</v>
      </c>
      <c r="AC286" s="226" t="s">
        <v>1369</v>
      </c>
      <c r="AD286" s="72" t="s">
        <v>808</v>
      </c>
      <c r="AE286" s="302"/>
      <c r="AF286" s="67"/>
      <c r="AG286" s="67"/>
      <c r="AH286" s="67" t="s">
        <v>2368</v>
      </c>
      <c r="AI286" s="24"/>
      <c r="AJ286" s="24"/>
      <c r="AK286" s="24"/>
      <c r="AL286" s="24"/>
    </row>
    <row r="287" spans="1:38" ht="224.4">
      <c r="A287" s="51">
        <v>278</v>
      </c>
      <c r="B287" s="81" t="str">
        <f t="shared" si="4"/>
        <v>0116</v>
      </c>
      <c r="C287" s="61" t="s">
        <v>1480</v>
      </c>
      <c r="D287" s="94" t="s">
        <v>704</v>
      </c>
      <c r="E287" s="314" t="s">
        <v>1233</v>
      </c>
      <c r="F287" s="178" t="s">
        <v>1044</v>
      </c>
      <c r="G287" s="178" t="s">
        <v>345</v>
      </c>
      <c r="H287" s="55" t="s">
        <v>637</v>
      </c>
      <c r="I287" s="79" t="s">
        <v>815</v>
      </c>
      <c r="J287" s="55" t="s">
        <v>0</v>
      </c>
      <c r="K287" s="55" t="s">
        <v>452</v>
      </c>
      <c r="L287" s="158" t="s">
        <v>499</v>
      </c>
      <c r="M287" s="55" t="s">
        <v>254</v>
      </c>
      <c r="N287" s="282" t="s">
        <v>1215</v>
      </c>
      <c r="O287" s="238" t="s">
        <v>97</v>
      </c>
      <c r="P287" s="64" t="str">
        <f ca="1">IF(AND(OR(INDIRECT("K" &amp; ROW())="NAV-Premium",INDIRECT("K" &amp; ROW())="DA-Premium"),INDIRECT("M" &amp; ROW())="PARTITION_SCHEMA128__NavPiviJpn", INDIRECT("O" &amp; ROW())="JPN_SDB"),'SDB vs GN'!$B$41, IF(INDIRECT("H" &amp; ROW())="Chenc",'SDB vs GN'!$B$40, VLOOKUP(INDIRECT("O" &amp; ROW()),'SDB vs GN'!$A$16:$B$38,2,FALSE)))</f>
        <v>734_CN_831_AUSKRJPN</v>
      </c>
      <c r="Q287" s="79" t="s">
        <v>396</v>
      </c>
      <c r="R287" s="64" t="s">
        <v>61</v>
      </c>
      <c r="S287" s="103" t="s">
        <v>10</v>
      </c>
      <c r="T287" s="64" t="s">
        <v>449</v>
      </c>
      <c r="U287" s="104" t="s">
        <v>816</v>
      </c>
      <c r="V287" s="172" t="s">
        <v>728</v>
      </c>
      <c r="W287" s="76" t="s">
        <v>447</v>
      </c>
      <c r="X287" s="64" t="s">
        <v>521</v>
      </c>
      <c r="Y287" s="282" t="s">
        <v>1286</v>
      </c>
      <c r="Z287" s="282" t="s">
        <v>1592</v>
      </c>
      <c r="AA287" s="96"/>
      <c r="AB287" s="105" t="s">
        <v>225</v>
      </c>
      <c r="AC287" s="226" t="s">
        <v>2400</v>
      </c>
      <c r="AD287" s="72" t="s">
        <v>808</v>
      </c>
      <c r="AE287" s="302"/>
      <c r="AF287" s="67"/>
      <c r="AG287" s="67"/>
      <c r="AH287" s="67" t="s">
        <v>2399</v>
      </c>
      <c r="AI287" s="24"/>
      <c r="AJ287" s="24"/>
      <c r="AK287" s="24"/>
      <c r="AL287" s="24"/>
    </row>
    <row r="288" spans="1:38" ht="79.2">
      <c r="A288" s="51">
        <v>279</v>
      </c>
      <c r="B288" s="81" t="str">
        <f t="shared" si="4"/>
        <v>0117</v>
      </c>
      <c r="C288" s="61" t="s">
        <v>873</v>
      </c>
      <c r="D288" s="94" t="s">
        <v>704</v>
      </c>
      <c r="E288" s="314" t="s">
        <v>1233</v>
      </c>
      <c r="F288" s="178" t="s">
        <v>1044</v>
      </c>
      <c r="G288" s="178" t="s">
        <v>345</v>
      </c>
      <c r="H288" s="55" t="s">
        <v>637</v>
      </c>
      <c r="I288" s="79" t="s">
        <v>815</v>
      </c>
      <c r="J288" s="55" t="s">
        <v>0</v>
      </c>
      <c r="K288" s="55" t="s">
        <v>452</v>
      </c>
      <c r="L288" s="158" t="s">
        <v>499</v>
      </c>
      <c r="M288" s="55" t="s">
        <v>254</v>
      </c>
      <c r="N288" s="282" t="s">
        <v>1215</v>
      </c>
      <c r="O288" s="238" t="s">
        <v>97</v>
      </c>
      <c r="P288" s="64" t="str">
        <f ca="1">IF(AND(OR(INDIRECT("K" &amp; ROW())="NAV-Premium",INDIRECT("K" &amp; ROW())="DA-Premium"),INDIRECT("M" &amp; ROW())="PARTITION_SCHEMA128__NavPiviJpn", INDIRECT("O" &amp; ROW())="JPN_SDB"),'SDB vs GN'!$B$41, IF(INDIRECT("H" &amp; ROW())="Chenc",'SDB vs GN'!$B$40, VLOOKUP(INDIRECT("O" &amp; ROW()),'SDB vs GN'!$A$16:$B$38,2,FALSE)))</f>
        <v>734_CN_831_AUSKRJPN</v>
      </c>
      <c r="Q288" s="79" t="s">
        <v>396</v>
      </c>
      <c r="R288" s="135" t="s">
        <v>59</v>
      </c>
      <c r="S288" s="103" t="s">
        <v>10</v>
      </c>
      <c r="T288" s="64" t="s">
        <v>449</v>
      </c>
      <c r="U288" s="104" t="s">
        <v>816</v>
      </c>
      <c r="V288" s="172" t="s">
        <v>786</v>
      </c>
      <c r="W288" s="76" t="s">
        <v>447</v>
      </c>
      <c r="X288" s="64" t="s">
        <v>521</v>
      </c>
      <c r="Y288" s="282" t="s">
        <v>1286</v>
      </c>
      <c r="Z288" s="282" t="s">
        <v>1592</v>
      </c>
      <c r="AA288" s="96"/>
      <c r="AB288" s="105" t="s">
        <v>225</v>
      </c>
      <c r="AC288" s="226" t="s">
        <v>2402</v>
      </c>
      <c r="AD288" s="72" t="s">
        <v>808</v>
      </c>
      <c r="AE288" s="302"/>
      <c r="AF288" s="67"/>
      <c r="AG288" s="67"/>
      <c r="AH288" s="67" t="s">
        <v>2401</v>
      </c>
      <c r="AI288" s="24"/>
      <c r="AJ288" s="24"/>
      <c r="AK288" s="24"/>
      <c r="AL288" s="24"/>
    </row>
    <row r="289" spans="1:38" ht="52.8">
      <c r="A289" s="51">
        <v>280</v>
      </c>
      <c r="B289" s="81" t="str">
        <f t="shared" si="4"/>
        <v>0118</v>
      </c>
      <c r="C289" s="61" t="s">
        <v>1475</v>
      </c>
      <c r="D289" s="94" t="s">
        <v>704</v>
      </c>
      <c r="E289" s="314" t="s">
        <v>1233</v>
      </c>
      <c r="F289" s="178" t="s">
        <v>1044</v>
      </c>
      <c r="G289" s="178" t="s">
        <v>345</v>
      </c>
      <c r="H289" s="55" t="s">
        <v>637</v>
      </c>
      <c r="I289" s="79" t="s">
        <v>815</v>
      </c>
      <c r="J289" s="55" t="s">
        <v>0</v>
      </c>
      <c r="K289" s="55" t="s">
        <v>452</v>
      </c>
      <c r="L289" s="158" t="s">
        <v>499</v>
      </c>
      <c r="M289" s="55" t="s">
        <v>256</v>
      </c>
      <c r="N289" s="282" t="s">
        <v>1215</v>
      </c>
      <c r="O289" s="238" t="s">
        <v>54</v>
      </c>
      <c r="P289" s="64" t="str">
        <f ca="1">IF(AND(OR(INDIRECT("K" &amp; ROW())="NAV-Premium",INDIRECT("K" &amp; ROW())="DA-Premium"),INDIRECT("M" &amp; ROW())="PARTITION_SCHEMA128__NavPiviJpn", INDIRECT("O" &amp; ROW())="JPN_SDB"),'SDB vs GN'!$B$41, IF(INDIRECT("H" &amp; ROW())="Chenc",'SDB vs GN'!$B$40, VLOOKUP(INDIRECT("O" &amp; ROW()),'SDB vs GN'!$A$16:$B$38,2,FALSE)))</f>
        <v>731_EUR</v>
      </c>
      <c r="Q289" s="79" t="s">
        <v>396</v>
      </c>
      <c r="R289" s="135" t="s">
        <v>59</v>
      </c>
      <c r="S289" s="103" t="s">
        <v>10</v>
      </c>
      <c r="T289" s="64" t="s">
        <v>449</v>
      </c>
      <c r="U289" s="104" t="s">
        <v>816</v>
      </c>
      <c r="V289" s="172" t="s">
        <v>872</v>
      </c>
      <c r="W289" s="76" t="s">
        <v>447</v>
      </c>
      <c r="X289" s="64" t="s">
        <v>521</v>
      </c>
      <c r="Y289" s="282" t="s">
        <v>1286</v>
      </c>
      <c r="Z289" s="282" t="s">
        <v>1592</v>
      </c>
      <c r="AA289" s="96"/>
      <c r="AB289" s="105" t="s">
        <v>225</v>
      </c>
      <c r="AC289" s="226" t="s">
        <v>1370</v>
      </c>
      <c r="AD289" s="72" t="s">
        <v>808</v>
      </c>
      <c r="AE289" s="302"/>
      <c r="AF289" s="67"/>
      <c r="AG289" s="67"/>
      <c r="AH289" s="67" t="s">
        <v>2369</v>
      </c>
      <c r="AI289" s="24"/>
      <c r="AJ289" s="24"/>
      <c r="AK289" s="24"/>
      <c r="AL289" s="24"/>
    </row>
    <row r="290" spans="1:38" ht="409.6">
      <c r="A290" s="51">
        <v>281</v>
      </c>
      <c r="B290" s="81" t="str">
        <f t="shared" si="4"/>
        <v>0119</v>
      </c>
      <c r="C290" s="64" t="s">
        <v>1301</v>
      </c>
      <c r="D290" s="94" t="s">
        <v>136</v>
      </c>
      <c r="E290" s="314" t="s">
        <v>1233</v>
      </c>
      <c r="F290" s="177" t="s">
        <v>1046</v>
      </c>
      <c r="G290" s="177" t="s">
        <v>344</v>
      </c>
      <c r="H290" s="55" t="s">
        <v>637</v>
      </c>
      <c r="I290" s="158" t="s">
        <v>4</v>
      </c>
      <c r="J290" s="55" t="s">
        <v>0</v>
      </c>
      <c r="K290" s="55" t="s">
        <v>451</v>
      </c>
      <c r="L290" s="158" t="s">
        <v>499</v>
      </c>
      <c r="M290" s="55" t="s">
        <v>255</v>
      </c>
      <c r="N290" s="282" t="s">
        <v>1215</v>
      </c>
      <c r="O290" s="239" t="s">
        <v>828</v>
      </c>
      <c r="P290" s="64" t="str">
        <f ca="1">IF(AND(OR(INDIRECT("K" &amp; ROW())="NAV-Premium",INDIRECT("K" &amp; ROW())="DA-Premium"),INDIRECT("M" &amp; ROW())="PARTITION_SCHEMA128__NavPiviJpn", INDIRECT("O" &amp; ROW())="JPN_SDB"),'SDB vs GN'!$B$41, IF(INDIRECT("H" &amp; ROW())="Chenc",'SDB vs GN'!$B$40, VLOOKUP(INDIRECT("O" &amp; ROW()),'SDB vs GN'!$A$16:$B$38,2,FALSE)))</f>
        <v>735_LA_831_AUSKRJPN</v>
      </c>
      <c r="Q290" s="79" t="s">
        <v>396</v>
      </c>
      <c r="R290" s="135" t="s">
        <v>59</v>
      </c>
      <c r="S290" s="103" t="s">
        <v>10</v>
      </c>
      <c r="T290" s="64" t="s">
        <v>449</v>
      </c>
      <c r="U290" s="104" t="s">
        <v>816</v>
      </c>
      <c r="V290" s="172" t="s">
        <v>7</v>
      </c>
      <c r="W290" s="129" t="s">
        <v>2184</v>
      </c>
      <c r="X290" s="64" t="s">
        <v>521</v>
      </c>
      <c r="Y290" s="282" t="s">
        <v>1286</v>
      </c>
      <c r="Z290" s="282" t="s">
        <v>1592</v>
      </c>
      <c r="AA290" s="96"/>
      <c r="AB290" s="105" t="s">
        <v>225</v>
      </c>
      <c r="AC290" s="229" t="s">
        <v>2785</v>
      </c>
      <c r="AD290" s="72" t="s">
        <v>808</v>
      </c>
      <c r="AE290" s="302"/>
      <c r="AF290" s="67"/>
      <c r="AG290" s="67"/>
      <c r="AH290" s="67" t="s">
        <v>2786</v>
      </c>
      <c r="AI290" s="24"/>
      <c r="AJ290" s="24"/>
      <c r="AK290" s="24"/>
      <c r="AL290" s="24"/>
    </row>
    <row r="291" spans="1:38" ht="250.8">
      <c r="A291" s="51">
        <v>282</v>
      </c>
      <c r="B291" s="81" t="str">
        <f t="shared" si="4"/>
        <v>011A</v>
      </c>
      <c r="C291" s="112" t="s">
        <v>1443</v>
      </c>
      <c r="D291" s="55" t="s">
        <v>704</v>
      </c>
      <c r="E291" s="282" t="s">
        <v>1233</v>
      </c>
      <c r="F291" s="251" t="s">
        <v>1045</v>
      </c>
      <c r="G291" s="251" t="s">
        <v>878</v>
      </c>
      <c r="H291" s="55" t="s">
        <v>637</v>
      </c>
      <c r="I291" s="94" t="s">
        <v>5</v>
      </c>
      <c r="J291" s="55" t="s">
        <v>0</v>
      </c>
      <c r="K291" s="55" t="s">
        <v>452</v>
      </c>
      <c r="L291" s="158" t="s">
        <v>499</v>
      </c>
      <c r="M291" s="55" t="s">
        <v>236</v>
      </c>
      <c r="N291" s="282" t="s">
        <v>1215</v>
      </c>
      <c r="O291" s="238" t="s">
        <v>55</v>
      </c>
      <c r="P291" s="64" t="str">
        <f ca="1">IF(AND(OR(INDIRECT("K" &amp; ROW())="NAV-Premium",INDIRECT("K" &amp; ROW())="DA-Premium"),INDIRECT("M" &amp; ROW())="PARTITION_SCHEMA128__NavPiviJpn", INDIRECT("O" &amp; ROW())="JPN_SDB"),'SDB vs GN'!$B$41, IF(INDIRECT("H" &amp; ROW())="Chenc",'SDB vs GN'!$B$40, VLOOKUP(INDIRECT("O" &amp; ROW()),'SDB vs GN'!$A$16:$B$38,2,FALSE)))</f>
        <v>742_JPN_831_AUSKRJPN</v>
      </c>
      <c r="Q291" s="79" t="s">
        <v>396</v>
      </c>
      <c r="R291" s="64" t="s">
        <v>133</v>
      </c>
      <c r="S291" s="103" t="s">
        <v>10</v>
      </c>
      <c r="T291" s="64" t="s">
        <v>449</v>
      </c>
      <c r="U291" s="104" t="s">
        <v>816</v>
      </c>
      <c r="V291" s="174" t="s">
        <v>615</v>
      </c>
      <c r="W291" s="76" t="s">
        <v>447</v>
      </c>
      <c r="X291" s="64" t="s">
        <v>362</v>
      </c>
      <c r="Y291" s="282" t="s">
        <v>1286</v>
      </c>
      <c r="Z291" s="282" t="s">
        <v>1592</v>
      </c>
      <c r="AA291" s="96"/>
      <c r="AB291" s="105" t="s">
        <v>225</v>
      </c>
      <c r="AC291" s="226" t="s">
        <v>2517</v>
      </c>
      <c r="AD291" s="67" t="s">
        <v>888</v>
      </c>
      <c r="AE291" s="302"/>
      <c r="AF291" s="67"/>
      <c r="AG291" s="67"/>
      <c r="AH291" s="67" t="s">
        <v>2518</v>
      </c>
      <c r="AI291" s="24"/>
      <c r="AJ291" s="24"/>
      <c r="AK291" s="24"/>
      <c r="AL291" s="24"/>
    </row>
    <row r="292" spans="1:38" ht="26.4">
      <c r="A292" s="51">
        <v>283</v>
      </c>
      <c r="B292" s="81" t="str">
        <f t="shared" si="4"/>
        <v>011B</v>
      </c>
      <c r="C292" s="72" t="s">
        <v>884</v>
      </c>
      <c r="D292" s="94" t="s">
        <v>230</v>
      </c>
      <c r="E292" s="314" t="s">
        <v>1233</v>
      </c>
      <c r="F292" s="177" t="s">
        <v>1046</v>
      </c>
      <c r="G292" s="177" t="s">
        <v>344</v>
      </c>
      <c r="H292" s="55" t="s">
        <v>637</v>
      </c>
      <c r="I292" s="158" t="s">
        <v>4</v>
      </c>
      <c r="J292" s="55" t="s">
        <v>0</v>
      </c>
      <c r="K292" s="79" t="s">
        <v>110</v>
      </c>
      <c r="L292" s="190" t="s">
        <v>499</v>
      </c>
      <c r="M292" s="55" t="s">
        <v>255</v>
      </c>
      <c r="N292" s="282" t="s">
        <v>1215</v>
      </c>
      <c r="O292" s="239" t="s">
        <v>53</v>
      </c>
      <c r="P292" s="64" t="str">
        <f ca="1">IF(AND(OR(INDIRECT("K" &amp; ROW())="NAV-Premium",INDIRECT("K" &amp; ROW())="DA-Premium"),INDIRECT("M" &amp; ROW())="PARTITION_SCHEMA128__NavPiviJpn", INDIRECT("O" &amp; ROW())="JPN_SDB"),'SDB vs GN'!$B$41, IF(INDIRECT("H" &amp; ROW())="Chenc",'SDB vs GN'!$B$40, VLOOKUP(INDIRECT("O" &amp; ROW()),'SDB vs GN'!$A$16:$B$38,2,FALSE)))</f>
        <v>No_Gracenote</v>
      </c>
      <c r="Q292" s="79" t="s">
        <v>20</v>
      </c>
      <c r="R292" s="135" t="s">
        <v>59</v>
      </c>
      <c r="S292" s="103" t="s">
        <v>10</v>
      </c>
      <c r="T292" s="64" t="s">
        <v>449</v>
      </c>
      <c r="U292" s="159" t="s">
        <v>816</v>
      </c>
      <c r="V292" s="101" t="s">
        <v>7</v>
      </c>
      <c r="W292" s="129" t="s">
        <v>2184</v>
      </c>
      <c r="X292" s="64" t="s">
        <v>521</v>
      </c>
      <c r="Y292" s="282" t="s">
        <v>1286</v>
      </c>
      <c r="Z292" s="282" t="s">
        <v>1592</v>
      </c>
      <c r="AA292" s="96"/>
      <c r="AB292" s="105" t="s">
        <v>225</v>
      </c>
      <c r="AC292" s="229" t="s">
        <v>880</v>
      </c>
      <c r="AD292" s="72" t="s">
        <v>808</v>
      </c>
      <c r="AE292" s="302"/>
      <c r="AF292" s="67"/>
      <c r="AG292" s="67"/>
      <c r="AH292" s="72" t="s">
        <v>881</v>
      </c>
      <c r="AI292" s="24"/>
      <c r="AJ292" s="24"/>
      <c r="AK292" s="24"/>
      <c r="AL292" s="24"/>
    </row>
    <row r="293" spans="1:38" ht="118.8">
      <c r="A293" s="51">
        <v>284</v>
      </c>
      <c r="B293" s="81" t="str">
        <f t="shared" si="4"/>
        <v>011C</v>
      </c>
      <c r="C293" s="76" t="s">
        <v>1367</v>
      </c>
      <c r="D293" s="94" t="s">
        <v>104</v>
      </c>
      <c r="E293" s="314" t="s">
        <v>1233</v>
      </c>
      <c r="F293" s="178" t="s">
        <v>1044</v>
      </c>
      <c r="G293" s="178" t="s">
        <v>345</v>
      </c>
      <c r="H293" s="55" t="s">
        <v>637</v>
      </c>
      <c r="I293" s="79" t="s">
        <v>815</v>
      </c>
      <c r="J293" s="55" t="s">
        <v>0</v>
      </c>
      <c r="K293" s="55" t="s">
        <v>453</v>
      </c>
      <c r="L293" s="100" t="s">
        <v>1271</v>
      </c>
      <c r="M293" s="55" t="s">
        <v>254</v>
      </c>
      <c r="N293" s="282" t="s">
        <v>1215</v>
      </c>
      <c r="O293" s="238" t="s">
        <v>825</v>
      </c>
      <c r="P293" s="64" t="str">
        <f ca="1">IF(AND(OR(INDIRECT("K" &amp; ROW())="NAV-Premium",INDIRECT("K" &amp; ROW())="DA-Premium"),INDIRECT("M" &amp; ROW())="PARTITION_SCHEMA128__NavPiviJpn", INDIRECT("O" &amp; ROW())="JPN_SDB"),'SDB vs GN'!$B$41, IF(INDIRECT("H" &amp; ROW())="Chenc",'SDB vs GN'!$B$40, VLOOKUP(INDIRECT("O" &amp; ROW()),'SDB vs GN'!$A$16:$B$38,2,FALSE)))</f>
        <v>831_AUSKRJPN</v>
      </c>
      <c r="Q293" s="79" t="s">
        <v>396</v>
      </c>
      <c r="R293" s="67" t="s">
        <v>59</v>
      </c>
      <c r="S293" s="103" t="s">
        <v>10</v>
      </c>
      <c r="T293" s="64" t="s">
        <v>449</v>
      </c>
      <c r="U293" s="104" t="s">
        <v>816</v>
      </c>
      <c r="V293" s="172" t="s">
        <v>617</v>
      </c>
      <c r="W293" s="76" t="s">
        <v>447</v>
      </c>
      <c r="X293" s="64" t="s">
        <v>521</v>
      </c>
      <c r="Y293" s="282" t="s">
        <v>1286</v>
      </c>
      <c r="Z293" s="282" t="s">
        <v>1592</v>
      </c>
      <c r="AA293" s="96"/>
      <c r="AB293" s="105" t="s">
        <v>225</v>
      </c>
      <c r="AC293" s="226" t="s">
        <v>2253</v>
      </c>
      <c r="AD293" s="72" t="s">
        <v>808</v>
      </c>
      <c r="AE293" s="302"/>
      <c r="AF293" s="67"/>
      <c r="AG293" s="67"/>
      <c r="AH293" s="67" t="s">
        <v>2252</v>
      </c>
      <c r="AI293" s="24"/>
      <c r="AJ293" s="24"/>
      <c r="AK293" s="24"/>
      <c r="AL293" s="24"/>
    </row>
    <row r="294" spans="1:38">
      <c r="A294" s="51">
        <v>285</v>
      </c>
      <c r="B294" s="81" t="str">
        <f t="shared" si="4"/>
        <v>011D</v>
      </c>
      <c r="C294" s="112" t="s">
        <v>1435</v>
      </c>
      <c r="D294" s="55" t="s">
        <v>704</v>
      </c>
      <c r="E294" s="282" t="s">
        <v>1233</v>
      </c>
      <c r="F294" s="178" t="s">
        <v>1044</v>
      </c>
      <c r="G294" s="178" t="s">
        <v>345</v>
      </c>
      <c r="H294" s="55" t="s">
        <v>637</v>
      </c>
      <c r="I294" s="79" t="s">
        <v>815</v>
      </c>
      <c r="J294" s="55" t="s">
        <v>0</v>
      </c>
      <c r="K294" s="55" t="s">
        <v>452</v>
      </c>
      <c r="L294" s="158" t="s">
        <v>499</v>
      </c>
      <c r="M294" s="55" t="s">
        <v>256</v>
      </c>
      <c r="N294" s="282" t="s">
        <v>1215</v>
      </c>
      <c r="O294" s="238" t="s">
        <v>54</v>
      </c>
      <c r="P294" s="64" t="str">
        <f ca="1">IF(AND(OR(INDIRECT("K" &amp; ROW())="NAV-Premium",INDIRECT("K" &amp; ROW())="DA-Premium"),INDIRECT("M" &amp; ROW())="PARTITION_SCHEMA128__NavPiviJpn", INDIRECT("O" &amp; ROW())="JPN_SDB"),'SDB vs GN'!$B$41, IF(INDIRECT("H" &amp; ROW())="Chenc",'SDB vs GN'!$B$40, VLOOKUP(INDIRECT("O" &amp; ROW()),'SDB vs GN'!$A$16:$B$38,2,FALSE)))</f>
        <v>731_EUR</v>
      </c>
      <c r="Q294" s="79" t="s">
        <v>396</v>
      </c>
      <c r="R294" s="64" t="s">
        <v>61</v>
      </c>
      <c r="S294" s="103" t="s">
        <v>10</v>
      </c>
      <c r="T294" s="64" t="s">
        <v>449</v>
      </c>
      <c r="U294" s="159" t="s">
        <v>816</v>
      </c>
      <c r="V294" s="172" t="s">
        <v>1132</v>
      </c>
      <c r="W294" s="76" t="s">
        <v>447</v>
      </c>
      <c r="X294" s="64" t="s">
        <v>521</v>
      </c>
      <c r="Y294" s="282" t="s">
        <v>1286</v>
      </c>
      <c r="Z294" s="282" t="s">
        <v>1592</v>
      </c>
      <c r="AA294" s="96"/>
      <c r="AB294" s="105" t="s">
        <v>225</v>
      </c>
      <c r="AC294" s="226" t="s">
        <v>882</v>
      </c>
      <c r="AD294" s="72" t="s">
        <v>808</v>
      </c>
      <c r="AE294" s="302"/>
      <c r="AF294" s="67"/>
      <c r="AG294" s="67"/>
      <c r="AH294" s="67" t="s">
        <v>883</v>
      </c>
      <c r="AI294" s="24"/>
      <c r="AJ294" s="24"/>
      <c r="AK294" s="24"/>
      <c r="AL294" s="24"/>
    </row>
    <row r="295" spans="1:38" ht="79.2">
      <c r="A295" s="51">
        <v>286</v>
      </c>
      <c r="B295" s="81" t="str">
        <f t="shared" si="4"/>
        <v>011E</v>
      </c>
      <c r="C295" s="94" t="s">
        <v>669</v>
      </c>
      <c r="D295" s="94" t="s">
        <v>104</v>
      </c>
      <c r="E295" s="314" t="s">
        <v>1233</v>
      </c>
      <c r="F295" s="178" t="s">
        <v>1044</v>
      </c>
      <c r="G295" s="178" t="s">
        <v>345</v>
      </c>
      <c r="H295" s="55" t="s">
        <v>637</v>
      </c>
      <c r="I295" s="155" t="s">
        <v>815</v>
      </c>
      <c r="J295" s="55" t="s">
        <v>0</v>
      </c>
      <c r="K295" s="79" t="s">
        <v>453</v>
      </c>
      <c r="L295" s="158" t="s">
        <v>1271</v>
      </c>
      <c r="M295" s="55" t="s">
        <v>254</v>
      </c>
      <c r="N295" s="282" t="s">
        <v>1215</v>
      </c>
      <c r="O295" s="238" t="s">
        <v>825</v>
      </c>
      <c r="P295" s="64" t="str">
        <f ca="1">IF(AND(OR(INDIRECT("K" &amp; ROW())="NAV-Premium",INDIRECT("K" &amp; ROW())="DA-Premium"),INDIRECT("M" &amp; ROW())="PARTITION_SCHEMA128__NavPiviJpn", INDIRECT("O" &amp; ROW())="JPN_SDB"),'SDB vs GN'!$B$41, IF(INDIRECT("H" &amp; ROW())="Chenc",'SDB vs GN'!$B$40, VLOOKUP(INDIRECT("O" &amp; ROW()),'SDB vs GN'!$A$16:$B$38,2,FALSE)))</f>
        <v>831_AUSKRJPN</v>
      </c>
      <c r="Q295" s="79" t="s">
        <v>396</v>
      </c>
      <c r="R295" s="64" t="s">
        <v>59</v>
      </c>
      <c r="S295" s="157" t="s">
        <v>10</v>
      </c>
      <c r="T295" s="79" t="s">
        <v>449</v>
      </c>
      <c r="U295" s="104" t="s">
        <v>816</v>
      </c>
      <c r="V295" s="172" t="s">
        <v>658</v>
      </c>
      <c r="W295" s="129" t="s">
        <v>447</v>
      </c>
      <c r="X295" s="64" t="s">
        <v>521</v>
      </c>
      <c r="Y295" s="282" t="s">
        <v>1286</v>
      </c>
      <c r="Z295" s="282" t="s">
        <v>1592</v>
      </c>
      <c r="AA295" s="37"/>
      <c r="AB295" s="154" t="s">
        <v>225</v>
      </c>
      <c r="AC295" s="229" t="s">
        <v>1490</v>
      </c>
      <c r="AD295" s="72" t="s">
        <v>808</v>
      </c>
      <c r="AE295" s="302"/>
      <c r="AF295" s="67"/>
      <c r="AG295" s="67"/>
      <c r="AH295" s="72" t="s">
        <v>1491</v>
      </c>
      <c r="AI295" s="24"/>
      <c r="AJ295" s="24"/>
      <c r="AK295" s="24"/>
      <c r="AL295" s="24"/>
    </row>
    <row r="296" spans="1:38" s="36" customFormat="1" ht="132">
      <c r="A296" s="51">
        <v>287</v>
      </c>
      <c r="B296" s="51" t="str">
        <f t="shared" si="4"/>
        <v>011F</v>
      </c>
      <c r="C296" s="170" t="s">
        <v>1461</v>
      </c>
      <c r="D296" s="61" t="s">
        <v>476</v>
      </c>
      <c r="E296" s="323" t="s">
        <v>1233</v>
      </c>
      <c r="F296" s="115" t="s">
        <v>1049</v>
      </c>
      <c r="G296" s="115" t="s">
        <v>346</v>
      </c>
      <c r="H296" s="55" t="s">
        <v>637</v>
      </c>
      <c r="I296" s="155" t="s">
        <v>815</v>
      </c>
      <c r="J296" s="55" t="s">
        <v>0</v>
      </c>
      <c r="K296" s="61" t="s">
        <v>454</v>
      </c>
      <c r="L296" s="100" t="s">
        <v>1317</v>
      </c>
      <c r="M296" s="55" t="s">
        <v>236</v>
      </c>
      <c r="N296" s="282" t="s">
        <v>1215</v>
      </c>
      <c r="O296" s="238" t="s">
        <v>54</v>
      </c>
      <c r="P296" s="64" t="str">
        <f ca="1">IF(AND(OR(INDIRECT("K" &amp; ROW())="NAV-Premium",INDIRECT("K" &amp; ROW())="DA-Premium"),INDIRECT("M" &amp; ROW())="PARTITION_SCHEMA128__NavPiviJpn", INDIRECT("O" &amp; ROW())="JPN_SDB"),'SDB vs GN'!$B$41, IF(INDIRECT("H" &amp; ROW())="Chenc",'SDB vs GN'!$B$40, VLOOKUP(INDIRECT("O" &amp; ROW()),'SDB vs GN'!$A$16:$B$38,2,FALSE)))</f>
        <v>731_EUR</v>
      </c>
      <c r="Q296" s="64" t="s">
        <v>835</v>
      </c>
      <c r="R296" s="64" t="s">
        <v>61</v>
      </c>
      <c r="S296" s="103" t="s">
        <v>10</v>
      </c>
      <c r="T296" s="64" t="s">
        <v>449</v>
      </c>
      <c r="U296" s="104" t="s">
        <v>816</v>
      </c>
      <c r="V296" s="174" t="s">
        <v>598</v>
      </c>
      <c r="W296" s="76" t="s">
        <v>447</v>
      </c>
      <c r="X296" s="64" t="s">
        <v>521</v>
      </c>
      <c r="Y296" s="282" t="s">
        <v>1286</v>
      </c>
      <c r="Z296" s="282" t="s">
        <v>1592</v>
      </c>
      <c r="AA296" s="96"/>
      <c r="AB296" s="131" t="s">
        <v>225</v>
      </c>
      <c r="AC296" s="229" t="s">
        <v>2022</v>
      </c>
      <c r="AD296" s="72" t="s">
        <v>888</v>
      </c>
      <c r="AE296" s="302"/>
      <c r="AF296" s="67"/>
      <c r="AG296" s="67"/>
      <c r="AH296" s="72" t="s">
        <v>2021</v>
      </c>
      <c r="AI296" s="383"/>
      <c r="AJ296" s="383"/>
      <c r="AK296" s="383"/>
    </row>
    <row r="297" spans="1:38" s="36" customFormat="1" ht="145.19999999999999">
      <c r="A297" s="51">
        <v>288</v>
      </c>
      <c r="B297" s="51" t="str">
        <f t="shared" si="4"/>
        <v>0120</v>
      </c>
      <c r="C297" s="170" t="s">
        <v>1460</v>
      </c>
      <c r="D297" s="61" t="s">
        <v>476</v>
      </c>
      <c r="E297" s="323" t="s">
        <v>1233</v>
      </c>
      <c r="F297" s="115" t="s">
        <v>1049</v>
      </c>
      <c r="G297" s="115" t="s">
        <v>346</v>
      </c>
      <c r="H297" s="55" t="s">
        <v>637</v>
      </c>
      <c r="I297" s="155" t="s">
        <v>815</v>
      </c>
      <c r="J297" s="55" t="s">
        <v>0</v>
      </c>
      <c r="K297" s="61" t="s">
        <v>454</v>
      </c>
      <c r="L297" s="100" t="s">
        <v>1317</v>
      </c>
      <c r="M297" s="55" t="s">
        <v>236</v>
      </c>
      <c r="N297" s="282" t="s">
        <v>1215</v>
      </c>
      <c r="O297" s="238" t="s">
        <v>825</v>
      </c>
      <c r="P297" s="64" t="str">
        <f ca="1">IF(AND(OR(INDIRECT("K" &amp; ROW())="NAV-Premium",INDIRECT("K" &amp; ROW())="DA-Premium"),INDIRECT("M" &amp; ROW())="PARTITION_SCHEMA128__NavPiviJpn", INDIRECT("O" &amp; ROW())="JPN_SDB"),'SDB vs GN'!$B$41, IF(INDIRECT("H" &amp; ROW())="Chenc",'SDB vs GN'!$B$40, VLOOKUP(INDIRECT("O" &amp; ROW()),'SDB vs GN'!$A$16:$B$38,2,FALSE)))</f>
        <v>831_AUSKRJPN</v>
      </c>
      <c r="Q297" s="64" t="s">
        <v>835</v>
      </c>
      <c r="R297" s="135" t="s">
        <v>59</v>
      </c>
      <c r="S297" s="103" t="s">
        <v>10</v>
      </c>
      <c r="T297" s="64" t="s">
        <v>449</v>
      </c>
      <c r="U297" s="104" t="s">
        <v>816</v>
      </c>
      <c r="V297" s="174" t="s">
        <v>599</v>
      </c>
      <c r="W297" s="76" t="s">
        <v>447</v>
      </c>
      <c r="X297" s="64" t="s">
        <v>521</v>
      </c>
      <c r="Y297" s="282" t="s">
        <v>1286</v>
      </c>
      <c r="Z297" s="282" t="s">
        <v>1592</v>
      </c>
      <c r="AA297" s="96"/>
      <c r="AB297" s="131" t="s">
        <v>225</v>
      </c>
      <c r="AC297" s="233" t="s">
        <v>2036</v>
      </c>
      <c r="AD297" s="72" t="s">
        <v>888</v>
      </c>
      <c r="AE297" s="302"/>
      <c r="AF297" s="67"/>
      <c r="AG297" s="67"/>
      <c r="AH297" s="72" t="s">
        <v>2035</v>
      </c>
      <c r="AI297" s="383"/>
      <c r="AJ297" s="383"/>
      <c r="AK297" s="383"/>
    </row>
    <row r="298" spans="1:38" s="36" customFormat="1" ht="409.6">
      <c r="A298" s="51">
        <v>289</v>
      </c>
      <c r="B298" s="51" t="str">
        <f t="shared" si="4"/>
        <v>0121</v>
      </c>
      <c r="C298" s="170" t="s">
        <v>1476</v>
      </c>
      <c r="D298" s="61" t="s">
        <v>476</v>
      </c>
      <c r="E298" s="323" t="s">
        <v>1233</v>
      </c>
      <c r="F298" s="115" t="s">
        <v>1049</v>
      </c>
      <c r="G298" s="115" t="s">
        <v>346</v>
      </c>
      <c r="H298" s="55" t="s">
        <v>637</v>
      </c>
      <c r="I298" s="155" t="s">
        <v>815</v>
      </c>
      <c r="J298" s="55" t="s">
        <v>0</v>
      </c>
      <c r="K298" s="61" t="s">
        <v>454</v>
      </c>
      <c r="L298" s="100" t="s">
        <v>1317</v>
      </c>
      <c r="M298" s="55" t="s">
        <v>236</v>
      </c>
      <c r="N298" s="282" t="s">
        <v>1215</v>
      </c>
      <c r="O298" s="238" t="s">
        <v>84</v>
      </c>
      <c r="P298" s="64" t="str">
        <f ca="1">IF(AND(OR(INDIRECT("K" &amp; ROW())="NAV-Premium",INDIRECT("K" &amp; ROW())="DA-Premium"),INDIRECT("M" &amp; ROW())="PARTITION_SCHEMA128__NavPiviJpn", INDIRECT("O" &amp; ROW())="JPN_SDB"),'SDB vs GN'!$B$41, IF(INDIRECT("H" &amp; ROW())="Chenc",'SDB vs GN'!$B$40, VLOOKUP(INDIRECT("O" &amp; ROW()),'SDB vs GN'!$A$16:$B$38,2,FALSE)))</f>
        <v>727_NAM</v>
      </c>
      <c r="Q298" s="64" t="s">
        <v>835</v>
      </c>
      <c r="R298" s="64" t="s">
        <v>60</v>
      </c>
      <c r="S298" s="103" t="s">
        <v>10</v>
      </c>
      <c r="T298" s="79" t="s">
        <v>450</v>
      </c>
      <c r="U298" s="104" t="s">
        <v>816</v>
      </c>
      <c r="V298" s="175" t="s">
        <v>604</v>
      </c>
      <c r="W298" s="76" t="s">
        <v>447</v>
      </c>
      <c r="X298" s="64" t="s">
        <v>521</v>
      </c>
      <c r="Y298" s="282" t="s">
        <v>1286</v>
      </c>
      <c r="Z298" s="282" t="s">
        <v>1592</v>
      </c>
      <c r="AA298" s="96"/>
      <c r="AB298" s="131" t="s">
        <v>225</v>
      </c>
      <c r="AC298" s="229" t="s">
        <v>2558</v>
      </c>
      <c r="AD298" s="72" t="s">
        <v>888</v>
      </c>
      <c r="AE298" s="302"/>
      <c r="AF298" s="67"/>
      <c r="AG298" s="67"/>
      <c r="AH298" s="72" t="s">
        <v>2559</v>
      </c>
      <c r="AI298" s="383"/>
      <c r="AJ298" s="383"/>
      <c r="AK298" s="383"/>
    </row>
    <row r="299" spans="1:38" ht="26.4">
      <c r="A299" s="51">
        <v>290</v>
      </c>
      <c r="B299" s="51" t="str">
        <f t="shared" si="4"/>
        <v>0122</v>
      </c>
      <c r="C299" s="72" t="s">
        <v>896</v>
      </c>
      <c r="D299" s="94" t="s">
        <v>104</v>
      </c>
      <c r="E299" s="314" t="s">
        <v>1233</v>
      </c>
      <c r="F299" s="169" t="s">
        <v>1048</v>
      </c>
      <c r="G299" s="169" t="s">
        <v>347</v>
      </c>
      <c r="H299" s="55" t="s">
        <v>637</v>
      </c>
      <c r="I299" s="79" t="s">
        <v>815</v>
      </c>
      <c r="J299" s="127" t="s">
        <v>1</v>
      </c>
      <c r="K299" s="79" t="s">
        <v>750</v>
      </c>
      <c r="L299" s="79" t="s">
        <v>500</v>
      </c>
      <c r="M299" s="55" t="s">
        <v>1618</v>
      </c>
      <c r="N299" s="282" t="s">
        <v>1215</v>
      </c>
      <c r="O299" s="238" t="s">
        <v>97</v>
      </c>
      <c r="P299" s="64" t="str">
        <f ca="1">IF(AND(OR(INDIRECT("K" &amp; ROW())="NAV-Premium",INDIRECT("K" &amp; ROW())="DA-Premium"),INDIRECT("M" &amp; ROW())="PARTITION_SCHEMA128__NavPiviJpn", INDIRECT("O" &amp; ROW())="JPN_SDB"),'SDB vs GN'!$B$41, IF(INDIRECT("H" &amp; ROW())="Chenc",'SDB vs GN'!$B$40, VLOOKUP(INDIRECT("O" &amp; ROW()),'SDB vs GN'!$A$16:$B$38,2,FALSE)))</f>
        <v>734_CN_831_AUSKRJPN</v>
      </c>
      <c r="Q299" s="79" t="s">
        <v>396</v>
      </c>
      <c r="R299" s="64" t="s">
        <v>61</v>
      </c>
      <c r="S299" s="103" t="s">
        <v>10</v>
      </c>
      <c r="T299" s="64" t="s">
        <v>449</v>
      </c>
      <c r="U299" s="104" t="s">
        <v>816</v>
      </c>
      <c r="V299" s="172" t="s">
        <v>551</v>
      </c>
      <c r="W299" s="76" t="s">
        <v>447</v>
      </c>
      <c r="X299" s="64" t="s">
        <v>521</v>
      </c>
      <c r="Y299" s="282" t="s">
        <v>1286</v>
      </c>
      <c r="Z299" s="282" t="s">
        <v>1592</v>
      </c>
      <c r="AA299" s="96"/>
      <c r="AB299" s="131" t="s">
        <v>225</v>
      </c>
      <c r="AC299" s="229" t="s">
        <v>1092</v>
      </c>
      <c r="AD299" s="72" t="s">
        <v>808</v>
      </c>
      <c r="AE299" s="302"/>
      <c r="AF299" s="67"/>
      <c r="AG299" s="67"/>
      <c r="AH299" s="72" t="s">
        <v>1093</v>
      </c>
      <c r="AI299" s="24"/>
      <c r="AJ299" s="24"/>
      <c r="AK299" s="24"/>
      <c r="AL299" s="24"/>
    </row>
    <row r="300" spans="1:38" ht="39.6">
      <c r="A300" s="51">
        <v>291</v>
      </c>
      <c r="B300" s="51" t="str">
        <f t="shared" si="4"/>
        <v>0123</v>
      </c>
      <c r="C300" s="72" t="s">
        <v>1116</v>
      </c>
      <c r="D300" s="55" t="s">
        <v>704</v>
      </c>
      <c r="E300" s="282" t="s">
        <v>1233</v>
      </c>
      <c r="F300" s="178" t="s">
        <v>1044</v>
      </c>
      <c r="G300" s="178" t="s">
        <v>345</v>
      </c>
      <c r="H300" s="55" t="s">
        <v>637</v>
      </c>
      <c r="I300" s="79" t="s">
        <v>815</v>
      </c>
      <c r="J300" s="55" t="s">
        <v>0</v>
      </c>
      <c r="K300" s="55" t="s">
        <v>452</v>
      </c>
      <c r="L300" s="158" t="s">
        <v>499</v>
      </c>
      <c r="M300" s="55" t="s">
        <v>254</v>
      </c>
      <c r="N300" s="282" t="s">
        <v>1215</v>
      </c>
      <c r="O300" s="238" t="s">
        <v>97</v>
      </c>
      <c r="P300" s="64" t="str">
        <f ca="1">IF(AND(OR(INDIRECT("K" &amp; ROW())="NAV-Premium",INDIRECT("K" &amp; ROW())="DA-Premium"),INDIRECT("M" &amp; ROW())="PARTITION_SCHEMA128__NavPiviJpn", INDIRECT("O" &amp; ROW())="JPN_SDB"),'SDB vs GN'!$B$41, IF(INDIRECT("H" &amp; ROW())="Chenc",'SDB vs GN'!$B$40, VLOOKUP(INDIRECT("O" &amp; ROW()),'SDB vs GN'!$A$16:$B$38,2,FALSE)))</f>
        <v>734_CN_831_AUSKRJPN</v>
      </c>
      <c r="Q300" s="79" t="s">
        <v>396</v>
      </c>
      <c r="R300" s="135" t="s">
        <v>59</v>
      </c>
      <c r="S300" s="103" t="s">
        <v>10</v>
      </c>
      <c r="T300" s="64" t="s">
        <v>449</v>
      </c>
      <c r="U300" s="104" t="s">
        <v>816</v>
      </c>
      <c r="V300" s="172" t="s">
        <v>1115</v>
      </c>
      <c r="W300" s="76" t="s">
        <v>447</v>
      </c>
      <c r="X300" s="64" t="s">
        <v>362</v>
      </c>
      <c r="Y300" s="282" t="s">
        <v>1286</v>
      </c>
      <c r="Z300" s="282" t="s">
        <v>1592</v>
      </c>
      <c r="AA300" s="96"/>
      <c r="AB300" s="131" t="s">
        <v>225</v>
      </c>
      <c r="AC300" s="229" t="s">
        <v>1497</v>
      </c>
      <c r="AD300" s="72" t="s">
        <v>808</v>
      </c>
      <c r="AE300" s="302"/>
      <c r="AF300" s="67"/>
      <c r="AG300" s="67"/>
      <c r="AH300" s="72" t="s">
        <v>2373</v>
      </c>
      <c r="AI300" s="24"/>
      <c r="AJ300" s="24"/>
      <c r="AK300" s="24"/>
      <c r="AL300" s="24"/>
    </row>
    <row r="301" spans="1:38" ht="52.8">
      <c r="A301" s="51">
        <v>292</v>
      </c>
      <c r="B301" s="51" t="str">
        <f t="shared" si="4"/>
        <v>0124</v>
      </c>
      <c r="C301" s="67" t="s">
        <v>1029</v>
      </c>
      <c r="D301" s="94" t="s">
        <v>136</v>
      </c>
      <c r="E301" s="314" t="s">
        <v>1233</v>
      </c>
      <c r="F301" s="118" t="s">
        <v>1050</v>
      </c>
      <c r="G301" s="118" t="s">
        <v>760</v>
      </c>
      <c r="H301" s="55" t="s">
        <v>637</v>
      </c>
      <c r="I301" s="158" t="s">
        <v>4</v>
      </c>
      <c r="J301" s="127" t="s">
        <v>1</v>
      </c>
      <c r="K301" s="79" t="s">
        <v>752</v>
      </c>
      <c r="L301" s="79" t="s">
        <v>500</v>
      </c>
      <c r="M301" s="55" t="s">
        <v>1616</v>
      </c>
      <c r="N301" s="282" t="s">
        <v>1215</v>
      </c>
      <c r="O301" s="239" t="s">
        <v>53</v>
      </c>
      <c r="P301" s="64" t="str">
        <f ca="1">IF(AND(OR(INDIRECT("K" &amp; ROW())="NAV-Premium",INDIRECT("K" &amp; ROW())="DA-Premium"),INDIRECT("M" &amp; ROW())="PARTITION_SCHEMA128__NavPiviJpn", INDIRECT("O" &amp; ROW())="JPN_SDB"),'SDB vs GN'!$B$41, IF(INDIRECT("H" &amp; ROW())="Chenc",'SDB vs GN'!$B$40, VLOOKUP(INDIRECT("O" &amp; ROW()),'SDB vs GN'!$A$16:$B$38,2,FALSE)))</f>
        <v>No_Gracenote</v>
      </c>
      <c r="Q301" s="79" t="s">
        <v>396</v>
      </c>
      <c r="R301" s="238" t="s">
        <v>248</v>
      </c>
      <c r="S301" s="103" t="s">
        <v>10</v>
      </c>
      <c r="T301" s="64" t="s">
        <v>449</v>
      </c>
      <c r="U301" s="104" t="s">
        <v>816</v>
      </c>
      <c r="V301" s="101" t="s">
        <v>7</v>
      </c>
      <c r="W301" s="76" t="s">
        <v>447</v>
      </c>
      <c r="X301" s="64" t="s">
        <v>521</v>
      </c>
      <c r="Y301" s="282" t="s">
        <v>1286</v>
      </c>
      <c r="Z301" s="282" t="s">
        <v>1592</v>
      </c>
      <c r="AA301" s="96"/>
      <c r="AB301" s="131" t="s">
        <v>225</v>
      </c>
      <c r="AC301" s="226" t="s">
        <v>1629</v>
      </c>
      <c r="AD301" s="72" t="s">
        <v>808</v>
      </c>
      <c r="AE301" s="302"/>
      <c r="AF301" s="67"/>
      <c r="AG301" s="67"/>
      <c r="AH301" s="67" t="s">
        <v>1628</v>
      </c>
      <c r="AI301" s="24"/>
      <c r="AJ301" s="24"/>
      <c r="AK301" s="24"/>
      <c r="AL301" s="24"/>
    </row>
    <row r="302" spans="1:38" ht="132">
      <c r="A302" s="51">
        <v>293</v>
      </c>
      <c r="B302" s="51" t="str">
        <f t="shared" si="4"/>
        <v>0125</v>
      </c>
      <c r="C302" s="72" t="s">
        <v>712</v>
      </c>
      <c r="D302" s="94" t="s">
        <v>136</v>
      </c>
      <c r="E302" s="314" t="s">
        <v>1233</v>
      </c>
      <c r="F302" s="118" t="s">
        <v>1050</v>
      </c>
      <c r="G302" s="118" t="s">
        <v>760</v>
      </c>
      <c r="H302" s="55" t="s">
        <v>637</v>
      </c>
      <c r="I302" s="158" t="s">
        <v>4</v>
      </c>
      <c r="J302" s="127" t="s">
        <v>1</v>
      </c>
      <c r="K302" s="79" t="s">
        <v>747</v>
      </c>
      <c r="L302" s="79" t="s">
        <v>500</v>
      </c>
      <c r="M302" s="55" t="s">
        <v>1616</v>
      </c>
      <c r="N302" s="282" t="s">
        <v>1215</v>
      </c>
      <c r="O302" s="239" t="s">
        <v>53</v>
      </c>
      <c r="P302" s="64" t="str">
        <f ca="1">IF(AND(OR(INDIRECT("K" &amp; ROW())="NAV-Premium",INDIRECT("K" &amp; ROW())="DA-Premium"),INDIRECT("M" &amp; ROW())="PARTITION_SCHEMA128__NavPiviJpn", INDIRECT("O" &amp; ROW())="JPN_SDB"),'SDB vs GN'!$B$41, IF(INDIRECT("H" &amp; ROW())="Chenc",'SDB vs GN'!$B$40, VLOOKUP(INDIRECT("O" &amp; ROW()),'SDB vs GN'!$A$16:$B$38,2,FALSE)))</f>
        <v>No_Gracenote</v>
      </c>
      <c r="Q302" s="79" t="s">
        <v>396</v>
      </c>
      <c r="R302" s="238" t="s">
        <v>248</v>
      </c>
      <c r="S302" s="103" t="s">
        <v>10</v>
      </c>
      <c r="T302" s="64" t="s">
        <v>449</v>
      </c>
      <c r="U302" s="104" t="s">
        <v>816</v>
      </c>
      <c r="V302" s="101" t="s">
        <v>7</v>
      </c>
      <c r="W302" s="76" t="s">
        <v>447</v>
      </c>
      <c r="X302" s="64" t="s">
        <v>521</v>
      </c>
      <c r="Y302" s="282" t="s">
        <v>1286</v>
      </c>
      <c r="Z302" s="282" t="s">
        <v>1592</v>
      </c>
      <c r="AA302" s="37"/>
      <c r="AB302" s="154" t="s">
        <v>225</v>
      </c>
      <c r="AC302" s="226" t="s">
        <v>1956</v>
      </c>
      <c r="AD302" s="72" t="s">
        <v>808</v>
      </c>
      <c r="AE302" s="302"/>
      <c r="AF302" s="67"/>
      <c r="AG302" s="67"/>
      <c r="AH302" s="67" t="s">
        <v>1955</v>
      </c>
      <c r="AI302" s="24"/>
      <c r="AJ302" s="24"/>
      <c r="AK302" s="24"/>
      <c r="AL302" s="24"/>
    </row>
    <row r="303" spans="1:38" ht="26.4">
      <c r="A303" s="51">
        <v>294</v>
      </c>
      <c r="B303" s="51" t="str">
        <f t="shared" si="4"/>
        <v>0126</v>
      </c>
      <c r="C303" s="67" t="s">
        <v>908</v>
      </c>
      <c r="D303" s="55" t="s">
        <v>704</v>
      </c>
      <c r="E303" s="282" t="s">
        <v>1233</v>
      </c>
      <c r="F303" s="169" t="s">
        <v>1048</v>
      </c>
      <c r="G303" s="169" t="s">
        <v>347</v>
      </c>
      <c r="H303" s="55" t="s">
        <v>637</v>
      </c>
      <c r="I303" s="79" t="s">
        <v>815</v>
      </c>
      <c r="J303" s="127" t="s">
        <v>1</v>
      </c>
      <c r="K303" s="79" t="s">
        <v>748</v>
      </c>
      <c r="L303" s="79" t="s">
        <v>500</v>
      </c>
      <c r="M303" s="55" t="s">
        <v>1618</v>
      </c>
      <c r="N303" s="282" t="s">
        <v>1215</v>
      </c>
      <c r="O303" s="238" t="s">
        <v>826</v>
      </c>
      <c r="P303" s="64" t="str">
        <f ca="1">IF(AND(OR(INDIRECT("K" &amp; ROW())="NAV-Premium",INDIRECT("K" &amp; ROW())="DA-Premium"),INDIRECT("M" &amp; ROW())="PARTITION_SCHEMA128__NavPiviJpn", INDIRECT("O" &amp; ROW())="JPN_SDB"),'SDB vs GN'!$B$41, IF(INDIRECT("H" &amp; ROW())="Chenc",'SDB vs GN'!$B$40, VLOOKUP(INDIRECT("O" &amp; ROW()),'SDB vs GN'!$A$16:$B$38,2,FALSE)))</f>
        <v>731_EUR</v>
      </c>
      <c r="Q303" s="79" t="s">
        <v>396</v>
      </c>
      <c r="R303" s="135" t="s">
        <v>59</v>
      </c>
      <c r="S303" s="103" t="s">
        <v>10</v>
      </c>
      <c r="T303" s="64" t="s">
        <v>449</v>
      </c>
      <c r="U303" s="104" t="s">
        <v>816</v>
      </c>
      <c r="V303" s="326" t="s">
        <v>912</v>
      </c>
      <c r="W303" s="76" t="s">
        <v>447</v>
      </c>
      <c r="X303" s="64" t="s">
        <v>521</v>
      </c>
      <c r="Y303" s="282" t="s">
        <v>1286</v>
      </c>
      <c r="Z303" s="282" t="s">
        <v>1592</v>
      </c>
      <c r="AA303" s="96"/>
      <c r="AB303" s="131" t="s">
        <v>225</v>
      </c>
      <c r="AC303" s="226" t="s">
        <v>1036</v>
      </c>
      <c r="AD303" s="72" t="s">
        <v>808</v>
      </c>
      <c r="AE303" s="302"/>
      <c r="AF303" s="67"/>
      <c r="AG303" s="67"/>
      <c r="AH303" s="72" t="s">
        <v>1157</v>
      </c>
      <c r="AI303" s="24"/>
      <c r="AJ303" s="24"/>
      <c r="AK303" s="24"/>
      <c r="AL303" s="24"/>
    </row>
    <row r="304" spans="1:38" ht="79.2">
      <c r="A304" s="51">
        <v>295</v>
      </c>
      <c r="B304" s="51" t="str">
        <f t="shared" si="4"/>
        <v>0127</v>
      </c>
      <c r="C304" s="61" t="s">
        <v>1526</v>
      </c>
      <c r="D304" s="55" t="s">
        <v>704</v>
      </c>
      <c r="E304" s="282" t="s">
        <v>1233</v>
      </c>
      <c r="F304" s="248" t="s">
        <v>1052</v>
      </c>
      <c r="G304" s="346" t="s">
        <v>761</v>
      </c>
      <c r="H304" s="55" t="s">
        <v>637</v>
      </c>
      <c r="I304" s="158" t="s">
        <v>4</v>
      </c>
      <c r="J304" s="127" t="s">
        <v>1</v>
      </c>
      <c r="K304" s="329" t="s">
        <v>900</v>
      </c>
      <c r="L304" s="64" t="s">
        <v>856</v>
      </c>
      <c r="M304" s="55" t="s">
        <v>1611</v>
      </c>
      <c r="N304" s="282" t="s">
        <v>1215</v>
      </c>
      <c r="O304" s="239" t="s">
        <v>53</v>
      </c>
      <c r="P304" s="64" t="str">
        <f ca="1">IF(AND(OR(INDIRECT("K" &amp; ROW())="NAV-Premium",INDIRECT("K" &amp; ROW())="DA-Premium"),INDIRECT("M" &amp; ROW())="PARTITION_SCHEMA128__NavPiviJpn", INDIRECT("O" &amp; ROW())="JPN_SDB"),'SDB vs GN'!$B$41, IF(INDIRECT("H" &amp; ROW())="Chenc",'SDB vs GN'!$B$40, VLOOKUP(INDIRECT("O" &amp; ROW()),'SDB vs GN'!$A$16:$B$38,2,FALSE)))</f>
        <v>No_Gracenote</v>
      </c>
      <c r="Q304" s="79" t="s">
        <v>396</v>
      </c>
      <c r="R304" s="64" t="s">
        <v>61</v>
      </c>
      <c r="S304" s="103" t="s">
        <v>10</v>
      </c>
      <c r="T304" s="64" t="s">
        <v>449</v>
      </c>
      <c r="U304" s="104" t="s">
        <v>816</v>
      </c>
      <c r="V304" s="101" t="s">
        <v>7</v>
      </c>
      <c r="W304" s="76" t="s">
        <v>447</v>
      </c>
      <c r="X304" s="64" t="s">
        <v>521</v>
      </c>
      <c r="Y304" s="282" t="s">
        <v>1286</v>
      </c>
      <c r="Z304" s="282" t="s">
        <v>1592</v>
      </c>
      <c r="AA304" s="96"/>
      <c r="AB304" s="131" t="s">
        <v>225</v>
      </c>
      <c r="AC304" s="226" t="s">
        <v>1524</v>
      </c>
      <c r="AD304" s="72" t="s">
        <v>888</v>
      </c>
      <c r="AE304" s="302"/>
      <c r="AF304" s="67"/>
      <c r="AG304" s="67"/>
      <c r="AH304" s="72" t="s">
        <v>1525</v>
      </c>
      <c r="AI304" s="24"/>
      <c r="AJ304" s="24"/>
      <c r="AK304" s="24"/>
      <c r="AL304" s="24"/>
    </row>
    <row r="305" spans="1:38" ht="26.4">
      <c r="A305" s="51">
        <v>296</v>
      </c>
      <c r="B305" s="81" t="str">
        <f t="shared" si="4"/>
        <v>0128</v>
      </c>
      <c r="C305" s="72" t="s">
        <v>582</v>
      </c>
      <c r="D305" s="55" t="s">
        <v>143</v>
      </c>
      <c r="E305" s="282" t="s">
        <v>1233</v>
      </c>
      <c r="F305" s="78" t="s">
        <v>1047</v>
      </c>
      <c r="G305" s="78" t="s">
        <v>761</v>
      </c>
      <c r="H305" s="55" t="s">
        <v>637</v>
      </c>
      <c r="I305" s="155" t="s">
        <v>3</v>
      </c>
      <c r="J305" s="127" t="s">
        <v>1</v>
      </c>
      <c r="K305" s="79" t="s">
        <v>749</v>
      </c>
      <c r="L305" s="79" t="s">
        <v>500</v>
      </c>
      <c r="M305" s="55" t="s">
        <v>1615</v>
      </c>
      <c r="N305" s="282" t="s">
        <v>1215</v>
      </c>
      <c r="O305" s="238" t="s">
        <v>55</v>
      </c>
      <c r="P305" s="64" t="str">
        <f ca="1">IF(AND(OR(INDIRECT("K" &amp; ROW())="NAV-Premium",INDIRECT("K" &amp; ROW())="DA-Premium"),INDIRECT("M" &amp; ROW())="PARTITION_SCHEMA128__NavPiviJpn", INDIRECT("O" &amp; ROW())="JPN_SDB"),'SDB vs GN'!$B$41, IF(INDIRECT("H" &amp; ROW())="Chenc",'SDB vs GN'!$B$40, VLOOKUP(INDIRECT("O" &amp; ROW()),'SDB vs GN'!$A$16:$B$38,2,FALSE)))</f>
        <v>742_JPN_831_AUSKRJPN</v>
      </c>
      <c r="Q305" s="79" t="s">
        <v>396</v>
      </c>
      <c r="R305" s="238" t="s">
        <v>248</v>
      </c>
      <c r="S305" s="103" t="s">
        <v>10</v>
      </c>
      <c r="T305" s="64" t="s">
        <v>449</v>
      </c>
      <c r="U305" s="104" t="s">
        <v>12</v>
      </c>
      <c r="V305" s="68" t="s">
        <v>555</v>
      </c>
      <c r="W305" s="76" t="s">
        <v>447</v>
      </c>
      <c r="X305" s="64" t="s">
        <v>521</v>
      </c>
      <c r="Y305" s="282" t="s">
        <v>1286</v>
      </c>
      <c r="Z305" s="282" t="s">
        <v>1592</v>
      </c>
      <c r="AA305" s="96"/>
      <c r="AB305" s="131" t="s">
        <v>225</v>
      </c>
      <c r="AC305" s="226" t="s">
        <v>909</v>
      </c>
      <c r="AD305" s="72" t="s">
        <v>808</v>
      </c>
      <c r="AE305" s="302"/>
      <c r="AF305" s="67"/>
      <c r="AG305" s="67"/>
      <c r="AH305" s="67" t="s">
        <v>910</v>
      </c>
      <c r="AI305" s="24"/>
      <c r="AJ305" s="24"/>
      <c r="AK305" s="24"/>
      <c r="AL305" s="24"/>
    </row>
    <row r="306" spans="1:38">
      <c r="A306" s="51">
        <v>297</v>
      </c>
      <c r="B306" s="81" t="str">
        <f t="shared" si="4"/>
        <v>0129</v>
      </c>
      <c r="C306" s="67" t="s">
        <v>911</v>
      </c>
      <c r="D306" s="55" t="s">
        <v>143</v>
      </c>
      <c r="E306" s="282" t="s">
        <v>1233</v>
      </c>
      <c r="F306" s="78" t="s">
        <v>1047</v>
      </c>
      <c r="G306" s="78" t="s">
        <v>761</v>
      </c>
      <c r="H306" s="55" t="s">
        <v>637</v>
      </c>
      <c r="I306" s="155" t="s">
        <v>815</v>
      </c>
      <c r="J306" s="127" t="s">
        <v>1</v>
      </c>
      <c r="K306" s="79" t="s">
        <v>749</v>
      </c>
      <c r="L306" s="79" t="s">
        <v>500</v>
      </c>
      <c r="M306" s="55" t="s">
        <v>1615</v>
      </c>
      <c r="N306" s="282" t="s">
        <v>1215</v>
      </c>
      <c r="O306" s="238" t="s">
        <v>826</v>
      </c>
      <c r="P306" s="64" t="str">
        <f ca="1">IF(AND(OR(INDIRECT("K" &amp; ROW())="NAV-Premium",INDIRECT("K" &amp; ROW())="DA-Premium"),INDIRECT("M" &amp; ROW())="PARTITION_SCHEMA128__NavPiviJpn", INDIRECT("O" &amp; ROW())="JPN_SDB"),'SDB vs GN'!$B$41, IF(INDIRECT("H" &amp; ROW())="Chenc",'SDB vs GN'!$B$40, VLOOKUP(INDIRECT("O" &amp; ROW()),'SDB vs GN'!$A$16:$B$38,2,FALSE)))</f>
        <v>731_EUR</v>
      </c>
      <c r="Q306" s="79" t="s">
        <v>396</v>
      </c>
      <c r="R306" s="238" t="s">
        <v>248</v>
      </c>
      <c r="S306" s="103" t="s">
        <v>10</v>
      </c>
      <c r="T306" s="64" t="s">
        <v>449</v>
      </c>
      <c r="U306" s="104" t="s">
        <v>12</v>
      </c>
      <c r="V306" s="326" t="s">
        <v>913</v>
      </c>
      <c r="W306" s="76" t="s">
        <v>447</v>
      </c>
      <c r="X306" s="64" t="s">
        <v>521</v>
      </c>
      <c r="Y306" s="282" t="s">
        <v>1286</v>
      </c>
      <c r="Z306" s="282" t="s">
        <v>1592</v>
      </c>
      <c r="AA306" s="96"/>
      <c r="AB306" s="131" t="s">
        <v>225</v>
      </c>
      <c r="AC306" s="226" t="s">
        <v>899</v>
      </c>
      <c r="AD306" s="72" t="s">
        <v>808</v>
      </c>
      <c r="AE306" s="302"/>
      <c r="AF306" s="67"/>
      <c r="AG306" s="67"/>
      <c r="AH306" s="67" t="s">
        <v>901</v>
      </c>
      <c r="AI306" s="24"/>
      <c r="AJ306" s="24"/>
      <c r="AK306" s="24"/>
      <c r="AL306" s="24"/>
    </row>
    <row r="307" spans="1:38" ht="39.6">
      <c r="A307" s="51">
        <v>298</v>
      </c>
      <c r="B307" s="81" t="str">
        <f t="shared" si="4"/>
        <v>012A</v>
      </c>
      <c r="C307" s="72" t="s">
        <v>1630</v>
      </c>
      <c r="D307" s="55" t="s">
        <v>143</v>
      </c>
      <c r="E307" s="282" t="s">
        <v>1233</v>
      </c>
      <c r="F307" s="78" t="s">
        <v>1047</v>
      </c>
      <c r="G307" s="78" t="s">
        <v>761</v>
      </c>
      <c r="H307" s="55" t="s">
        <v>637</v>
      </c>
      <c r="I307" s="155" t="s">
        <v>815</v>
      </c>
      <c r="J307" s="127" t="s">
        <v>1</v>
      </c>
      <c r="K307" s="79" t="s">
        <v>749</v>
      </c>
      <c r="L307" s="79" t="s">
        <v>500</v>
      </c>
      <c r="M307" s="55" t="s">
        <v>1615</v>
      </c>
      <c r="N307" s="282" t="s">
        <v>1215</v>
      </c>
      <c r="O307" s="238" t="s">
        <v>825</v>
      </c>
      <c r="P307" s="64" t="str">
        <f ca="1">IF(AND(OR(INDIRECT("K" &amp; ROW())="NAV-Premium",INDIRECT("K" &amp; ROW())="DA-Premium"),INDIRECT("M" &amp; ROW())="PARTITION_SCHEMA128__NavPiviJpn", INDIRECT("O" &amp; ROW())="JPN_SDB"),'SDB vs GN'!$B$41, IF(INDIRECT("H" &amp; ROW())="Chenc",'SDB vs GN'!$B$40, VLOOKUP(INDIRECT("O" &amp; ROW()),'SDB vs GN'!$A$16:$B$38,2,FALSE)))</f>
        <v>831_AUSKRJPN</v>
      </c>
      <c r="Q307" s="79" t="s">
        <v>396</v>
      </c>
      <c r="R307" s="156" t="s">
        <v>61</v>
      </c>
      <c r="S307" s="103" t="s">
        <v>10</v>
      </c>
      <c r="T307" s="64" t="s">
        <v>449</v>
      </c>
      <c r="U307" s="104" t="s">
        <v>12</v>
      </c>
      <c r="V307" s="101" t="s">
        <v>558</v>
      </c>
      <c r="W307" s="76" t="s">
        <v>447</v>
      </c>
      <c r="X307" s="64" t="s">
        <v>521</v>
      </c>
      <c r="Y307" s="282" t="s">
        <v>1286</v>
      </c>
      <c r="Z307" s="282" t="s">
        <v>1592</v>
      </c>
      <c r="AA307" s="96"/>
      <c r="AB307" s="131" t="s">
        <v>225</v>
      </c>
      <c r="AC307" s="226" t="s">
        <v>1828</v>
      </c>
      <c r="AD307" s="72" t="s">
        <v>808</v>
      </c>
      <c r="AE307" s="302"/>
      <c r="AF307" s="67"/>
      <c r="AG307" s="67"/>
      <c r="AH307" s="72" t="s">
        <v>1827</v>
      </c>
      <c r="AI307" s="24"/>
      <c r="AJ307" s="24"/>
      <c r="AK307" s="24"/>
      <c r="AL307" s="24"/>
    </row>
    <row r="308" spans="1:38" ht="211.2">
      <c r="A308" s="51">
        <v>299</v>
      </c>
      <c r="B308" s="81" t="str">
        <f t="shared" si="4"/>
        <v>012B</v>
      </c>
      <c r="C308" s="67" t="s">
        <v>1425</v>
      </c>
      <c r="D308" s="55" t="s">
        <v>704</v>
      </c>
      <c r="E308" s="282" t="s">
        <v>1233</v>
      </c>
      <c r="F308" s="178" t="s">
        <v>1044</v>
      </c>
      <c r="G308" s="178" t="s">
        <v>345</v>
      </c>
      <c r="H308" s="55" t="s">
        <v>637</v>
      </c>
      <c r="I308" s="155" t="s">
        <v>815</v>
      </c>
      <c r="J308" s="55" t="s">
        <v>0</v>
      </c>
      <c r="K308" s="55" t="s">
        <v>452</v>
      </c>
      <c r="L308" s="158" t="s">
        <v>1271</v>
      </c>
      <c r="M308" s="55" t="s">
        <v>257</v>
      </c>
      <c r="N308" s="282" t="s">
        <v>1215</v>
      </c>
      <c r="O308" s="238" t="s">
        <v>84</v>
      </c>
      <c r="P308" s="64" t="str">
        <f ca="1">IF(AND(OR(INDIRECT("K" &amp; ROW())="NAV-Premium",INDIRECT("K" &amp; ROW())="DA-Premium"),INDIRECT("M" &amp; ROW())="PARTITION_SCHEMA128__NavPiviJpn", INDIRECT("O" &amp; ROW())="JPN_SDB"),'SDB vs GN'!$B$41, IF(INDIRECT("H" &amp; ROW())="Chenc",'SDB vs GN'!$B$40, VLOOKUP(INDIRECT("O" &amp; ROW()),'SDB vs GN'!$A$16:$B$38,2,FALSE)))</f>
        <v>727_NAM</v>
      </c>
      <c r="Q308" s="79" t="s">
        <v>396</v>
      </c>
      <c r="R308" s="64" t="s">
        <v>60</v>
      </c>
      <c r="S308" s="103" t="s">
        <v>10</v>
      </c>
      <c r="T308" s="79" t="s">
        <v>450</v>
      </c>
      <c r="U308" s="104" t="s">
        <v>816</v>
      </c>
      <c r="V308" s="101" t="s">
        <v>608</v>
      </c>
      <c r="W308" s="76" t="s">
        <v>447</v>
      </c>
      <c r="X308" s="64" t="s">
        <v>522</v>
      </c>
      <c r="Y308" s="282" t="s">
        <v>1286</v>
      </c>
      <c r="Z308" s="282" t="s">
        <v>1592</v>
      </c>
      <c r="AA308" s="96"/>
      <c r="AB308" s="131" t="s">
        <v>225</v>
      </c>
      <c r="AC308" s="226" t="s">
        <v>1800</v>
      </c>
      <c r="AD308" s="72" t="s">
        <v>808</v>
      </c>
      <c r="AE308" s="302"/>
      <c r="AF308" s="194"/>
      <c r="AG308" s="194"/>
      <c r="AH308" s="261" t="s">
        <v>1799</v>
      </c>
      <c r="AI308" s="24"/>
      <c r="AJ308" s="24"/>
      <c r="AK308" s="24"/>
      <c r="AL308" s="24"/>
    </row>
    <row r="309" spans="1:38" ht="26.4">
      <c r="A309" s="51">
        <v>300</v>
      </c>
      <c r="B309" s="81" t="str">
        <f t="shared" si="4"/>
        <v>012C</v>
      </c>
      <c r="C309" s="72" t="s">
        <v>920</v>
      </c>
      <c r="D309" s="55" t="s">
        <v>704</v>
      </c>
      <c r="E309" s="282" t="s">
        <v>1233</v>
      </c>
      <c r="F309" s="178" t="s">
        <v>1044</v>
      </c>
      <c r="G309" s="178" t="s">
        <v>345</v>
      </c>
      <c r="H309" s="55" t="s">
        <v>637</v>
      </c>
      <c r="I309" s="155" t="s">
        <v>815</v>
      </c>
      <c r="J309" s="55" t="s">
        <v>0</v>
      </c>
      <c r="K309" s="55" t="s">
        <v>452</v>
      </c>
      <c r="L309" s="158" t="s">
        <v>1271</v>
      </c>
      <c r="M309" s="55" t="s">
        <v>254</v>
      </c>
      <c r="N309" s="282" t="s">
        <v>1215</v>
      </c>
      <c r="O309" s="238" t="s">
        <v>97</v>
      </c>
      <c r="P309" s="64" t="str">
        <f ca="1">IF(AND(OR(INDIRECT("K" &amp; ROW())="NAV-Premium",INDIRECT("K" &amp; ROW())="DA-Premium"),INDIRECT("M" &amp; ROW())="PARTITION_SCHEMA128__NavPiviJpn", INDIRECT("O" &amp; ROW())="JPN_SDB"),'SDB vs GN'!$B$41, IF(INDIRECT("H" &amp; ROW())="Chenc",'SDB vs GN'!$B$40, VLOOKUP(INDIRECT("O" &amp; ROW()),'SDB vs GN'!$A$16:$B$38,2,FALSE)))</f>
        <v>734_CN_831_AUSKRJPN</v>
      </c>
      <c r="Q309" s="79" t="s">
        <v>396</v>
      </c>
      <c r="R309" s="135" t="s">
        <v>59</v>
      </c>
      <c r="S309" s="103" t="s">
        <v>10</v>
      </c>
      <c r="T309" s="64" t="s">
        <v>449</v>
      </c>
      <c r="U309" s="104" t="s">
        <v>816</v>
      </c>
      <c r="V309" s="101" t="s">
        <v>614</v>
      </c>
      <c r="W309" s="76" t="s">
        <v>447</v>
      </c>
      <c r="X309" s="64" t="s">
        <v>522</v>
      </c>
      <c r="Y309" s="282" t="s">
        <v>1286</v>
      </c>
      <c r="Z309" s="282" t="s">
        <v>1592</v>
      </c>
      <c r="AA309" s="96"/>
      <c r="AB309" s="131" t="s">
        <v>225</v>
      </c>
      <c r="AC309" s="226" t="s">
        <v>1022</v>
      </c>
      <c r="AD309" s="72" t="s">
        <v>808</v>
      </c>
      <c r="AE309" s="302"/>
      <c r="AF309" s="67"/>
      <c r="AG309" s="67"/>
      <c r="AH309" s="261" t="s">
        <v>1023</v>
      </c>
      <c r="AI309" s="24"/>
      <c r="AJ309" s="24"/>
      <c r="AK309" s="24"/>
      <c r="AL309" s="24"/>
    </row>
    <row r="310" spans="1:38" ht="79.2">
      <c r="A310" s="51">
        <v>301</v>
      </c>
      <c r="B310" s="81" t="str">
        <f t="shared" si="4"/>
        <v>012D</v>
      </c>
      <c r="C310" s="67" t="s">
        <v>511</v>
      </c>
      <c r="D310" s="55" t="s">
        <v>704</v>
      </c>
      <c r="E310" s="282" t="s">
        <v>1233</v>
      </c>
      <c r="F310" s="178" t="s">
        <v>1044</v>
      </c>
      <c r="G310" s="178" t="s">
        <v>345</v>
      </c>
      <c r="H310" s="55" t="s">
        <v>637</v>
      </c>
      <c r="I310" s="155" t="s">
        <v>815</v>
      </c>
      <c r="J310" s="55" t="s">
        <v>0</v>
      </c>
      <c r="K310" s="55" t="s">
        <v>452</v>
      </c>
      <c r="L310" s="158" t="s">
        <v>1271</v>
      </c>
      <c r="M310" s="55" t="s">
        <v>257</v>
      </c>
      <c r="N310" s="282" t="s">
        <v>1215</v>
      </c>
      <c r="O310" s="238" t="s">
        <v>84</v>
      </c>
      <c r="P310" s="64" t="str">
        <f ca="1">IF(AND(OR(INDIRECT("K" &amp; ROW())="NAV-Premium",INDIRECT("K" &amp; ROW())="DA-Premium"),INDIRECT("M" &amp; ROW())="PARTITION_SCHEMA128__NavPiviJpn", INDIRECT("O" &amp; ROW())="JPN_SDB"),'SDB vs GN'!$B$41, IF(INDIRECT("H" &amp; ROW())="Chenc",'SDB vs GN'!$B$40, VLOOKUP(INDIRECT("O" &amp; ROW()),'SDB vs GN'!$A$16:$B$38,2,FALSE)))</f>
        <v>727_NAM</v>
      </c>
      <c r="Q310" s="79" t="s">
        <v>396</v>
      </c>
      <c r="R310" s="64" t="s">
        <v>60</v>
      </c>
      <c r="S310" s="103" t="s">
        <v>10</v>
      </c>
      <c r="T310" s="64" t="s">
        <v>449</v>
      </c>
      <c r="U310" s="104" t="s">
        <v>816</v>
      </c>
      <c r="V310" s="173" t="s">
        <v>1128</v>
      </c>
      <c r="W310" s="76" t="s">
        <v>447</v>
      </c>
      <c r="X310" s="64" t="s">
        <v>522</v>
      </c>
      <c r="Y310" s="282" t="s">
        <v>1286</v>
      </c>
      <c r="Z310" s="282" t="s">
        <v>1592</v>
      </c>
      <c r="AA310" s="96"/>
      <c r="AB310" s="131" t="s">
        <v>225</v>
      </c>
      <c r="AC310" s="226" t="s">
        <v>1394</v>
      </c>
      <c r="AD310" s="72" t="s">
        <v>808</v>
      </c>
      <c r="AE310" s="302"/>
      <c r="AF310" s="67"/>
      <c r="AG310" s="67"/>
      <c r="AH310" s="261" t="s">
        <v>1395</v>
      </c>
      <c r="AI310" s="24"/>
      <c r="AJ310" s="24"/>
      <c r="AK310" s="24"/>
      <c r="AL310" s="24"/>
    </row>
    <row r="311" spans="1:38" ht="79.2">
      <c r="A311" s="51">
        <v>302</v>
      </c>
      <c r="B311" s="81" t="str">
        <f t="shared" si="4"/>
        <v>012E</v>
      </c>
      <c r="C311" s="72" t="s">
        <v>921</v>
      </c>
      <c r="D311" s="55" t="s">
        <v>704</v>
      </c>
      <c r="E311" s="282" t="s">
        <v>1233</v>
      </c>
      <c r="F311" s="178" t="s">
        <v>1044</v>
      </c>
      <c r="G311" s="178" t="s">
        <v>345</v>
      </c>
      <c r="H311" s="55" t="s">
        <v>637</v>
      </c>
      <c r="I311" s="155" t="s">
        <v>815</v>
      </c>
      <c r="J311" s="55" t="s">
        <v>0</v>
      </c>
      <c r="K311" s="55" t="s">
        <v>452</v>
      </c>
      <c r="L311" s="158" t="s">
        <v>1271</v>
      </c>
      <c r="M311" s="55" t="s">
        <v>254</v>
      </c>
      <c r="N311" s="282" t="s">
        <v>1215</v>
      </c>
      <c r="O311" s="238" t="s">
        <v>126</v>
      </c>
      <c r="P311" s="64" t="str">
        <f ca="1">IF(AND(OR(INDIRECT("K" &amp; ROW())="NAV-Premium",INDIRECT("K" &amp; ROW())="DA-Premium"),INDIRECT("M" &amp; ROW())="PARTITION_SCHEMA128__NavPiviJpn", INDIRECT("O" &amp; ROW())="JPN_SDB"),'SDB vs GN'!$B$41, IF(INDIRECT("H" &amp; ROW())="Chenc",'SDB vs GN'!$B$40, VLOOKUP(INDIRECT("O" &amp; ROW()),'SDB vs GN'!$A$16:$B$38,2,FALSE)))</f>
        <v>735_LA</v>
      </c>
      <c r="Q311" s="79" t="s">
        <v>396</v>
      </c>
      <c r="R311" s="135" t="s">
        <v>59</v>
      </c>
      <c r="S311" s="103" t="s">
        <v>10</v>
      </c>
      <c r="T311" s="64" t="s">
        <v>449</v>
      </c>
      <c r="U311" s="104" t="s">
        <v>816</v>
      </c>
      <c r="V311" s="172" t="s">
        <v>613</v>
      </c>
      <c r="W311" s="76" t="s">
        <v>447</v>
      </c>
      <c r="X311" s="64" t="s">
        <v>522</v>
      </c>
      <c r="Y311" s="282" t="s">
        <v>1286</v>
      </c>
      <c r="Z311" s="282" t="s">
        <v>1592</v>
      </c>
      <c r="AA311" s="96"/>
      <c r="AB311" s="131" t="s">
        <v>225</v>
      </c>
      <c r="AC311" s="226" t="s">
        <v>2129</v>
      </c>
      <c r="AD311" s="72" t="s">
        <v>808</v>
      </c>
      <c r="AE311" s="302"/>
      <c r="AF311" s="194"/>
      <c r="AG311" s="194"/>
      <c r="AH311" s="261" t="s">
        <v>2130</v>
      </c>
      <c r="AI311" s="24"/>
      <c r="AJ311" s="24"/>
      <c r="AK311" s="24"/>
      <c r="AL311" s="24"/>
    </row>
    <row r="312" spans="1:38">
      <c r="A312" s="51">
        <v>303</v>
      </c>
      <c r="B312" s="81" t="str">
        <f t="shared" si="4"/>
        <v>012F</v>
      </c>
      <c r="C312" s="170" t="s">
        <v>923</v>
      </c>
      <c r="D312" s="55" t="s">
        <v>704</v>
      </c>
      <c r="E312" s="282" t="s">
        <v>1233</v>
      </c>
      <c r="F312" s="178" t="s">
        <v>1044</v>
      </c>
      <c r="G312" s="178" t="s">
        <v>345</v>
      </c>
      <c r="H312" s="55" t="s">
        <v>637</v>
      </c>
      <c r="I312" s="155" t="s">
        <v>815</v>
      </c>
      <c r="J312" s="55" t="s">
        <v>0</v>
      </c>
      <c r="K312" s="55" t="s">
        <v>452</v>
      </c>
      <c r="L312" s="158" t="s">
        <v>1271</v>
      </c>
      <c r="M312" s="55" t="s">
        <v>254</v>
      </c>
      <c r="N312" s="282" t="s">
        <v>1215</v>
      </c>
      <c r="O312" s="238" t="s">
        <v>73</v>
      </c>
      <c r="P312" s="64" t="str">
        <f ca="1">IF(AND(OR(INDIRECT("K" &amp; ROW())="NAV-Premium",INDIRECT("K" &amp; ROW())="DA-Premium"),INDIRECT("M" &amp; ROW())="PARTITION_SCHEMA128__NavPiviJpn", INDIRECT("O" &amp; ROW())="JPN_SDB"),'SDB vs GN'!$B$41, IF(INDIRECT("H" &amp; ROW())="Chenc",'SDB vs GN'!$B$40, VLOOKUP(INDIRECT("O" &amp; ROW()),'SDB vs GN'!$A$16:$B$38,2,FALSE)))</f>
        <v>731_EUR</v>
      </c>
      <c r="Q312" s="79" t="s">
        <v>396</v>
      </c>
      <c r="R312" s="135" t="s">
        <v>59</v>
      </c>
      <c r="S312" s="103" t="s">
        <v>10</v>
      </c>
      <c r="T312" s="64" t="s">
        <v>449</v>
      </c>
      <c r="U312" s="104" t="s">
        <v>816</v>
      </c>
      <c r="V312" s="173" t="s">
        <v>611</v>
      </c>
      <c r="W312" s="76" t="s">
        <v>447</v>
      </c>
      <c r="X312" s="64" t="s">
        <v>522</v>
      </c>
      <c r="Y312" s="282" t="s">
        <v>1286</v>
      </c>
      <c r="Z312" s="282" t="s">
        <v>1592</v>
      </c>
      <c r="AA312" s="96"/>
      <c r="AB312" s="131" t="s">
        <v>225</v>
      </c>
      <c r="AC312" s="226" t="s">
        <v>914</v>
      </c>
      <c r="AD312" s="72" t="s">
        <v>808</v>
      </c>
      <c r="AE312" s="302"/>
      <c r="AF312" s="67"/>
      <c r="AG312" s="67"/>
      <c r="AH312" s="55" t="s">
        <v>915</v>
      </c>
      <c r="AI312" s="24"/>
      <c r="AJ312" s="24"/>
      <c r="AK312" s="24"/>
      <c r="AL312" s="24"/>
    </row>
    <row r="313" spans="1:38" ht="79.2">
      <c r="A313" s="51">
        <v>304</v>
      </c>
      <c r="B313" s="81" t="str">
        <f t="shared" si="4"/>
        <v>0130</v>
      </c>
      <c r="C313" s="64" t="s">
        <v>922</v>
      </c>
      <c r="D313" s="55" t="s">
        <v>704</v>
      </c>
      <c r="E313" s="282" t="s">
        <v>1233</v>
      </c>
      <c r="F313" s="178" t="s">
        <v>1044</v>
      </c>
      <c r="G313" s="178" t="s">
        <v>345</v>
      </c>
      <c r="H313" s="55" t="s">
        <v>637</v>
      </c>
      <c r="I313" s="155" t="s">
        <v>815</v>
      </c>
      <c r="J313" s="55" t="s">
        <v>0</v>
      </c>
      <c r="K313" s="55" t="s">
        <v>452</v>
      </c>
      <c r="L313" s="158" t="s">
        <v>1271</v>
      </c>
      <c r="M313" s="55" t="s">
        <v>254</v>
      </c>
      <c r="N313" s="282" t="s">
        <v>1215</v>
      </c>
      <c r="O313" s="238" t="s">
        <v>126</v>
      </c>
      <c r="P313" s="64" t="str">
        <f ca="1">IF(AND(OR(INDIRECT("K" &amp; ROW())="NAV-Premium",INDIRECT("K" &amp; ROW())="DA-Premium"),INDIRECT("M" &amp; ROW())="PARTITION_SCHEMA128__NavPiviJpn", INDIRECT("O" &amp; ROW())="JPN_SDB"),'SDB vs GN'!$B$41, IF(INDIRECT("H" &amp; ROW())="Chenc",'SDB vs GN'!$B$40, VLOOKUP(INDIRECT("O" &amp; ROW()),'SDB vs GN'!$A$16:$B$38,2,FALSE)))</f>
        <v>735_LA</v>
      </c>
      <c r="Q313" s="79" t="s">
        <v>396</v>
      </c>
      <c r="R313" s="135" t="s">
        <v>59</v>
      </c>
      <c r="S313" s="103" t="s">
        <v>10</v>
      </c>
      <c r="T313" s="64" t="s">
        <v>449</v>
      </c>
      <c r="U313" s="104" t="s">
        <v>816</v>
      </c>
      <c r="V313" s="173" t="s">
        <v>618</v>
      </c>
      <c r="W313" s="76" t="s">
        <v>447</v>
      </c>
      <c r="X313" s="64" t="s">
        <v>522</v>
      </c>
      <c r="Y313" s="282" t="s">
        <v>1286</v>
      </c>
      <c r="Z313" s="282" t="s">
        <v>1592</v>
      </c>
      <c r="AA313" s="96"/>
      <c r="AB313" s="131" t="s">
        <v>225</v>
      </c>
      <c r="AC313" s="226" t="s">
        <v>2127</v>
      </c>
      <c r="AD313" s="72" t="s">
        <v>808</v>
      </c>
      <c r="AE313" s="302"/>
      <c r="AF313" s="67"/>
      <c r="AG313" s="67"/>
      <c r="AH313" s="261" t="s">
        <v>2128</v>
      </c>
      <c r="AI313" s="24"/>
      <c r="AJ313" s="24"/>
      <c r="AK313" s="24"/>
      <c r="AL313" s="24"/>
    </row>
    <row r="314" spans="1:38" ht="26.4">
      <c r="A314" s="51">
        <v>305</v>
      </c>
      <c r="B314" s="81" t="str">
        <f t="shared" si="4"/>
        <v>0131</v>
      </c>
      <c r="C314" s="343" t="s">
        <v>1426</v>
      </c>
      <c r="D314" s="94" t="s">
        <v>136</v>
      </c>
      <c r="E314" s="314" t="s">
        <v>1233</v>
      </c>
      <c r="F314" s="177" t="s">
        <v>1046</v>
      </c>
      <c r="G314" s="177" t="s">
        <v>344</v>
      </c>
      <c r="H314" s="55" t="s">
        <v>637</v>
      </c>
      <c r="I314" s="94" t="s">
        <v>4</v>
      </c>
      <c r="J314" s="55" t="s">
        <v>0</v>
      </c>
      <c r="K314" s="55" t="s">
        <v>110</v>
      </c>
      <c r="L314" s="158" t="s">
        <v>499</v>
      </c>
      <c r="M314" s="168" t="s">
        <v>255</v>
      </c>
      <c r="N314" s="282" t="s">
        <v>1215</v>
      </c>
      <c r="O314" s="238" t="s">
        <v>84</v>
      </c>
      <c r="P314" s="64" t="str">
        <f ca="1">IF(AND(OR(INDIRECT("K" &amp; ROW())="NAV-Premium",INDIRECT("K" &amp; ROW())="DA-Premium"),INDIRECT("M" &amp; ROW())="PARTITION_SCHEMA128__NavPiviJpn", INDIRECT("O" &amp; ROW())="JPN_SDB"),'SDB vs GN'!$B$41, IF(INDIRECT("H" &amp; ROW())="Chenc",'SDB vs GN'!$B$40, VLOOKUP(INDIRECT("O" &amp; ROW()),'SDB vs GN'!$A$16:$B$38,2,FALSE)))</f>
        <v>727_NAM</v>
      </c>
      <c r="Q314" s="79" t="s">
        <v>396</v>
      </c>
      <c r="R314" s="135" t="s">
        <v>59</v>
      </c>
      <c r="S314" s="103" t="s">
        <v>10</v>
      </c>
      <c r="T314" s="79" t="s">
        <v>450</v>
      </c>
      <c r="U314" s="104" t="s">
        <v>816</v>
      </c>
      <c r="V314" s="173" t="s">
        <v>7</v>
      </c>
      <c r="W314" s="129" t="s">
        <v>2184</v>
      </c>
      <c r="X314" s="64" t="s">
        <v>521</v>
      </c>
      <c r="Y314" s="282" t="s">
        <v>1286</v>
      </c>
      <c r="Z314" s="282" t="s">
        <v>1592</v>
      </c>
      <c r="AA314" s="96"/>
      <c r="AB314" s="131" t="s">
        <v>225</v>
      </c>
      <c r="AC314" s="226" t="s">
        <v>928</v>
      </c>
      <c r="AD314" s="72" t="s">
        <v>808</v>
      </c>
      <c r="AE314" s="302"/>
      <c r="AF314" s="67"/>
      <c r="AG314" s="67"/>
      <c r="AH314" s="261" t="s">
        <v>927</v>
      </c>
      <c r="AI314" s="24"/>
      <c r="AJ314" s="24"/>
      <c r="AK314" s="24"/>
      <c r="AL314" s="24"/>
    </row>
    <row r="315" spans="1:38">
      <c r="A315" s="51">
        <v>306</v>
      </c>
      <c r="B315" s="81" t="str">
        <f t="shared" si="4"/>
        <v>0132</v>
      </c>
      <c r="C315" s="76" t="s">
        <v>929</v>
      </c>
      <c r="D315" s="94" t="s">
        <v>104</v>
      </c>
      <c r="E315" s="314" t="s">
        <v>1233</v>
      </c>
      <c r="F315" s="178" t="s">
        <v>1044</v>
      </c>
      <c r="G315" s="178" t="s">
        <v>345</v>
      </c>
      <c r="H315" s="55" t="s">
        <v>637</v>
      </c>
      <c r="I315" s="155" t="s">
        <v>815</v>
      </c>
      <c r="J315" s="55" t="s">
        <v>0</v>
      </c>
      <c r="K315" s="55" t="s">
        <v>453</v>
      </c>
      <c r="L315" s="158" t="s">
        <v>499</v>
      </c>
      <c r="M315" s="55" t="s">
        <v>254</v>
      </c>
      <c r="N315" s="282" t="s">
        <v>1215</v>
      </c>
      <c r="O315" s="238" t="s">
        <v>825</v>
      </c>
      <c r="P315" s="64" t="str">
        <f ca="1">IF(AND(OR(INDIRECT("K" &amp; ROW())="NAV-Premium",INDIRECT("K" &amp; ROW())="DA-Premium"),INDIRECT("M" &amp; ROW())="PARTITION_SCHEMA128__NavPiviJpn", INDIRECT("O" &amp; ROW())="JPN_SDB"),'SDB vs GN'!$B$41, IF(INDIRECT("H" &amp; ROW())="Chenc",'SDB vs GN'!$B$40, VLOOKUP(INDIRECT("O" &amp; ROW()),'SDB vs GN'!$A$16:$B$38,2,FALSE)))</f>
        <v>831_AUSKRJPN</v>
      </c>
      <c r="Q315" s="79" t="s">
        <v>396</v>
      </c>
      <c r="R315" s="135" t="s">
        <v>59</v>
      </c>
      <c r="S315" s="103" t="s">
        <v>10</v>
      </c>
      <c r="T315" s="64" t="s">
        <v>449</v>
      </c>
      <c r="U315" s="104" t="s">
        <v>816</v>
      </c>
      <c r="V315" s="172" t="s">
        <v>990</v>
      </c>
      <c r="W315" s="76" t="s">
        <v>447</v>
      </c>
      <c r="X315" s="64" t="s">
        <v>521</v>
      </c>
      <c r="Y315" s="282" t="s">
        <v>1286</v>
      </c>
      <c r="Z315" s="282" t="s">
        <v>1592</v>
      </c>
      <c r="AA315" s="96"/>
      <c r="AB315" s="131" t="s">
        <v>225</v>
      </c>
      <c r="AC315" s="226" t="s">
        <v>925</v>
      </c>
      <c r="AD315" s="72" t="s">
        <v>808</v>
      </c>
      <c r="AE315" s="302"/>
      <c r="AF315" s="67"/>
      <c r="AG315" s="67"/>
      <c r="AH315" s="55" t="s">
        <v>924</v>
      </c>
      <c r="AI315" s="24"/>
      <c r="AJ315" s="24"/>
      <c r="AK315" s="24"/>
      <c r="AL315" s="24"/>
    </row>
    <row r="316" spans="1:38" ht="145.19999999999999">
      <c r="A316" s="51">
        <v>307</v>
      </c>
      <c r="B316" s="81" t="str">
        <f t="shared" si="4"/>
        <v>0133</v>
      </c>
      <c r="C316" s="226" t="s">
        <v>938</v>
      </c>
      <c r="D316" s="55" t="s">
        <v>704</v>
      </c>
      <c r="E316" s="282" t="s">
        <v>1233</v>
      </c>
      <c r="F316" s="178" t="s">
        <v>1044</v>
      </c>
      <c r="G316" s="178" t="s">
        <v>345</v>
      </c>
      <c r="H316" s="55" t="s">
        <v>637</v>
      </c>
      <c r="I316" s="155" t="s">
        <v>815</v>
      </c>
      <c r="J316" s="55" t="s">
        <v>0</v>
      </c>
      <c r="K316" s="55" t="s">
        <v>452</v>
      </c>
      <c r="L316" s="158" t="s">
        <v>499</v>
      </c>
      <c r="M316" s="55" t="s">
        <v>254</v>
      </c>
      <c r="N316" s="282" t="s">
        <v>1215</v>
      </c>
      <c r="O316" s="238" t="s">
        <v>126</v>
      </c>
      <c r="P316" s="64" t="str">
        <f ca="1">IF(AND(OR(INDIRECT("K" &amp; ROW())="NAV-Premium",INDIRECT("K" &amp; ROW())="DA-Premium"),INDIRECT("M" &amp; ROW())="PARTITION_SCHEMA128__NavPiviJpn", INDIRECT("O" &amp; ROW())="JPN_SDB"),'SDB vs GN'!$B$41, IF(INDIRECT("H" &amp; ROW())="Chenc",'SDB vs GN'!$B$40, VLOOKUP(INDIRECT("O" &amp; ROW()),'SDB vs GN'!$A$16:$B$38,2,FALSE)))</f>
        <v>735_LA</v>
      </c>
      <c r="Q316" s="79" t="s">
        <v>396</v>
      </c>
      <c r="R316" s="135" t="s">
        <v>59</v>
      </c>
      <c r="S316" s="103" t="s">
        <v>10</v>
      </c>
      <c r="T316" s="64" t="s">
        <v>449</v>
      </c>
      <c r="U316" s="104" t="s">
        <v>816</v>
      </c>
      <c r="V316" s="172" t="s">
        <v>930</v>
      </c>
      <c r="W316" s="76" t="s">
        <v>447</v>
      </c>
      <c r="X316" s="64" t="s">
        <v>521</v>
      </c>
      <c r="Y316" s="282" t="s">
        <v>1286</v>
      </c>
      <c r="Z316" s="282" t="s">
        <v>1592</v>
      </c>
      <c r="AA316" s="96"/>
      <c r="AB316" s="131" t="s">
        <v>225</v>
      </c>
      <c r="AC316" s="226" t="s">
        <v>2111</v>
      </c>
      <c r="AD316" s="72" t="s">
        <v>808</v>
      </c>
      <c r="AE316" s="302"/>
      <c r="AF316" s="67"/>
      <c r="AG316" s="67"/>
      <c r="AH316" s="261" t="s">
        <v>2110</v>
      </c>
      <c r="AI316" s="24"/>
      <c r="AJ316" s="24"/>
      <c r="AK316" s="24"/>
      <c r="AL316" s="24"/>
    </row>
    <row r="317" spans="1:38">
      <c r="A317" s="51">
        <v>308</v>
      </c>
      <c r="B317" s="81" t="str">
        <f t="shared" si="4"/>
        <v>0134</v>
      </c>
      <c r="C317" s="226" t="s">
        <v>937</v>
      </c>
      <c r="D317" s="55" t="s">
        <v>704</v>
      </c>
      <c r="E317" s="282" t="s">
        <v>1233</v>
      </c>
      <c r="F317" s="178" t="s">
        <v>1044</v>
      </c>
      <c r="G317" s="178" t="s">
        <v>345</v>
      </c>
      <c r="H317" s="55" t="s">
        <v>637</v>
      </c>
      <c r="I317" s="155" t="s">
        <v>815</v>
      </c>
      <c r="J317" s="55" t="s">
        <v>0</v>
      </c>
      <c r="K317" s="55" t="s">
        <v>452</v>
      </c>
      <c r="L317" s="158" t="s">
        <v>499</v>
      </c>
      <c r="M317" s="55" t="s">
        <v>257</v>
      </c>
      <c r="N317" s="282" t="s">
        <v>1215</v>
      </c>
      <c r="O317" s="238" t="s">
        <v>84</v>
      </c>
      <c r="P317" s="64" t="str">
        <f ca="1">IF(AND(OR(INDIRECT("K" &amp; ROW())="NAV-Premium",INDIRECT("K" &amp; ROW())="DA-Premium"),INDIRECT("M" &amp; ROW())="PARTITION_SCHEMA128__NavPiviJpn", INDIRECT("O" &amp; ROW())="JPN_SDB"),'SDB vs GN'!$B$41, IF(INDIRECT("H" &amp; ROW())="Chenc",'SDB vs GN'!$B$40, VLOOKUP(INDIRECT("O" &amp; ROW()),'SDB vs GN'!$A$16:$B$38,2,FALSE)))</f>
        <v>727_NAM</v>
      </c>
      <c r="Q317" s="79" t="s">
        <v>396</v>
      </c>
      <c r="R317" s="64" t="s">
        <v>60</v>
      </c>
      <c r="S317" s="103" t="s">
        <v>10</v>
      </c>
      <c r="T317" s="64" t="s">
        <v>449</v>
      </c>
      <c r="U317" s="104" t="s">
        <v>816</v>
      </c>
      <c r="V317" s="173" t="s">
        <v>1131</v>
      </c>
      <c r="W317" s="76" t="s">
        <v>447</v>
      </c>
      <c r="X317" s="64" t="s">
        <v>521</v>
      </c>
      <c r="Y317" s="282" t="s">
        <v>1286</v>
      </c>
      <c r="Z317" s="282" t="s">
        <v>1592</v>
      </c>
      <c r="AA317" s="96"/>
      <c r="AB317" s="131" t="s">
        <v>225</v>
      </c>
      <c r="AC317" s="226" t="s">
        <v>933</v>
      </c>
      <c r="AD317" s="72" t="s">
        <v>808</v>
      </c>
      <c r="AE317" s="302"/>
      <c r="AF317" s="67"/>
      <c r="AG317" s="67"/>
      <c r="AH317" s="55" t="s">
        <v>932</v>
      </c>
      <c r="AI317" s="24"/>
      <c r="AJ317" s="24"/>
      <c r="AK317" s="24"/>
      <c r="AL317" s="24"/>
    </row>
    <row r="318" spans="1:38" ht="237.6">
      <c r="A318" s="51">
        <v>309</v>
      </c>
      <c r="B318" s="81" t="str">
        <f t="shared" si="4"/>
        <v>0135</v>
      </c>
      <c r="C318" s="226" t="s">
        <v>936</v>
      </c>
      <c r="D318" s="55" t="s">
        <v>704</v>
      </c>
      <c r="E318" s="282" t="s">
        <v>1233</v>
      </c>
      <c r="F318" s="178" t="s">
        <v>1044</v>
      </c>
      <c r="G318" s="178" t="s">
        <v>345</v>
      </c>
      <c r="H318" s="55" t="s">
        <v>637</v>
      </c>
      <c r="I318" s="155" t="s">
        <v>815</v>
      </c>
      <c r="J318" s="55" t="s">
        <v>0</v>
      </c>
      <c r="K318" s="55" t="s">
        <v>452</v>
      </c>
      <c r="L318" s="158" t="s">
        <v>499</v>
      </c>
      <c r="M318" s="55" t="s">
        <v>254</v>
      </c>
      <c r="N318" s="282" t="s">
        <v>1215</v>
      </c>
      <c r="O318" s="238" t="s">
        <v>97</v>
      </c>
      <c r="P318" s="64" t="str">
        <f ca="1">IF(AND(OR(INDIRECT("K" &amp; ROW())="NAV-Premium",INDIRECT("K" &amp; ROW())="DA-Premium"),INDIRECT("M" &amp; ROW())="PARTITION_SCHEMA128__NavPiviJpn", INDIRECT("O" &amp; ROW())="JPN_SDB"),'SDB vs GN'!$B$41, IF(INDIRECT("H" &amp; ROW())="Chenc",'SDB vs GN'!$B$40, VLOOKUP(INDIRECT("O" &amp; ROW()),'SDB vs GN'!$A$16:$B$38,2,FALSE)))</f>
        <v>734_CN_831_AUSKRJPN</v>
      </c>
      <c r="Q318" s="79" t="s">
        <v>396</v>
      </c>
      <c r="R318" s="135" t="s">
        <v>59</v>
      </c>
      <c r="S318" s="103" t="s">
        <v>10</v>
      </c>
      <c r="T318" s="64" t="s">
        <v>449</v>
      </c>
      <c r="U318" s="104" t="s">
        <v>816</v>
      </c>
      <c r="V318" s="172" t="s">
        <v>728</v>
      </c>
      <c r="W318" s="76" t="s">
        <v>447</v>
      </c>
      <c r="X318" s="64" t="s">
        <v>521</v>
      </c>
      <c r="Y318" s="282" t="s">
        <v>1286</v>
      </c>
      <c r="Z318" s="282" t="s">
        <v>1592</v>
      </c>
      <c r="AA318" s="96"/>
      <c r="AB318" s="131" t="s">
        <v>225</v>
      </c>
      <c r="AC318" s="226" t="s">
        <v>2125</v>
      </c>
      <c r="AD318" s="72" t="s">
        <v>808</v>
      </c>
      <c r="AE318" s="302"/>
      <c r="AF318" s="67"/>
      <c r="AG318" s="67"/>
      <c r="AH318" s="261" t="s">
        <v>2126</v>
      </c>
      <c r="AI318" s="24"/>
      <c r="AJ318" s="24"/>
      <c r="AK318" s="24"/>
      <c r="AL318" s="24"/>
    </row>
    <row r="319" spans="1:38" ht="52.8">
      <c r="A319" s="51">
        <v>310</v>
      </c>
      <c r="B319" s="81" t="str">
        <f t="shared" si="4"/>
        <v>0136</v>
      </c>
      <c r="C319" s="226" t="s">
        <v>935</v>
      </c>
      <c r="D319" s="55" t="s">
        <v>704</v>
      </c>
      <c r="E319" s="282" t="s">
        <v>1233</v>
      </c>
      <c r="F319" s="178" t="s">
        <v>1044</v>
      </c>
      <c r="G319" s="178" t="s">
        <v>345</v>
      </c>
      <c r="H319" s="55" t="s">
        <v>637</v>
      </c>
      <c r="I319" s="155" t="s">
        <v>815</v>
      </c>
      <c r="J319" s="55" t="s">
        <v>0</v>
      </c>
      <c r="K319" s="55" t="s">
        <v>452</v>
      </c>
      <c r="L319" s="158" t="s">
        <v>499</v>
      </c>
      <c r="M319" s="55" t="s">
        <v>254</v>
      </c>
      <c r="N319" s="282" t="s">
        <v>1215</v>
      </c>
      <c r="O319" s="238" t="s">
        <v>826</v>
      </c>
      <c r="P319" s="64" t="str">
        <f ca="1">IF(AND(OR(INDIRECT("K" &amp; ROW())="NAV-Premium",INDIRECT("K" &amp; ROW())="DA-Premium"),INDIRECT("M" &amp; ROW())="PARTITION_SCHEMA128__NavPiviJpn", INDIRECT("O" &amp; ROW())="JPN_SDB"),'SDB vs GN'!$B$41, IF(INDIRECT("H" &amp; ROW())="Chenc",'SDB vs GN'!$B$40, VLOOKUP(INDIRECT("O" &amp; ROW()),'SDB vs GN'!$A$16:$B$38,2,FALSE)))</f>
        <v>731_EUR</v>
      </c>
      <c r="Q319" s="79" t="s">
        <v>396</v>
      </c>
      <c r="R319" s="135" t="s">
        <v>59</v>
      </c>
      <c r="S319" s="103" t="s">
        <v>10</v>
      </c>
      <c r="T319" s="64" t="s">
        <v>449</v>
      </c>
      <c r="U319" s="104" t="s">
        <v>816</v>
      </c>
      <c r="V319" s="172" t="s">
        <v>931</v>
      </c>
      <c r="W319" s="76" t="s">
        <v>447</v>
      </c>
      <c r="X319" s="64" t="s">
        <v>521</v>
      </c>
      <c r="Y319" s="282" t="s">
        <v>1286</v>
      </c>
      <c r="Z319" s="282" t="s">
        <v>1592</v>
      </c>
      <c r="AA319" s="96"/>
      <c r="AB319" s="131" t="s">
        <v>225</v>
      </c>
      <c r="AC319" s="226" t="s">
        <v>1595</v>
      </c>
      <c r="AD319" s="72" t="s">
        <v>808</v>
      </c>
      <c r="AE319" s="302"/>
      <c r="AF319" s="67"/>
      <c r="AG319" s="67"/>
      <c r="AH319" s="261" t="s">
        <v>1596</v>
      </c>
      <c r="AI319" s="24"/>
      <c r="AJ319" s="24"/>
      <c r="AK319" s="24"/>
      <c r="AL319" s="24"/>
    </row>
    <row r="320" spans="1:38" ht="66">
      <c r="A320" s="51">
        <v>311</v>
      </c>
      <c r="B320" s="81" t="str">
        <f t="shared" si="4"/>
        <v>0137</v>
      </c>
      <c r="C320" s="55" t="s">
        <v>1451</v>
      </c>
      <c r="D320" s="61" t="s">
        <v>476</v>
      </c>
      <c r="E320" s="323" t="s">
        <v>1233</v>
      </c>
      <c r="F320" s="115" t="s">
        <v>1049</v>
      </c>
      <c r="G320" s="115" t="s">
        <v>346</v>
      </c>
      <c r="H320" s="55" t="s">
        <v>637</v>
      </c>
      <c r="I320" s="155" t="s">
        <v>815</v>
      </c>
      <c r="J320" s="55" t="s">
        <v>0</v>
      </c>
      <c r="K320" s="61" t="s">
        <v>454</v>
      </c>
      <c r="L320" s="100" t="s">
        <v>1317</v>
      </c>
      <c r="M320" s="55" t="s">
        <v>236</v>
      </c>
      <c r="N320" s="282" t="s">
        <v>1215</v>
      </c>
      <c r="O320" s="238" t="s">
        <v>826</v>
      </c>
      <c r="P320" s="64" t="str">
        <f ca="1">IF(AND(OR(INDIRECT("K" &amp; ROW())="NAV-Premium",INDIRECT("K" &amp; ROW())="DA-Premium"),INDIRECT("M" &amp; ROW())="PARTITION_SCHEMA128__NavPiviJpn", INDIRECT("O" &amp; ROW())="JPN_SDB"),'SDB vs GN'!$B$41, IF(INDIRECT("H" &amp; ROW())="Chenc",'SDB vs GN'!$B$40, VLOOKUP(INDIRECT("O" &amp; ROW()),'SDB vs GN'!$A$16:$B$38,2,FALSE)))</f>
        <v>731_EUR</v>
      </c>
      <c r="Q320" s="64" t="s">
        <v>952</v>
      </c>
      <c r="R320" s="135" t="s">
        <v>59</v>
      </c>
      <c r="S320" s="103" t="s">
        <v>10</v>
      </c>
      <c r="T320" s="64" t="s">
        <v>449</v>
      </c>
      <c r="U320" s="104" t="s">
        <v>816</v>
      </c>
      <c r="V320" s="174" t="s">
        <v>949</v>
      </c>
      <c r="W320" s="76" t="s">
        <v>447</v>
      </c>
      <c r="X320" s="64" t="s">
        <v>521</v>
      </c>
      <c r="Y320" s="282" t="s">
        <v>1286</v>
      </c>
      <c r="Z320" s="282" t="s">
        <v>1592</v>
      </c>
      <c r="AA320" s="96"/>
      <c r="AB320" s="131" t="s">
        <v>225</v>
      </c>
      <c r="AC320" s="226" t="s">
        <v>2020</v>
      </c>
      <c r="AD320" s="72" t="s">
        <v>888</v>
      </c>
      <c r="AE320" s="302"/>
      <c r="AF320" s="67"/>
      <c r="AG320" s="67"/>
      <c r="AH320" s="261" t="s">
        <v>2019</v>
      </c>
      <c r="AI320" s="24"/>
      <c r="AJ320" s="24"/>
      <c r="AK320" s="24"/>
    </row>
    <row r="321" spans="1:38" ht="52.8">
      <c r="A321" s="51">
        <v>312</v>
      </c>
      <c r="B321" s="81" t="str">
        <f t="shared" si="4"/>
        <v>0138</v>
      </c>
      <c r="C321" s="55" t="s">
        <v>1452</v>
      </c>
      <c r="D321" s="61" t="s">
        <v>476</v>
      </c>
      <c r="E321" s="323" t="s">
        <v>1233</v>
      </c>
      <c r="F321" s="115" t="s">
        <v>1049</v>
      </c>
      <c r="G321" s="115" t="s">
        <v>346</v>
      </c>
      <c r="H321" s="55" t="s">
        <v>637</v>
      </c>
      <c r="I321" s="155" t="s">
        <v>815</v>
      </c>
      <c r="J321" s="55" t="s">
        <v>0</v>
      </c>
      <c r="K321" s="61" t="s">
        <v>454</v>
      </c>
      <c r="L321" s="100" t="s">
        <v>1317</v>
      </c>
      <c r="M321" s="55" t="s">
        <v>236</v>
      </c>
      <c r="N321" s="282" t="s">
        <v>1215</v>
      </c>
      <c r="O321" s="238" t="s">
        <v>54</v>
      </c>
      <c r="P321" s="64" t="str">
        <f ca="1">IF(AND(OR(INDIRECT("K" &amp; ROW())="NAV-Premium",INDIRECT("K" &amp; ROW())="DA-Premium"),INDIRECT("M" &amp; ROW())="PARTITION_SCHEMA128__NavPiviJpn", INDIRECT("O" &amp; ROW())="JPN_SDB"),'SDB vs GN'!$B$41, IF(INDIRECT("H" &amp; ROW())="Chenc",'SDB vs GN'!$B$40, VLOOKUP(INDIRECT("O" &amp; ROW()),'SDB vs GN'!$A$16:$B$38,2,FALSE)))</f>
        <v>731_EUR</v>
      </c>
      <c r="Q321" s="64" t="s">
        <v>952</v>
      </c>
      <c r="R321" s="64" t="s">
        <v>61</v>
      </c>
      <c r="S321" s="103" t="s">
        <v>10</v>
      </c>
      <c r="T321" s="64" t="s">
        <v>449</v>
      </c>
      <c r="U321" s="104" t="s">
        <v>816</v>
      </c>
      <c r="V321" s="174" t="s">
        <v>950</v>
      </c>
      <c r="W321" s="76" t="s">
        <v>447</v>
      </c>
      <c r="X321" s="64" t="s">
        <v>521</v>
      </c>
      <c r="Y321" s="282" t="s">
        <v>1286</v>
      </c>
      <c r="Z321" s="282" t="s">
        <v>1592</v>
      </c>
      <c r="AA321" s="96"/>
      <c r="AB321" s="131" t="s">
        <v>225</v>
      </c>
      <c r="AC321" s="226" t="s">
        <v>2024</v>
      </c>
      <c r="AD321" s="72" t="s">
        <v>888</v>
      </c>
      <c r="AE321" s="302"/>
      <c r="AF321" s="67"/>
      <c r="AG321" s="67"/>
      <c r="AH321" s="261" t="s">
        <v>2023</v>
      </c>
      <c r="AI321" s="24"/>
      <c r="AJ321" s="24"/>
      <c r="AK321" s="24"/>
    </row>
    <row r="322" spans="1:38" ht="105.6">
      <c r="A322" s="51">
        <v>313</v>
      </c>
      <c r="B322" s="81" t="str">
        <f t="shared" si="4"/>
        <v>0139</v>
      </c>
      <c r="C322" s="61" t="s">
        <v>1453</v>
      </c>
      <c r="D322" s="61" t="s">
        <v>476</v>
      </c>
      <c r="E322" s="323" t="s">
        <v>1233</v>
      </c>
      <c r="F322" s="115" t="s">
        <v>1049</v>
      </c>
      <c r="G322" s="115" t="s">
        <v>346</v>
      </c>
      <c r="H322" s="55" t="s">
        <v>637</v>
      </c>
      <c r="I322" s="155" t="s">
        <v>815</v>
      </c>
      <c r="J322" s="55" t="s">
        <v>0</v>
      </c>
      <c r="K322" s="61" t="s">
        <v>454</v>
      </c>
      <c r="L322" s="100" t="s">
        <v>1317</v>
      </c>
      <c r="M322" s="55" t="s">
        <v>236</v>
      </c>
      <c r="N322" s="282" t="s">
        <v>1215</v>
      </c>
      <c r="O322" s="238" t="s">
        <v>126</v>
      </c>
      <c r="P322" s="64" t="str">
        <f ca="1">IF(AND(OR(INDIRECT("K" &amp; ROW())="NAV-Premium",INDIRECT("K" &amp; ROW())="DA-Premium"),INDIRECT("M" &amp; ROW())="PARTITION_SCHEMA128__NavPiviJpn", INDIRECT("O" &amp; ROW())="JPN_SDB"),'SDB vs GN'!$B$41, IF(INDIRECT("H" &amp; ROW())="Chenc",'SDB vs GN'!$B$40, VLOOKUP(INDIRECT("O" &amp; ROW()),'SDB vs GN'!$A$16:$B$38,2,FALSE)))</f>
        <v>735_LA</v>
      </c>
      <c r="Q322" s="64" t="s">
        <v>952</v>
      </c>
      <c r="R322" s="135" t="s">
        <v>59</v>
      </c>
      <c r="S322" s="103" t="s">
        <v>10</v>
      </c>
      <c r="T322" s="64" t="s">
        <v>449</v>
      </c>
      <c r="U322" s="104" t="s">
        <v>816</v>
      </c>
      <c r="V322" s="174" t="s">
        <v>951</v>
      </c>
      <c r="W322" s="76" t="s">
        <v>447</v>
      </c>
      <c r="X322" s="64" t="s">
        <v>521</v>
      </c>
      <c r="Y322" s="282" t="s">
        <v>1286</v>
      </c>
      <c r="Z322" s="282" t="s">
        <v>1592</v>
      </c>
      <c r="AA322" s="96"/>
      <c r="AB322" s="131" t="s">
        <v>225</v>
      </c>
      <c r="AC322" s="226" t="s">
        <v>2588</v>
      </c>
      <c r="AD322" s="72" t="s">
        <v>888</v>
      </c>
      <c r="AE322" s="302"/>
      <c r="AF322" s="67"/>
      <c r="AG322" s="67"/>
      <c r="AH322" s="261" t="s">
        <v>2589</v>
      </c>
      <c r="AI322" s="24"/>
      <c r="AJ322" s="24"/>
      <c r="AK322" s="24"/>
    </row>
    <row r="323" spans="1:38">
      <c r="A323" s="51">
        <v>314</v>
      </c>
      <c r="B323" s="81" t="str">
        <f t="shared" si="4"/>
        <v>013A</v>
      </c>
      <c r="C323" s="55" t="s">
        <v>1458</v>
      </c>
      <c r="D323" s="61" t="s">
        <v>475</v>
      </c>
      <c r="E323" s="323" t="s">
        <v>1233</v>
      </c>
      <c r="F323" s="167" t="s">
        <v>1053</v>
      </c>
      <c r="G323" s="167" t="s">
        <v>479</v>
      </c>
      <c r="H323" s="55" t="s">
        <v>637</v>
      </c>
      <c r="I323" s="94" t="s">
        <v>4</v>
      </c>
      <c r="J323" s="55" t="s">
        <v>0</v>
      </c>
      <c r="K323" s="61" t="s">
        <v>478</v>
      </c>
      <c r="L323" s="100" t="s">
        <v>1317</v>
      </c>
      <c r="M323" s="55" t="s">
        <v>1027</v>
      </c>
      <c r="N323" s="282" t="s">
        <v>1215</v>
      </c>
      <c r="O323" s="238" t="s">
        <v>84</v>
      </c>
      <c r="P323" s="64" t="str">
        <f ca="1">IF(AND(OR(INDIRECT("K" &amp; ROW())="NAV-Premium",INDIRECT("K" &amp; ROW())="DA-Premium"),INDIRECT("M" &amp; ROW())="PARTITION_SCHEMA128__NavPiviJpn", INDIRECT("O" &amp; ROW())="JPN_SDB"),'SDB vs GN'!$B$41, IF(INDIRECT("H" &amp; ROW())="Chenc",'SDB vs GN'!$B$40, VLOOKUP(INDIRECT("O" &amp; ROW()),'SDB vs GN'!$A$16:$B$38,2,FALSE)))</f>
        <v>727_NAM</v>
      </c>
      <c r="Q323" s="64" t="s">
        <v>952</v>
      </c>
      <c r="R323" s="162" t="s">
        <v>59</v>
      </c>
      <c r="S323" s="103" t="s">
        <v>10</v>
      </c>
      <c r="T323" s="79" t="s">
        <v>450</v>
      </c>
      <c r="U323" s="104" t="s">
        <v>816</v>
      </c>
      <c r="V323" s="173" t="s">
        <v>7</v>
      </c>
      <c r="W323" s="76" t="s">
        <v>447</v>
      </c>
      <c r="X323" s="64" t="s">
        <v>521</v>
      </c>
      <c r="Y323" s="282" t="s">
        <v>1286</v>
      </c>
      <c r="Z323" s="282" t="s">
        <v>1592</v>
      </c>
      <c r="AA323" s="96"/>
      <c r="AB323" s="131" t="s">
        <v>225</v>
      </c>
      <c r="AC323" s="226" t="s">
        <v>1268</v>
      </c>
      <c r="AD323" s="72" t="s">
        <v>888</v>
      </c>
      <c r="AE323" s="302"/>
      <c r="AF323" s="67"/>
      <c r="AG323" s="67"/>
      <c r="AH323" s="261" t="s">
        <v>1269</v>
      </c>
      <c r="AI323" s="24"/>
      <c r="AJ323" s="24"/>
      <c r="AK323" s="24"/>
    </row>
    <row r="324" spans="1:38" ht="132">
      <c r="A324" s="51">
        <v>315</v>
      </c>
      <c r="B324" s="81" t="str">
        <f t="shared" ref="B324:B387" si="6">DEC2HEX(A324,4)</f>
        <v>013B</v>
      </c>
      <c r="C324" s="55" t="s">
        <v>1454</v>
      </c>
      <c r="D324" s="61" t="s">
        <v>475</v>
      </c>
      <c r="E324" s="323" t="s">
        <v>1233</v>
      </c>
      <c r="F324" s="167" t="s">
        <v>1053</v>
      </c>
      <c r="G324" s="167" t="s">
        <v>479</v>
      </c>
      <c r="H324" s="55" t="s">
        <v>637</v>
      </c>
      <c r="I324" s="94" t="s">
        <v>4</v>
      </c>
      <c r="J324" s="55" t="s">
        <v>0</v>
      </c>
      <c r="K324" s="61" t="s">
        <v>478</v>
      </c>
      <c r="L324" s="100" t="s">
        <v>1317</v>
      </c>
      <c r="M324" s="55" t="s">
        <v>1027</v>
      </c>
      <c r="N324" s="282" t="s">
        <v>1215</v>
      </c>
      <c r="O324" s="237" t="s">
        <v>781</v>
      </c>
      <c r="P324" s="64" t="str">
        <f ca="1">IF(AND(OR(INDIRECT("K" &amp; ROW())="NAV-Premium",INDIRECT("K" &amp; ROW())="DA-Premium"),INDIRECT("M" &amp; ROW())="PARTITION_SCHEMA128__NavPiviJpn", INDIRECT("O" &amp; ROW())="JPN_SDB"),'SDB vs GN'!$B$41, IF(INDIRECT("H" &amp; ROW())="Chenc",'SDB vs GN'!$B$40, VLOOKUP(INDIRECT("O" &amp; ROW()),'SDB vs GN'!$A$16:$B$38,2,FALSE)))</f>
        <v>731_EUR</v>
      </c>
      <c r="Q324" s="64" t="s">
        <v>952</v>
      </c>
      <c r="R324" s="135" t="s">
        <v>59</v>
      </c>
      <c r="S324" s="103" t="s">
        <v>10</v>
      </c>
      <c r="T324" s="64" t="s">
        <v>449</v>
      </c>
      <c r="U324" s="104" t="s">
        <v>816</v>
      </c>
      <c r="V324" s="173" t="s">
        <v>7</v>
      </c>
      <c r="W324" s="76" t="s">
        <v>447</v>
      </c>
      <c r="X324" s="64" t="s">
        <v>521</v>
      </c>
      <c r="Y324" s="282" t="s">
        <v>1286</v>
      </c>
      <c r="Z324" s="282" t="s">
        <v>1592</v>
      </c>
      <c r="AA324" s="96"/>
      <c r="AB324" s="131" t="s">
        <v>225</v>
      </c>
      <c r="AC324" s="226" t="s">
        <v>2243</v>
      </c>
      <c r="AD324" s="72" t="s">
        <v>888</v>
      </c>
      <c r="AE324" s="302"/>
      <c r="AF324" s="67"/>
      <c r="AG324" s="67"/>
      <c r="AH324" s="261" t="s">
        <v>2244</v>
      </c>
      <c r="AI324" s="24"/>
      <c r="AJ324" s="24"/>
      <c r="AK324" s="24"/>
    </row>
    <row r="325" spans="1:38" ht="105.6">
      <c r="A325" s="51">
        <v>316</v>
      </c>
      <c r="B325" s="81" t="str">
        <f t="shared" si="6"/>
        <v>013C</v>
      </c>
      <c r="C325" s="55" t="s">
        <v>1455</v>
      </c>
      <c r="D325" s="61" t="s">
        <v>475</v>
      </c>
      <c r="E325" s="323" t="s">
        <v>1233</v>
      </c>
      <c r="F325" s="167" t="s">
        <v>1053</v>
      </c>
      <c r="G325" s="167" t="s">
        <v>479</v>
      </c>
      <c r="H325" s="55" t="s">
        <v>637</v>
      </c>
      <c r="I325" s="94" t="s">
        <v>4</v>
      </c>
      <c r="J325" s="55" t="s">
        <v>0</v>
      </c>
      <c r="K325" s="61" t="s">
        <v>478</v>
      </c>
      <c r="L325" s="100" t="s">
        <v>1317</v>
      </c>
      <c r="M325" s="55" t="s">
        <v>1027</v>
      </c>
      <c r="N325" s="282" t="s">
        <v>1215</v>
      </c>
      <c r="O325" s="237" t="s">
        <v>781</v>
      </c>
      <c r="P325" s="64" t="str">
        <f ca="1">IF(AND(OR(INDIRECT("K" &amp; ROW())="NAV-Premium",INDIRECT("K" &amp; ROW())="DA-Premium"),INDIRECT("M" &amp; ROW())="PARTITION_SCHEMA128__NavPiviJpn", INDIRECT("O" &amp; ROW())="JPN_SDB"),'SDB vs GN'!$B$41, IF(INDIRECT("H" &amp; ROW())="Chenc",'SDB vs GN'!$B$40, VLOOKUP(INDIRECT("O" &amp; ROW()),'SDB vs GN'!$A$16:$B$38,2,FALSE)))</f>
        <v>731_EUR</v>
      </c>
      <c r="Q325" s="64" t="s">
        <v>952</v>
      </c>
      <c r="R325" s="64" t="s">
        <v>61</v>
      </c>
      <c r="S325" s="103" t="s">
        <v>10</v>
      </c>
      <c r="T325" s="64" t="s">
        <v>449</v>
      </c>
      <c r="U325" s="104" t="s">
        <v>816</v>
      </c>
      <c r="V325" s="173" t="s">
        <v>7</v>
      </c>
      <c r="W325" s="76" t="s">
        <v>447</v>
      </c>
      <c r="X325" s="64" t="s">
        <v>521</v>
      </c>
      <c r="Y325" s="282" t="s">
        <v>1286</v>
      </c>
      <c r="Z325" s="282" t="s">
        <v>1592</v>
      </c>
      <c r="AA325" s="96"/>
      <c r="AB325" s="131" t="s">
        <v>225</v>
      </c>
      <c r="AC325" s="226" t="s">
        <v>2034</v>
      </c>
      <c r="AD325" s="72" t="s">
        <v>888</v>
      </c>
      <c r="AE325" s="302"/>
      <c r="AF325" s="67"/>
      <c r="AG325" s="67"/>
      <c r="AH325" s="261" t="s">
        <v>2031</v>
      </c>
      <c r="AI325" s="24"/>
      <c r="AJ325" s="24"/>
      <c r="AK325" s="24"/>
    </row>
    <row r="326" spans="1:38" ht="303.60000000000002">
      <c r="A326" s="51">
        <v>317</v>
      </c>
      <c r="B326" s="81" t="str">
        <f t="shared" si="6"/>
        <v>013D</v>
      </c>
      <c r="C326" s="55" t="s">
        <v>1456</v>
      </c>
      <c r="D326" s="61" t="s">
        <v>475</v>
      </c>
      <c r="E326" s="323" t="s">
        <v>1233</v>
      </c>
      <c r="F326" s="167" t="s">
        <v>1053</v>
      </c>
      <c r="G326" s="167" t="s">
        <v>479</v>
      </c>
      <c r="H326" s="55" t="s">
        <v>637</v>
      </c>
      <c r="I326" s="94" t="s">
        <v>4</v>
      </c>
      <c r="J326" s="55" t="s">
        <v>0</v>
      </c>
      <c r="K326" s="61" t="s">
        <v>478</v>
      </c>
      <c r="L326" s="100" t="s">
        <v>1317</v>
      </c>
      <c r="M326" s="55" t="s">
        <v>1027</v>
      </c>
      <c r="N326" s="282" t="s">
        <v>1215</v>
      </c>
      <c r="O326" s="239" t="s">
        <v>828</v>
      </c>
      <c r="P326" s="64" t="str">
        <f ca="1">IF(AND(OR(INDIRECT("K" &amp; ROW())="NAV-Premium",INDIRECT("K" &amp; ROW())="DA-Premium"),INDIRECT("M" &amp; ROW())="PARTITION_SCHEMA128__NavPiviJpn", INDIRECT("O" &amp; ROW())="JPN_SDB"),'SDB vs GN'!$B$41, IF(INDIRECT("H" &amp; ROW())="Chenc",'SDB vs GN'!$B$40, VLOOKUP(INDIRECT("O" &amp; ROW()),'SDB vs GN'!$A$16:$B$38,2,FALSE)))</f>
        <v>735_LA_831_AUSKRJPN</v>
      </c>
      <c r="Q326" s="64" t="s">
        <v>952</v>
      </c>
      <c r="R326" s="135" t="s">
        <v>59</v>
      </c>
      <c r="S326" s="103" t="s">
        <v>10</v>
      </c>
      <c r="T326" s="64" t="s">
        <v>449</v>
      </c>
      <c r="U326" s="104" t="s">
        <v>816</v>
      </c>
      <c r="V326" s="173" t="s">
        <v>7</v>
      </c>
      <c r="W326" s="76" t="s">
        <v>447</v>
      </c>
      <c r="X326" s="64" t="s">
        <v>521</v>
      </c>
      <c r="Y326" s="282" t="s">
        <v>1286</v>
      </c>
      <c r="Z326" s="282" t="s">
        <v>1592</v>
      </c>
      <c r="AA326" s="96"/>
      <c r="AB326" s="131" t="s">
        <v>225</v>
      </c>
      <c r="AC326" s="226" t="s">
        <v>2590</v>
      </c>
      <c r="AD326" s="72" t="s">
        <v>888</v>
      </c>
      <c r="AE326" s="302"/>
      <c r="AF326" s="67"/>
      <c r="AG326" s="67"/>
      <c r="AH326" s="261" t="s">
        <v>2591</v>
      </c>
      <c r="AI326" s="24"/>
      <c r="AJ326" s="24"/>
      <c r="AK326" s="24"/>
    </row>
    <row r="327" spans="1:38" ht="66">
      <c r="A327" s="51">
        <v>318</v>
      </c>
      <c r="B327" s="81" t="str">
        <f t="shared" si="6"/>
        <v>013E</v>
      </c>
      <c r="C327" s="55" t="s">
        <v>1457</v>
      </c>
      <c r="D327" s="61" t="s">
        <v>475</v>
      </c>
      <c r="E327" s="323" t="s">
        <v>1233</v>
      </c>
      <c r="F327" s="167" t="s">
        <v>1053</v>
      </c>
      <c r="G327" s="167" t="s">
        <v>479</v>
      </c>
      <c r="H327" s="55" t="s">
        <v>637</v>
      </c>
      <c r="I327" s="94" t="s">
        <v>4</v>
      </c>
      <c r="J327" s="55" t="s">
        <v>0</v>
      </c>
      <c r="K327" s="61" t="s">
        <v>478</v>
      </c>
      <c r="L327" s="100" t="s">
        <v>1317</v>
      </c>
      <c r="M327" s="55" t="s">
        <v>1027</v>
      </c>
      <c r="N327" s="282" t="s">
        <v>1215</v>
      </c>
      <c r="O327" s="238" t="s">
        <v>827</v>
      </c>
      <c r="P327" s="64" t="str">
        <f ca="1">IF(AND(OR(INDIRECT("K" &amp; ROW())="NAV-Premium",INDIRECT("K" &amp; ROW())="DA-Premium"),INDIRECT("M" &amp; ROW())="PARTITION_SCHEMA128__NavPiviJpn", INDIRECT("O" &amp; ROW())="JPN_SDB"),'SDB vs GN'!$B$41, IF(INDIRECT("H" &amp; ROW())="Chenc",'SDB vs GN'!$B$40, VLOOKUP(INDIRECT("O" &amp; ROW()),'SDB vs GN'!$A$16:$B$38,2,FALSE)))</f>
        <v>734_CN_831_AUSKRJPN</v>
      </c>
      <c r="Q327" s="64" t="s">
        <v>952</v>
      </c>
      <c r="R327" s="64" t="s">
        <v>61</v>
      </c>
      <c r="S327" s="103" t="s">
        <v>10</v>
      </c>
      <c r="T327" s="64" t="s">
        <v>449</v>
      </c>
      <c r="U327" s="104" t="s">
        <v>816</v>
      </c>
      <c r="V327" s="173" t="s">
        <v>7</v>
      </c>
      <c r="W327" s="76" t="s">
        <v>447</v>
      </c>
      <c r="X327" s="64" t="s">
        <v>521</v>
      </c>
      <c r="Y327" s="282" t="s">
        <v>1286</v>
      </c>
      <c r="Z327" s="282" t="s">
        <v>1592</v>
      </c>
      <c r="AA327" s="96"/>
      <c r="AB327" s="131" t="s">
        <v>225</v>
      </c>
      <c r="AC327" s="226" t="s">
        <v>2033</v>
      </c>
      <c r="AD327" s="72" t="s">
        <v>888</v>
      </c>
      <c r="AE327" s="302"/>
      <c r="AF327" s="67"/>
      <c r="AG327" s="67"/>
      <c r="AH327" s="261" t="s">
        <v>2032</v>
      </c>
      <c r="AI327" s="24"/>
      <c r="AJ327" s="24"/>
      <c r="AK327" s="24"/>
    </row>
    <row r="328" spans="1:38" ht="79.2">
      <c r="A328" s="51">
        <v>319</v>
      </c>
      <c r="B328" s="81" t="str">
        <f t="shared" si="6"/>
        <v>013F</v>
      </c>
      <c r="C328" s="168" t="s">
        <v>956</v>
      </c>
      <c r="D328" s="94" t="s">
        <v>136</v>
      </c>
      <c r="E328" s="314" t="s">
        <v>1233</v>
      </c>
      <c r="F328" s="118" t="s">
        <v>1057</v>
      </c>
      <c r="G328" s="118" t="s">
        <v>760</v>
      </c>
      <c r="H328" s="55" t="s">
        <v>637</v>
      </c>
      <c r="I328" s="94" t="s">
        <v>4</v>
      </c>
      <c r="J328" s="127" t="s">
        <v>1</v>
      </c>
      <c r="K328" s="79" t="s">
        <v>747</v>
      </c>
      <c r="L328" s="64" t="s">
        <v>856</v>
      </c>
      <c r="M328" s="55" t="s">
        <v>1610</v>
      </c>
      <c r="N328" s="282" t="s">
        <v>1215</v>
      </c>
      <c r="O328" s="239" t="s">
        <v>53</v>
      </c>
      <c r="P328" s="64" t="str">
        <f ca="1">IF(AND(OR(INDIRECT("K" &amp; ROW())="NAV-Premium",INDIRECT("K" &amp; ROW())="DA-Premium"),INDIRECT("M" &amp; ROW())="PARTITION_SCHEMA128__NavPiviJpn", INDIRECT("O" &amp; ROW())="JPN_SDB"),'SDB vs GN'!$B$41, IF(INDIRECT("H" &amp; ROW())="Chenc",'SDB vs GN'!$B$40, VLOOKUP(INDIRECT("O" &amp; ROW()),'SDB vs GN'!$A$16:$B$38,2,FALSE)))</f>
        <v>No_Gracenote</v>
      </c>
      <c r="Q328" s="79" t="s">
        <v>396</v>
      </c>
      <c r="R328" s="64" t="s">
        <v>60</v>
      </c>
      <c r="S328" s="157" t="s">
        <v>10</v>
      </c>
      <c r="T328" s="79" t="s">
        <v>449</v>
      </c>
      <c r="U328" s="104" t="s">
        <v>816</v>
      </c>
      <c r="V328" s="172" t="s">
        <v>7</v>
      </c>
      <c r="W328" s="129" t="s">
        <v>447</v>
      </c>
      <c r="X328" s="64" t="s">
        <v>521</v>
      </c>
      <c r="Y328" s="282" t="s">
        <v>1286</v>
      </c>
      <c r="Z328" s="282" t="s">
        <v>1592</v>
      </c>
      <c r="AA328" s="96"/>
      <c r="AB328" s="131" t="s">
        <v>225</v>
      </c>
      <c r="AC328" s="229" t="s">
        <v>1971</v>
      </c>
      <c r="AD328" s="72" t="s">
        <v>888</v>
      </c>
      <c r="AE328" s="302"/>
      <c r="AF328" s="67"/>
      <c r="AG328" s="67"/>
      <c r="AH328" s="72" t="s">
        <v>1972</v>
      </c>
      <c r="AI328" s="24"/>
      <c r="AJ328" s="24"/>
      <c r="AK328" s="24"/>
      <c r="AL328" s="24"/>
    </row>
    <row r="329" spans="1:38" ht="92.4">
      <c r="A329" s="51">
        <v>320</v>
      </c>
      <c r="B329" s="81" t="str">
        <f t="shared" si="6"/>
        <v>0140</v>
      </c>
      <c r="C329" s="135" t="s">
        <v>1021</v>
      </c>
      <c r="D329" s="55" t="s">
        <v>143</v>
      </c>
      <c r="E329" s="282" t="s">
        <v>1233</v>
      </c>
      <c r="F329" s="78" t="s">
        <v>1052</v>
      </c>
      <c r="G329" s="78" t="s">
        <v>761</v>
      </c>
      <c r="H329" s="55" t="s">
        <v>637</v>
      </c>
      <c r="I329" s="182" t="s">
        <v>5</v>
      </c>
      <c r="J329" s="127" t="s">
        <v>1</v>
      </c>
      <c r="K329" s="79" t="s">
        <v>749</v>
      </c>
      <c r="L329" s="64" t="s">
        <v>856</v>
      </c>
      <c r="M329" s="55" t="s">
        <v>1614</v>
      </c>
      <c r="N329" s="282" t="s">
        <v>1215</v>
      </c>
      <c r="O329" s="238" t="s">
        <v>55</v>
      </c>
      <c r="P329" s="64" t="str">
        <f ca="1">IF(AND(OR(INDIRECT("K" &amp; ROW())="NAV-Premium",INDIRECT("K" &amp; ROW())="DA-Premium"),INDIRECT("M" &amp; ROW())="PARTITION_SCHEMA128__NavPiviJpn", INDIRECT("O" &amp; ROW())="JPN_SDB"),'SDB vs GN'!$B$41, IF(INDIRECT("H" &amp; ROW())="Chenc",'SDB vs GN'!$B$40, VLOOKUP(INDIRECT("O" &amp; ROW()),'SDB vs GN'!$A$16:$B$38,2,FALSE)))</f>
        <v>742_JPN_831_AUSKRJPN</v>
      </c>
      <c r="Q329" s="79" t="s">
        <v>396</v>
      </c>
      <c r="R329" s="238" t="s">
        <v>248</v>
      </c>
      <c r="S329" s="157" t="s">
        <v>10</v>
      </c>
      <c r="T329" s="79" t="s">
        <v>449</v>
      </c>
      <c r="U329" s="104" t="s">
        <v>12</v>
      </c>
      <c r="V329" s="172" t="s">
        <v>554</v>
      </c>
      <c r="W329" s="129" t="s">
        <v>447</v>
      </c>
      <c r="X329" s="64" t="s">
        <v>521</v>
      </c>
      <c r="Y329" s="282" t="s">
        <v>1286</v>
      </c>
      <c r="Z329" s="282" t="s">
        <v>1592</v>
      </c>
      <c r="AA329" s="37"/>
      <c r="AB329" s="131" t="s">
        <v>225</v>
      </c>
      <c r="AC329" s="229" t="s">
        <v>1499</v>
      </c>
      <c r="AD329" s="72" t="s">
        <v>888</v>
      </c>
      <c r="AE329" s="302"/>
      <c r="AF329" s="67"/>
      <c r="AG329" s="67"/>
      <c r="AH329" s="67" t="s">
        <v>1500</v>
      </c>
      <c r="AI329" s="24"/>
      <c r="AJ329" s="24"/>
      <c r="AK329" s="24"/>
      <c r="AL329" s="24"/>
    </row>
    <row r="330" spans="1:38" ht="343.2">
      <c r="A330" s="51">
        <v>321</v>
      </c>
      <c r="B330" s="81" t="str">
        <f t="shared" si="6"/>
        <v>0141</v>
      </c>
      <c r="C330" s="135" t="s">
        <v>957</v>
      </c>
      <c r="D330" s="94" t="s">
        <v>136</v>
      </c>
      <c r="E330" s="314" t="s">
        <v>1233</v>
      </c>
      <c r="F330" s="118" t="s">
        <v>1057</v>
      </c>
      <c r="G330" s="118" t="s">
        <v>760</v>
      </c>
      <c r="H330" s="55" t="s">
        <v>637</v>
      </c>
      <c r="I330" s="94" t="s">
        <v>4</v>
      </c>
      <c r="J330" s="127" t="s">
        <v>1</v>
      </c>
      <c r="K330" s="79" t="s">
        <v>747</v>
      </c>
      <c r="L330" s="64" t="s">
        <v>856</v>
      </c>
      <c r="M330" s="55" t="s">
        <v>1610</v>
      </c>
      <c r="N330" s="282" t="s">
        <v>1215</v>
      </c>
      <c r="O330" s="239" t="s">
        <v>53</v>
      </c>
      <c r="P330" s="64" t="str">
        <f ca="1">IF(AND(OR(INDIRECT("K" &amp; ROW())="NAV-Premium",INDIRECT("K" &amp; ROW())="DA-Premium"),INDIRECT("M" &amp; ROW())="PARTITION_SCHEMA128__NavPiviJpn", INDIRECT("O" &amp; ROW())="JPN_SDB"),'SDB vs GN'!$B$41, IF(INDIRECT("H" &amp; ROW())="Chenc",'SDB vs GN'!$B$40, VLOOKUP(INDIRECT("O" &amp; ROW()),'SDB vs GN'!$A$16:$B$38,2,FALSE)))</f>
        <v>No_Gracenote</v>
      </c>
      <c r="Q330" s="79" t="s">
        <v>396</v>
      </c>
      <c r="R330" s="64" t="s">
        <v>61</v>
      </c>
      <c r="S330" s="157" t="s">
        <v>10</v>
      </c>
      <c r="T330" s="79" t="s">
        <v>449</v>
      </c>
      <c r="U330" s="104" t="s">
        <v>816</v>
      </c>
      <c r="V330" s="173" t="s">
        <v>7</v>
      </c>
      <c r="W330" s="129" t="s">
        <v>447</v>
      </c>
      <c r="X330" s="64" t="s">
        <v>521</v>
      </c>
      <c r="Y330" s="282" t="s">
        <v>1286</v>
      </c>
      <c r="Z330" s="282" t="s">
        <v>1592</v>
      </c>
      <c r="AA330" s="96"/>
      <c r="AB330" s="131" t="s">
        <v>225</v>
      </c>
      <c r="AC330" s="226" t="s">
        <v>2613</v>
      </c>
      <c r="AD330" s="72" t="s">
        <v>888</v>
      </c>
      <c r="AE330" s="302"/>
      <c r="AF330" s="67"/>
      <c r="AG330" s="67"/>
      <c r="AH330" s="261" t="s">
        <v>2612</v>
      </c>
      <c r="AI330" s="24"/>
      <c r="AJ330" s="24"/>
      <c r="AK330" s="24"/>
      <c r="AL330" s="24"/>
    </row>
    <row r="331" spans="1:38" ht="330">
      <c r="A331" s="51">
        <v>322</v>
      </c>
      <c r="B331" s="81" t="str">
        <f t="shared" si="6"/>
        <v>0142</v>
      </c>
      <c r="C331" s="170" t="s">
        <v>958</v>
      </c>
      <c r="D331" s="94" t="s">
        <v>136</v>
      </c>
      <c r="E331" s="314" t="s">
        <v>1233</v>
      </c>
      <c r="F331" s="118" t="s">
        <v>1057</v>
      </c>
      <c r="G331" s="118" t="s">
        <v>760</v>
      </c>
      <c r="H331" s="55" t="s">
        <v>637</v>
      </c>
      <c r="I331" s="94" t="s">
        <v>4</v>
      </c>
      <c r="J331" s="127" t="s">
        <v>1</v>
      </c>
      <c r="K331" s="79" t="s">
        <v>747</v>
      </c>
      <c r="L331" s="64" t="s">
        <v>856</v>
      </c>
      <c r="M331" s="55" t="s">
        <v>1610</v>
      </c>
      <c r="N331" s="282" t="s">
        <v>1215</v>
      </c>
      <c r="O331" s="239" t="s">
        <v>53</v>
      </c>
      <c r="P331" s="64" t="str">
        <f ca="1">IF(AND(OR(INDIRECT("K" &amp; ROW())="NAV-Premium",INDIRECT("K" &amp; ROW())="DA-Premium"),INDIRECT("M" &amp; ROW())="PARTITION_SCHEMA128__NavPiviJpn", INDIRECT("O" &amp; ROW())="JPN_SDB"),'SDB vs GN'!$B$41, IF(INDIRECT("H" &amp; ROW())="Chenc",'SDB vs GN'!$B$40, VLOOKUP(INDIRECT("O" &amp; ROW()),'SDB vs GN'!$A$16:$B$38,2,FALSE)))</f>
        <v>No_Gracenote</v>
      </c>
      <c r="Q331" s="79" t="s">
        <v>396</v>
      </c>
      <c r="R331" s="238" t="s">
        <v>248</v>
      </c>
      <c r="S331" s="157" t="s">
        <v>10</v>
      </c>
      <c r="T331" s="79" t="s">
        <v>449</v>
      </c>
      <c r="U331" s="104" t="s">
        <v>816</v>
      </c>
      <c r="V331" s="173" t="s">
        <v>7</v>
      </c>
      <c r="W331" s="129" t="s">
        <v>447</v>
      </c>
      <c r="X331" s="64" t="s">
        <v>521</v>
      </c>
      <c r="Y331" s="282" t="s">
        <v>1286</v>
      </c>
      <c r="Z331" s="282" t="s">
        <v>1592</v>
      </c>
      <c r="AA331" s="96"/>
      <c r="AB331" s="131" t="s">
        <v>225</v>
      </c>
      <c r="AC331" s="226" t="s">
        <v>2609</v>
      </c>
      <c r="AD331" s="72" t="s">
        <v>888</v>
      </c>
      <c r="AE331" s="302"/>
      <c r="AF331" s="67"/>
      <c r="AG331" s="67"/>
      <c r="AH331" s="261" t="s">
        <v>2608</v>
      </c>
      <c r="AI331" s="24"/>
      <c r="AJ331" s="24"/>
      <c r="AK331" s="24"/>
      <c r="AL331" s="24"/>
    </row>
    <row r="332" spans="1:38" ht="52.8">
      <c r="A332" s="51">
        <v>323</v>
      </c>
      <c r="B332" s="81" t="str">
        <f t="shared" si="6"/>
        <v>0143</v>
      </c>
      <c r="C332" s="64" t="s">
        <v>959</v>
      </c>
      <c r="D332" s="55" t="s">
        <v>704</v>
      </c>
      <c r="E332" s="282" t="s">
        <v>1233</v>
      </c>
      <c r="F332" s="169" t="s">
        <v>1056</v>
      </c>
      <c r="G332" s="169" t="s">
        <v>347</v>
      </c>
      <c r="H332" s="55" t="s">
        <v>637</v>
      </c>
      <c r="I332" s="155" t="s">
        <v>815</v>
      </c>
      <c r="J332" s="127" t="s">
        <v>1</v>
      </c>
      <c r="K332" s="79" t="s">
        <v>748</v>
      </c>
      <c r="L332" s="64" t="s">
        <v>856</v>
      </c>
      <c r="M332" s="55" t="s">
        <v>1612</v>
      </c>
      <c r="N332" s="282" t="s">
        <v>1215</v>
      </c>
      <c r="O332" s="238" t="s">
        <v>826</v>
      </c>
      <c r="P332" s="64" t="str">
        <f ca="1">IF(AND(OR(INDIRECT("K" &amp; ROW())="NAV-Premium",INDIRECT("K" &amp; ROW())="DA-Premium"),INDIRECT("M" &amp; ROW())="PARTITION_SCHEMA128__NavPiviJpn", INDIRECT("O" &amp; ROW())="JPN_SDB"),'SDB vs GN'!$B$41, IF(INDIRECT("H" &amp; ROW())="Chenc",'SDB vs GN'!$B$40, VLOOKUP(INDIRECT("O" &amp; ROW()),'SDB vs GN'!$A$16:$B$38,2,FALSE)))</f>
        <v>731_EUR</v>
      </c>
      <c r="Q332" s="79" t="s">
        <v>396</v>
      </c>
      <c r="R332" s="135" t="s">
        <v>59</v>
      </c>
      <c r="S332" s="157" t="s">
        <v>10</v>
      </c>
      <c r="T332" s="79" t="s">
        <v>449</v>
      </c>
      <c r="U332" s="104" t="s">
        <v>816</v>
      </c>
      <c r="V332" s="326" t="s">
        <v>912</v>
      </c>
      <c r="W332" s="129" t="s">
        <v>447</v>
      </c>
      <c r="X332" s="64" t="s">
        <v>521</v>
      </c>
      <c r="Y332" s="282" t="s">
        <v>1286</v>
      </c>
      <c r="Z332" s="282" t="s">
        <v>1592</v>
      </c>
      <c r="AA332" s="37"/>
      <c r="AB332" s="154" t="s">
        <v>225</v>
      </c>
      <c r="AC332" s="226" t="s">
        <v>1379</v>
      </c>
      <c r="AD332" s="72" t="s">
        <v>888</v>
      </c>
      <c r="AE332" s="302"/>
      <c r="AF332" s="67"/>
      <c r="AG332" s="67"/>
      <c r="AH332" s="261" t="s">
        <v>1380</v>
      </c>
      <c r="AI332" s="24"/>
      <c r="AJ332" s="24"/>
      <c r="AK332" s="24"/>
      <c r="AL332" s="24"/>
    </row>
    <row r="333" spans="1:38" ht="66">
      <c r="A333" s="51">
        <v>324</v>
      </c>
      <c r="B333" s="81" t="str">
        <f t="shared" si="6"/>
        <v>0144</v>
      </c>
      <c r="C333" s="61" t="s">
        <v>960</v>
      </c>
      <c r="D333" s="55" t="s">
        <v>704</v>
      </c>
      <c r="E333" s="282" t="s">
        <v>1233</v>
      </c>
      <c r="F333" s="169" t="s">
        <v>1056</v>
      </c>
      <c r="G333" s="169" t="s">
        <v>347</v>
      </c>
      <c r="H333" s="55" t="s">
        <v>637</v>
      </c>
      <c r="I333" s="155" t="s">
        <v>815</v>
      </c>
      <c r="J333" s="127" t="s">
        <v>1</v>
      </c>
      <c r="K333" s="79" t="s">
        <v>748</v>
      </c>
      <c r="L333" s="64" t="s">
        <v>856</v>
      </c>
      <c r="M333" s="55" t="s">
        <v>1612</v>
      </c>
      <c r="N333" s="282" t="s">
        <v>1215</v>
      </c>
      <c r="O333" s="238" t="s">
        <v>825</v>
      </c>
      <c r="P333" s="64" t="str">
        <f ca="1">IF(AND(OR(INDIRECT("K" &amp; ROW())="NAV-Premium",INDIRECT("K" &amp; ROW())="DA-Premium"),INDIRECT("M" &amp; ROW())="PARTITION_SCHEMA128__NavPiviJpn", INDIRECT("O" &amp; ROW())="JPN_SDB"),'SDB vs GN'!$B$41, IF(INDIRECT("H" &amp; ROW())="Chenc",'SDB vs GN'!$B$40, VLOOKUP(INDIRECT("O" &amp; ROW()),'SDB vs GN'!$A$16:$B$38,2,FALSE)))</f>
        <v>831_AUSKRJPN</v>
      </c>
      <c r="Q333" s="79" t="s">
        <v>396</v>
      </c>
      <c r="R333" s="135" t="s">
        <v>59</v>
      </c>
      <c r="S333" s="157" t="s">
        <v>10</v>
      </c>
      <c r="T333" s="79" t="s">
        <v>449</v>
      </c>
      <c r="U333" s="104" t="s">
        <v>816</v>
      </c>
      <c r="V333" s="172" t="s">
        <v>544</v>
      </c>
      <c r="W333" s="129" t="s">
        <v>447</v>
      </c>
      <c r="X333" s="64" t="s">
        <v>521</v>
      </c>
      <c r="Y333" s="282" t="s">
        <v>1286</v>
      </c>
      <c r="Z333" s="282" t="s">
        <v>1592</v>
      </c>
      <c r="AA333" s="96"/>
      <c r="AB333" s="131" t="s">
        <v>225</v>
      </c>
      <c r="AC333" s="226" t="s">
        <v>1501</v>
      </c>
      <c r="AD333" s="72" t="s">
        <v>888</v>
      </c>
      <c r="AE333" s="302"/>
      <c r="AF333" s="67"/>
      <c r="AG333" s="67"/>
      <c r="AH333" s="261" t="s">
        <v>1502</v>
      </c>
      <c r="AI333" s="24"/>
      <c r="AJ333" s="24"/>
      <c r="AK333" s="24"/>
      <c r="AL333" s="24"/>
    </row>
    <row r="334" spans="1:38" ht="66">
      <c r="A334" s="51">
        <v>325</v>
      </c>
      <c r="B334" s="81" t="str">
        <f t="shared" si="6"/>
        <v>0145</v>
      </c>
      <c r="C334" s="61" t="s">
        <v>961</v>
      </c>
      <c r="D334" s="55" t="s">
        <v>143</v>
      </c>
      <c r="E334" s="282" t="s">
        <v>1233</v>
      </c>
      <c r="F334" s="78" t="s">
        <v>1052</v>
      </c>
      <c r="G334" s="78" t="s">
        <v>761</v>
      </c>
      <c r="H334" s="55" t="s">
        <v>637</v>
      </c>
      <c r="I334" s="155" t="s">
        <v>815</v>
      </c>
      <c r="J334" s="127" t="s">
        <v>1</v>
      </c>
      <c r="K334" s="79" t="s">
        <v>749</v>
      </c>
      <c r="L334" s="64" t="s">
        <v>856</v>
      </c>
      <c r="M334" s="55" t="s">
        <v>1614</v>
      </c>
      <c r="N334" s="282" t="s">
        <v>1215</v>
      </c>
      <c r="O334" s="238" t="s">
        <v>825</v>
      </c>
      <c r="P334" s="64" t="str">
        <f ca="1">IF(AND(OR(INDIRECT("K" &amp; ROW())="NAV-Premium",INDIRECT("K" &amp; ROW())="DA-Premium"),INDIRECT("M" &amp; ROW())="PARTITION_SCHEMA128__NavPiviJpn", INDIRECT("O" &amp; ROW())="JPN_SDB"),'SDB vs GN'!$B$41, IF(INDIRECT("H" &amp; ROW())="Chenc",'SDB vs GN'!$B$40, VLOOKUP(INDIRECT("O" &amp; ROW()),'SDB vs GN'!$A$16:$B$38,2,FALSE)))</f>
        <v>831_AUSKRJPN</v>
      </c>
      <c r="Q334" s="79" t="s">
        <v>396</v>
      </c>
      <c r="R334" s="238" t="s">
        <v>248</v>
      </c>
      <c r="S334" s="157" t="s">
        <v>10</v>
      </c>
      <c r="T334" s="79" t="s">
        <v>449</v>
      </c>
      <c r="U334" s="104" t="s">
        <v>12</v>
      </c>
      <c r="V334" s="174" t="s">
        <v>558</v>
      </c>
      <c r="W334" s="129" t="s">
        <v>447</v>
      </c>
      <c r="X334" s="64" t="s">
        <v>521</v>
      </c>
      <c r="Y334" s="282" t="s">
        <v>1286</v>
      </c>
      <c r="Z334" s="282" t="s">
        <v>1592</v>
      </c>
      <c r="AA334" s="37"/>
      <c r="AB334" s="131" t="s">
        <v>225</v>
      </c>
      <c r="AC334" s="226" t="s">
        <v>1503</v>
      </c>
      <c r="AD334" s="72" t="s">
        <v>888</v>
      </c>
      <c r="AE334" s="302"/>
      <c r="AF334" s="67"/>
      <c r="AG334" s="67"/>
      <c r="AH334" s="261" t="s">
        <v>1504</v>
      </c>
      <c r="AI334" s="24"/>
      <c r="AJ334" s="24"/>
      <c r="AK334" s="24"/>
      <c r="AL334" s="24"/>
    </row>
    <row r="335" spans="1:38" ht="26.4">
      <c r="A335" s="51">
        <v>326</v>
      </c>
      <c r="B335" s="81" t="str">
        <f t="shared" si="6"/>
        <v>0146</v>
      </c>
      <c r="C335" s="61" t="s">
        <v>1169</v>
      </c>
      <c r="D335" s="55" t="s">
        <v>704</v>
      </c>
      <c r="E335" s="282" t="s">
        <v>1233</v>
      </c>
      <c r="F335" s="248" t="s">
        <v>1052</v>
      </c>
      <c r="G335" s="346" t="s">
        <v>761</v>
      </c>
      <c r="H335" s="55" t="s">
        <v>637</v>
      </c>
      <c r="I335" s="94" t="s">
        <v>4</v>
      </c>
      <c r="J335" s="127" t="s">
        <v>1</v>
      </c>
      <c r="K335" s="329" t="s">
        <v>900</v>
      </c>
      <c r="L335" s="64" t="s">
        <v>856</v>
      </c>
      <c r="M335" s="55" t="s">
        <v>1611</v>
      </c>
      <c r="N335" s="282" t="s">
        <v>1215</v>
      </c>
      <c r="O335" s="239" t="s">
        <v>53</v>
      </c>
      <c r="P335" s="64" t="str">
        <f ca="1">IF(AND(OR(INDIRECT("K" &amp; ROW())="NAV-Premium",INDIRECT("K" &amp; ROW())="DA-Premium"),INDIRECT("M" &amp; ROW())="PARTITION_SCHEMA128__NavPiviJpn", INDIRECT("O" &amp; ROW())="JPN_SDB"),'SDB vs GN'!$B$41, IF(INDIRECT("H" &amp; ROW())="Chenc",'SDB vs GN'!$B$40, VLOOKUP(INDIRECT("O" &amp; ROW()),'SDB vs GN'!$A$16:$B$38,2,FALSE)))</f>
        <v>No_Gracenote</v>
      </c>
      <c r="Q335" s="79" t="s">
        <v>396</v>
      </c>
      <c r="R335" s="238" t="s">
        <v>248</v>
      </c>
      <c r="S335" s="157" t="s">
        <v>10</v>
      </c>
      <c r="T335" s="79" t="s">
        <v>449</v>
      </c>
      <c r="U335" s="104" t="s">
        <v>816</v>
      </c>
      <c r="V335" s="173" t="s">
        <v>7</v>
      </c>
      <c r="W335" s="129" t="s">
        <v>447</v>
      </c>
      <c r="X335" s="64" t="s">
        <v>521</v>
      </c>
      <c r="Y335" s="282" t="s">
        <v>1286</v>
      </c>
      <c r="Z335" s="282" t="s">
        <v>1592</v>
      </c>
      <c r="AA335" s="96"/>
      <c r="AB335" s="154" t="s">
        <v>225</v>
      </c>
      <c r="AC335" s="226" t="s">
        <v>1274</v>
      </c>
      <c r="AD335" s="72" t="s">
        <v>888</v>
      </c>
      <c r="AE335" s="302"/>
      <c r="AF335" s="67"/>
      <c r="AG335" s="67"/>
      <c r="AH335" s="261" t="s">
        <v>1275</v>
      </c>
      <c r="AI335" s="24"/>
      <c r="AJ335" s="24"/>
      <c r="AK335" s="24"/>
      <c r="AL335" s="24"/>
    </row>
    <row r="336" spans="1:38" ht="26.4">
      <c r="A336" s="51">
        <v>327</v>
      </c>
      <c r="B336" s="81" t="str">
        <f t="shared" si="6"/>
        <v>0147</v>
      </c>
      <c r="C336" s="171" t="s">
        <v>962</v>
      </c>
      <c r="D336" s="61" t="s">
        <v>567</v>
      </c>
      <c r="E336" s="323" t="s">
        <v>1233</v>
      </c>
      <c r="F336" s="78" t="s">
        <v>1052</v>
      </c>
      <c r="G336" s="78" t="s">
        <v>761</v>
      </c>
      <c r="H336" s="55" t="s">
        <v>637</v>
      </c>
      <c r="I336" s="155" t="s">
        <v>815</v>
      </c>
      <c r="J336" s="127" t="s">
        <v>1</v>
      </c>
      <c r="K336" s="79" t="s">
        <v>749</v>
      </c>
      <c r="L336" s="64" t="s">
        <v>856</v>
      </c>
      <c r="M336" s="55" t="s">
        <v>1614</v>
      </c>
      <c r="N336" s="282" t="s">
        <v>1215</v>
      </c>
      <c r="O336" s="238" t="s">
        <v>84</v>
      </c>
      <c r="P336" s="64" t="str">
        <f ca="1">IF(AND(OR(INDIRECT("K" &amp; ROW())="NAV-Premium",INDIRECT("K" &amp; ROW())="DA-Premium"),INDIRECT("M" &amp; ROW())="PARTITION_SCHEMA128__NavPiviJpn", INDIRECT("O" &amp; ROW())="JPN_SDB"),'SDB vs GN'!$B$41, IF(INDIRECT("H" &amp; ROW())="Chenc",'SDB vs GN'!$B$40, VLOOKUP(INDIRECT("O" &amp; ROW()),'SDB vs GN'!$A$16:$B$38,2,FALSE)))</f>
        <v>727_NAM</v>
      </c>
      <c r="Q336" s="79" t="s">
        <v>396</v>
      </c>
      <c r="R336" s="64" t="s">
        <v>60</v>
      </c>
      <c r="S336" s="157" t="s">
        <v>10</v>
      </c>
      <c r="T336" s="79" t="s">
        <v>449</v>
      </c>
      <c r="U336" s="104" t="s">
        <v>12</v>
      </c>
      <c r="V336" s="173" t="s">
        <v>566</v>
      </c>
      <c r="W336" s="129" t="s">
        <v>447</v>
      </c>
      <c r="X336" s="64" t="s">
        <v>521</v>
      </c>
      <c r="Y336" s="282" t="s">
        <v>1286</v>
      </c>
      <c r="Z336" s="282" t="s">
        <v>1592</v>
      </c>
      <c r="AA336" s="37"/>
      <c r="AB336" s="131" t="s">
        <v>225</v>
      </c>
      <c r="AC336" s="229" t="s">
        <v>1080</v>
      </c>
      <c r="AD336" s="72" t="s">
        <v>888</v>
      </c>
      <c r="AE336" s="302"/>
      <c r="AF336" s="67"/>
      <c r="AG336" s="67"/>
      <c r="AH336" s="261" t="s">
        <v>1081</v>
      </c>
      <c r="AI336" s="24"/>
      <c r="AJ336" s="24"/>
      <c r="AK336" s="24"/>
      <c r="AL336" s="24"/>
    </row>
    <row r="337" spans="1:38" ht="118.8">
      <c r="A337" s="51">
        <v>328</v>
      </c>
      <c r="B337" s="81" t="str">
        <f t="shared" si="6"/>
        <v>0148</v>
      </c>
      <c r="C337" s="135" t="s">
        <v>963</v>
      </c>
      <c r="D337" s="79" t="s">
        <v>143</v>
      </c>
      <c r="E337" s="295" t="s">
        <v>1233</v>
      </c>
      <c r="F337" s="78" t="s">
        <v>1052</v>
      </c>
      <c r="G337" s="78" t="s">
        <v>761</v>
      </c>
      <c r="H337" s="55" t="s">
        <v>637</v>
      </c>
      <c r="I337" s="79" t="s">
        <v>815</v>
      </c>
      <c r="J337" s="127" t="s">
        <v>1</v>
      </c>
      <c r="K337" s="55" t="s">
        <v>749</v>
      </c>
      <c r="L337" s="64" t="s">
        <v>856</v>
      </c>
      <c r="M337" s="55" t="s">
        <v>1614</v>
      </c>
      <c r="N337" s="282" t="s">
        <v>1215</v>
      </c>
      <c r="O337" s="239" t="s">
        <v>54</v>
      </c>
      <c r="P337" s="64" t="str">
        <f ca="1">IF(AND(OR(INDIRECT("K" &amp; ROW())="NAV-Premium",INDIRECT("K" &amp; ROW())="DA-Premium"),INDIRECT("M" &amp; ROW())="PARTITION_SCHEMA128__NavPiviJpn", INDIRECT("O" &amp; ROW())="JPN_SDB"),'SDB vs GN'!$B$41, IF(INDIRECT("H" &amp; ROW())="Chenc",'SDB vs GN'!$B$40, VLOOKUP(INDIRECT("O" &amp; ROW()),'SDB vs GN'!$A$16:$B$38,2,FALSE)))</f>
        <v>731_EUR</v>
      </c>
      <c r="Q337" s="79" t="s">
        <v>20</v>
      </c>
      <c r="R337" s="262" t="s">
        <v>61</v>
      </c>
      <c r="S337" s="157" t="s">
        <v>10</v>
      </c>
      <c r="T337" s="79" t="s">
        <v>449</v>
      </c>
      <c r="U337" s="104" t="s">
        <v>12</v>
      </c>
      <c r="V337" s="101" t="s">
        <v>553</v>
      </c>
      <c r="W337" s="129" t="s">
        <v>447</v>
      </c>
      <c r="X337" s="64" t="s">
        <v>521</v>
      </c>
      <c r="Y337" s="282" t="s">
        <v>1286</v>
      </c>
      <c r="Z337" s="282" t="s">
        <v>1592</v>
      </c>
      <c r="AA337" s="96"/>
      <c r="AB337" s="105" t="s">
        <v>225</v>
      </c>
      <c r="AC337" s="224" t="s">
        <v>2232</v>
      </c>
      <c r="AD337" s="72" t="s">
        <v>888</v>
      </c>
      <c r="AE337" s="302"/>
      <c r="AF337" s="67"/>
      <c r="AG337" s="67"/>
      <c r="AH337" s="67" t="s">
        <v>2231</v>
      </c>
      <c r="AI337" s="24"/>
      <c r="AJ337" s="24"/>
      <c r="AK337" s="24"/>
      <c r="AL337" s="24"/>
    </row>
    <row r="338" spans="1:38" ht="277.2">
      <c r="A338" s="51">
        <v>329</v>
      </c>
      <c r="B338" s="81" t="str">
        <f t="shared" si="6"/>
        <v>0149</v>
      </c>
      <c r="C338" s="171" t="s">
        <v>993</v>
      </c>
      <c r="D338" s="55" t="s">
        <v>704</v>
      </c>
      <c r="E338" s="282" t="s">
        <v>1233</v>
      </c>
      <c r="F338" s="169" t="s">
        <v>1056</v>
      </c>
      <c r="G338" s="169" t="s">
        <v>347</v>
      </c>
      <c r="H338" s="55" t="s">
        <v>637</v>
      </c>
      <c r="I338" s="155" t="s">
        <v>815</v>
      </c>
      <c r="J338" s="127" t="s">
        <v>1</v>
      </c>
      <c r="K338" s="79" t="s">
        <v>748</v>
      </c>
      <c r="L338" s="64" t="s">
        <v>856</v>
      </c>
      <c r="M338" s="55" t="s">
        <v>1613</v>
      </c>
      <c r="N338" s="282" t="s">
        <v>1215</v>
      </c>
      <c r="O338" s="239" t="s">
        <v>54</v>
      </c>
      <c r="P338" s="64" t="str">
        <f ca="1">IF(AND(OR(INDIRECT("K" &amp; ROW())="NAV-Premium",INDIRECT("K" &amp; ROW())="DA-Premium"),INDIRECT("M" &amp; ROW())="PARTITION_SCHEMA128__NavPiviJpn", INDIRECT("O" &amp; ROW())="JPN_SDB"),'SDB vs GN'!$B$41, IF(INDIRECT("H" &amp; ROW())="Chenc",'SDB vs GN'!$B$40, VLOOKUP(INDIRECT("O" &amp; ROW()),'SDB vs GN'!$A$16:$B$38,2,FALSE)))</f>
        <v>731_EUR</v>
      </c>
      <c r="Q338" s="79" t="s">
        <v>20</v>
      </c>
      <c r="R338" s="165" t="s">
        <v>61</v>
      </c>
      <c r="S338" s="103" t="s">
        <v>10</v>
      </c>
      <c r="T338" s="79" t="s">
        <v>449</v>
      </c>
      <c r="U338" s="104" t="s">
        <v>816</v>
      </c>
      <c r="V338" s="172" t="s">
        <v>528</v>
      </c>
      <c r="W338" s="129" t="s">
        <v>447</v>
      </c>
      <c r="X338" s="64" t="s">
        <v>521</v>
      </c>
      <c r="Y338" s="282" t="s">
        <v>1286</v>
      </c>
      <c r="Z338" s="282" t="s">
        <v>1592</v>
      </c>
      <c r="AA338" s="37"/>
      <c r="AB338" s="131" t="s">
        <v>225</v>
      </c>
      <c r="AC338" s="226" t="s">
        <v>2509</v>
      </c>
      <c r="AD338" s="72" t="s">
        <v>888</v>
      </c>
      <c r="AE338" s="302"/>
      <c r="AF338" s="67"/>
      <c r="AG338" s="67"/>
      <c r="AH338" s="261" t="s">
        <v>2510</v>
      </c>
      <c r="AI338" s="24"/>
      <c r="AJ338" s="24"/>
      <c r="AK338" s="24"/>
      <c r="AL338" s="24"/>
    </row>
    <row r="339" spans="1:38" ht="52.8">
      <c r="A339" s="51">
        <v>330</v>
      </c>
      <c r="B339" s="81" t="str">
        <f t="shared" si="6"/>
        <v>014A</v>
      </c>
      <c r="C339" s="76" t="s">
        <v>992</v>
      </c>
      <c r="D339" s="55" t="s">
        <v>704</v>
      </c>
      <c r="E339" s="282" t="s">
        <v>1233</v>
      </c>
      <c r="F339" s="169" t="s">
        <v>1056</v>
      </c>
      <c r="G339" s="169" t="s">
        <v>347</v>
      </c>
      <c r="H339" s="55" t="s">
        <v>637</v>
      </c>
      <c r="I339" s="155" t="s">
        <v>815</v>
      </c>
      <c r="J339" s="127" t="s">
        <v>1</v>
      </c>
      <c r="K339" s="79" t="s">
        <v>748</v>
      </c>
      <c r="L339" s="64" t="s">
        <v>856</v>
      </c>
      <c r="M339" s="55" t="s">
        <v>1613</v>
      </c>
      <c r="N339" s="282" t="s">
        <v>1215</v>
      </c>
      <c r="O339" s="239" t="s">
        <v>54</v>
      </c>
      <c r="P339" s="64" t="str">
        <f ca="1">IF(AND(OR(INDIRECT("K" &amp; ROW())="NAV-Premium",INDIRECT("K" &amp; ROW())="DA-Premium"),INDIRECT("M" &amp; ROW())="PARTITION_SCHEMA128__NavPiviJpn", INDIRECT("O" &amp; ROW())="JPN_SDB"),'SDB vs GN'!$B$41, IF(INDIRECT("H" &amp; ROW())="Chenc",'SDB vs GN'!$B$40, VLOOKUP(INDIRECT("O" &amp; ROW()),'SDB vs GN'!$A$16:$B$38,2,FALSE)))</f>
        <v>731_EUR</v>
      </c>
      <c r="Q339" s="79" t="s">
        <v>20</v>
      </c>
      <c r="R339" s="135" t="s">
        <v>59</v>
      </c>
      <c r="S339" s="103" t="s">
        <v>10</v>
      </c>
      <c r="T339" s="79" t="s">
        <v>449</v>
      </c>
      <c r="U339" s="104" t="s">
        <v>816</v>
      </c>
      <c r="V339" s="172" t="s">
        <v>528</v>
      </c>
      <c r="W339" s="129" t="s">
        <v>447</v>
      </c>
      <c r="X339" s="64" t="s">
        <v>521</v>
      </c>
      <c r="Y339" s="282" t="s">
        <v>1286</v>
      </c>
      <c r="Z339" s="282" t="s">
        <v>1592</v>
      </c>
      <c r="AA339" s="96"/>
      <c r="AB339" s="105" t="s">
        <v>225</v>
      </c>
      <c r="AC339" s="226" t="s">
        <v>1505</v>
      </c>
      <c r="AD339" s="72" t="s">
        <v>888</v>
      </c>
      <c r="AE339" s="302"/>
      <c r="AF339" s="67"/>
      <c r="AG339" s="67"/>
      <c r="AH339" s="261" t="s">
        <v>1506</v>
      </c>
      <c r="AI339" s="24"/>
      <c r="AJ339" s="24"/>
      <c r="AK339" s="24"/>
      <c r="AL339" s="24"/>
    </row>
    <row r="340" spans="1:38" ht="52.8">
      <c r="A340" s="51">
        <v>331</v>
      </c>
      <c r="B340" s="81" t="str">
        <f t="shared" si="6"/>
        <v>014B</v>
      </c>
      <c r="C340" s="264" t="s">
        <v>991</v>
      </c>
      <c r="D340" s="79" t="s">
        <v>143</v>
      </c>
      <c r="E340" s="295" t="s">
        <v>1233</v>
      </c>
      <c r="F340" s="78" t="s">
        <v>1052</v>
      </c>
      <c r="G340" s="78" t="s">
        <v>761</v>
      </c>
      <c r="H340" s="55" t="s">
        <v>637</v>
      </c>
      <c r="I340" s="155" t="s">
        <v>815</v>
      </c>
      <c r="J340" s="127" t="s">
        <v>1</v>
      </c>
      <c r="K340" s="79" t="s">
        <v>749</v>
      </c>
      <c r="L340" s="64" t="s">
        <v>856</v>
      </c>
      <c r="M340" s="55" t="s">
        <v>1614</v>
      </c>
      <c r="N340" s="282" t="s">
        <v>1215</v>
      </c>
      <c r="O340" s="239" t="s">
        <v>54</v>
      </c>
      <c r="P340" s="64" t="str">
        <f ca="1">IF(AND(OR(INDIRECT("K" &amp; ROW())="NAV-Premium",INDIRECT("K" &amp; ROW())="DA-Premium"),INDIRECT("M" &amp; ROW())="PARTITION_SCHEMA128__NavPiviJpn", INDIRECT("O" &amp; ROW())="JPN_SDB"),'SDB vs GN'!$B$41, IF(INDIRECT("H" &amp; ROW())="Chenc",'SDB vs GN'!$B$40, VLOOKUP(INDIRECT("O" &amp; ROW()),'SDB vs GN'!$A$16:$B$38,2,FALSE)))</f>
        <v>731_EUR</v>
      </c>
      <c r="Q340" s="79" t="s">
        <v>20</v>
      </c>
      <c r="R340" s="238" t="s">
        <v>248</v>
      </c>
      <c r="S340" s="157" t="s">
        <v>10</v>
      </c>
      <c r="T340" s="79" t="s">
        <v>449</v>
      </c>
      <c r="U340" s="104" t="s">
        <v>12</v>
      </c>
      <c r="V340" s="101" t="s">
        <v>553</v>
      </c>
      <c r="W340" s="129" t="s">
        <v>447</v>
      </c>
      <c r="X340" s="64" t="s">
        <v>521</v>
      </c>
      <c r="Y340" s="282" t="s">
        <v>1286</v>
      </c>
      <c r="Z340" s="282" t="s">
        <v>1592</v>
      </c>
      <c r="AA340" s="37"/>
      <c r="AB340" s="131" t="s">
        <v>225</v>
      </c>
      <c r="AC340" s="224" t="s">
        <v>1507</v>
      </c>
      <c r="AD340" s="72" t="s">
        <v>888</v>
      </c>
      <c r="AE340" s="302"/>
      <c r="AF340" s="67"/>
      <c r="AG340" s="67"/>
      <c r="AH340" s="67" t="s">
        <v>1508</v>
      </c>
      <c r="AI340" s="24"/>
      <c r="AJ340" s="24"/>
      <c r="AK340" s="24"/>
      <c r="AL340" s="24"/>
    </row>
    <row r="341" spans="1:38" ht="92.4">
      <c r="A341" s="51">
        <v>332</v>
      </c>
      <c r="B341" s="81" t="str">
        <f t="shared" si="6"/>
        <v>014C</v>
      </c>
      <c r="C341" s="76" t="s">
        <v>995</v>
      </c>
      <c r="D341" s="55" t="s">
        <v>704</v>
      </c>
      <c r="E341" s="282" t="s">
        <v>1233</v>
      </c>
      <c r="F341" s="178" t="s">
        <v>1044</v>
      </c>
      <c r="G341" s="178" t="s">
        <v>345</v>
      </c>
      <c r="H341" s="55" t="s">
        <v>637</v>
      </c>
      <c r="I341" s="155" t="s">
        <v>815</v>
      </c>
      <c r="J341" s="55" t="s">
        <v>0</v>
      </c>
      <c r="K341" s="55" t="s">
        <v>452</v>
      </c>
      <c r="L341" s="158" t="s">
        <v>499</v>
      </c>
      <c r="M341" s="55" t="s">
        <v>254</v>
      </c>
      <c r="N341" s="282" t="s">
        <v>1215</v>
      </c>
      <c r="O341" s="238" t="s">
        <v>825</v>
      </c>
      <c r="P341" s="64" t="str">
        <f ca="1">IF(AND(OR(INDIRECT("K" &amp; ROW())="NAV-Premium",INDIRECT("K" &amp; ROW())="DA-Premium"),INDIRECT("M" &amp; ROW())="PARTITION_SCHEMA128__NavPiviJpn", INDIRECT("O" &amp; ROW())="JPN_SDB"),'SDB vs GN'!$B$41, IF(INDIRECT("H" &amp; ROW())="Chenc",'SDB vs GN'!$B$40, VLOOKUP(INDIRECT("O" &amp; ROW()),'SDB vs GN'!$A$16:$B$38,2,FALSE)))</f>
        <v>831_AUSKRJPN</v>
      </c>
      <c r="Q341" s="79" t="s">
        <v>396</v>
      </c>
      <c r="R341" s="135" t="s">
        <v>59</v>
      </c>
      <c r="S341" s="157" t="s">
        <v>10</v>
      </c>
      <c r="T341" s="79" t="s">
        <v>449</v>
      </c>
      <c r="U341" s="104" t="s">
        <v>816</v>
      </c>
      <c r="V341" s="173" t="s">
        <v>994</v>
      </c>
      <c r="W341" s="76" t="s">
        <v>447</v>
      </c>
      <c r="X341" s="64" t="s">
        <v>521</v>
      </c>
      <c r="Y341" s="282" t="s">
        <v>1286</v>
      </c>
      <c r="Z341" s="282" t="s">
        <v>1592</v>
      </c>
      <c r="AA341" s="96"/>
      <c r="AB341" s="131" t="s">
        <v>225</v>
      </c>
      <c r="AC341" s="72" t="s">
        <v>2396</v>
      </c>
      <c r="AD341" s="72" t="s">
        <v>808</v>
      </c>
      <c r="AE341" s="302"/>
      <c r="AF341" s="67"/>
      <c r="AG341" s="67"/>
      <c r="AH341" s="261" t="s">
        <v>2395</v>
      </c>
      <c r="AI341" s="24"/>
      <c r="AJ341" s="24"/>
      <c r="AK341" s="24"/>
      <c r="AL341" s="24"/>
    </row>
    <row r="342" spans="1:38">
      <c r="A342" s="51">
        <v>333</v>
      </c>
      <c r="B342" s="81" t="str">
        <f t="shared" si="6"/>
        <v>014D</v>
      </c>
      <c r="C342" s="226" t="s">
        <v>998</v>
      </c>
      <c r="D342" s="94" t="s">
        <v>104</v>
      </c>
      <c r="E342" s="314" t="s">
        <v>1233</v>
      </c>
      <c r="F342" s="178" t="s">
        <v>1044</v>
      </c>
      <c r="G342" s="178" t="s">
        <v>345</v>
      </c>
      <c r="H342" s="55" t="s">
        <v>637</v>
      </c>
      <c r="I342" s="155" t="s">
        <v>815</v>
      </c>
      <c r="J342" s="55" t="s">
        <v>0</v>
      </c>
      <c r="K342" s="55" t="s">
        <v>453</v>
      </c>
      <c r="L342" s="158" t="s">
        <v>499</v>
      </c>
      <c r="M342" s="55" t="s">
        <v>257</v>
      </c>
      <c r="N342" s="282" t="s">
        <v>1215</v>
      </c>
      <c r="O342" s="238" t="s">
        <v>84</v>
      </c>
      <c r="P342" s="64" t="str">
        <f ca="1">IF(AND(OR(INDIRECT("K" &amp; ROW())="NAV-Premium",INDIRECT("K" &amp; ROW())="DA-Premium"),INDIRECT("M" &amp; ROW())="PARTITION_SCHEMA128__NavPiviJpn", INDIRECT("O" &amp; ROW())="JPN_SDB"),'SDB vs GN'!$B$41, IF(INDIRECT("H" &amp; ROW())="Chenc",'SDB vs GN'!$B$40, VLOOKUP(INDIRECT("O" &amp; ROW()),'SDB vs GN'!$A$16:$B$38,2,FALSE)))</f>
        <v>727_NAM</v>
      </c>
      <c r="Q342" s="79" t="s">
        <v>396</v>
      </c>
      <c r="R342" s="64" t="s">
        <v>60</v>
      </c>
      <c r="S342" s="157" t="s">
        <v>10</v>
      </c>
      <c r="T342" s="64" t="s">
        <v>449</v>
      </c>
      <c r="U342" s="104" t="s">
        <v>816</v>
      </c>
      <c r="V342" s="173" t="s">
        <v>1485</v>
      </c>
      <c r="W342" s="76" t="s">
        <v>447</v>
      </c>
      <c r="X342" s="64" t="s">
        <v>521</v>
      </c>
      <c r="Y342" s="282" t="s">
        <v>1286</v>
      </c>
      <c r="Z342" s="282" t="s">
        <v>1592</v>
      </c>
      <c r="AA342" s="96"/>
      <c r="AB342" s="131" t="s">
        <v>225</v>
      </c>
      <c r="AC342" s="72" t="s">
        <v>996</v>
      </c>
      <c r="AD342" s="72" t="s">
        <v>808</v>
      </c>
      <c r="AE342" s="302"/>
      <c r="AF342" s="67"/>
      <c r="AG342" s="67"/>
      <c r="AH342" s="55" t="s">
        <v>997</v>
      </c>
      <c r="AI342" s="24"/>
      <c r="AJ342" s="24"/>
      <c r="AK342" s="24"/>
      <c r="AL342" s="24"/>
    </row>
    <row r="343" spans="1:38" ht="92.4">
      <c r="A343" s="51">
        <v>334</v>
      </c>
      <c r="B343" s="81" t="str">
        <f t="shared" si="6"/>
        <v>014E</v>
      </c>
      <c r="C343" s="72" t="s">
        <v>884</v>
      </c>
      <c r="D343" s="94" t="s">
        <v>230</v>
      </c>
      <c r="E343" s="314" t="s">
        <v>1233</v>
      </c>
      <c r="F343" s="177" t="s">
        <v>1046</v>
      </c>
      <c r="G343" s="177" t="s">
        <v>344</v>
      </c>
      <c r="H343" s="55" t="s">
        <v>637</v>
      </c>
      <c r="I343" s="94" t="s">
        <v>4</v>
      </c>
      <c r="J343" s="55" t="s">
        <v>0</v>
      </c>
      <c r="K343" s="55" t="s">
        <v>110</v>
      </c>
      <c r="L343" s="158" t="s">
        <v>499</v>
      </c>
      <c r="M343" s="55" t="s">
        <v>255</v>
      </c>
      <c r="N343" s="282" t="s">
        <v>1215</v>
      </c>
      <c r="O343" s="239" t="s">
        <v>53</v>
      </c>
      <c r="P343" s="64" t="str">
        <f ca="1">IF(AND(OR(INDIRECT("K" &amp; ROW())="NAV-Premium",INDIRECT("K" &amp; ROW())="DA-Premium"),INDIRECT("M" &amp; ROW())="PARTITION_SCHEMA128__NavPiviJpn", INDIRECT("O" &amp; ROW())="JPN_SDB"),'SDB vs GN'!$B$41, IF(INDIRECT("H" &amp; ROW())="Chenc",'SDB vs GN'!$B$40, VLOOKUP(INDIRECT("O" &amp; ROW()),'SDB vs GN'!$A$16:$B$38,2,FALSE)))</f>
        <v>No_Gracenote</v>
      </c>
      <c r="Q343" s="79" t="s">
        <v>396</v>
      </c>
      <c r="R343" s="135" t="s">
        <v>59</v>
      </c>
      <c r="S343" s="157" t="s">
        <v>10</v>
      </c>
      <c r="T343" s="64" t="s">
        <v>449</v>
      </c>
      <c r="U343" s="104" t="s">
        <v>816</v>
      </c>
      <c r="V343" s="173" t="s">
        <v>7</v>
      </c>
      <c r="W343" s="129" t="s">
        <v>2184</v>
      </c>
      <c r="X343" s="64" t="s">
        <v>521</v>
      </c>
      <c r="Y343" s="282" t="s">
        <v>1286</v>
      </c>
      <c r="Z343" s="282" t="s">
        <v>1592</v>
      </c>
      <c r="AA343" s="96"/>
      <c r="AB343" s="131" t="s">
        <v>225</v>
      </c>
      <c r="AC343" s="72" t="s">
        <v>1216</v>
      </c>
      <c r="AD343" s="72" t="s">
        <v>808</v>
      </c>
      <c r="AE343" s="302"/>
      <c r="AF343" s="67"/>
      <c r="AG343" s="67"/>
      <c r="AH343" s="67" t="s">
        <v>1217</v>
      </c>
      <c r="AI343" s="24"/>
      <c r="AJ343" s="24"/>
      <c r="AK343" s="24"/>
      <c r="AL343" s="24"/>
    </row>
    <row r="344" spans="1:38">
      <c r="A344" s="51">
        <v>335</v>
      </c>
      <c r="B344" s="81" t="str">
        <f t="shared" si="6"/>
        <v>014F</v>
      </c>
      <c r="C344" s="226" t="s">
        <v>1005</v>
      </c>
      <c r="D344" s="94" t="s">
        <v>104</v>
      </c>
      <c r="E344" s="314" t="s">
        <v>1233</v>
      </c>
      <c r="F344" s="178" t="s">
        <v>1044</v>
      </c>
      <c r="G344" s="178" t="s">
        <v>345</v>
      </c>
      <c r="H344" s="55" t="s">
        <v>637</v>
      </c>
      <c r="I344" s="155" t="s">
        <v>815</v>
      </c>
      <c r="J344" s="55" t="s">
        <v>0</v>
      </c>
      <c r="K344" s="55" t="s">
        <v>453</v>
      </c>
      <c r="L344" s="158" t="s">
        <v>499</v>
      </c>
      <c r="M344" s="55" t="s">
        <v>254</v>
      </c>
      <c r="N344" s="282" t="s">
        <v>1215</v>
      </c>
      <c r="O344" s="238" t="s">
        <v>126</v>
      </c>
      <c r="P344" s="64" t="str">
        <f ca="1">IF(AND(OR(INDIRECT("K" &amp; ROW())="NAV-Premium",INDIRECT("K" &amp; ROW())="DA-Premium"),INDIRECT("M" &amp; ROW())="PARTITION_SCHEMA128__NavPiviJpn", INDIRECT("O" &amp; ROW())="JPN_SDB"),'SDB vs GN'!$B$41, IF(INDIRECT("H" &amp; ROW())="Chenc",'SDB vs GN'!$B$40, VLOOKUP(INDIRECT("O" &amp; ROW()),'SDB vs GN'!$A$16:$B$38,2,FALSE)))</f>
        <v>735_LA</v>
      </c>
      <c r="Q344" s="79" t="s">
        <v>396</v>
      </c>
      <c r="R344" s="135" t="s">
        <v>59</v>
      </c>
      <c r="S344" s="157" t="s">
        <v>10</v>
      </c>
      <c r="T344" s="64" t="s">
        <v>449</v>
      </c>
      <c r="U344" s="104" t="s">
        <v>816</v>
      </c>
      <c r="V344" s="172" t="s">
        <v>999</v>
      </c>
      <c r="W344" s="76" t="s">
        <v>447</v>
      </c>
      <c r="X344" s="64" t="s">
        <v>521</v>
      </c>
      <c r="Y344" s="282" t="s">
        <v>1286</v>
      </c>
      <c r="Z344" s="282" t="s">
        <v>1592</v>
      </c>
      <c r="AA344" s="96"/>
      <c r="AB344" s="131" t="s">
        <v>225</v>
      </c>
      <c r="AC344" s="72" t="s">
        <v>1001</v>
      </c>
      <c r="AD344" s="72" t="s">
        <v>808</v>
      </c>
      <c r="AE344" s="302"/>
      <c r="AF344" s="67"/>
      <c r="AG344" s="67"/>
      <c r="AH344" s="67" t="s">
        <v>1003</v>
      </c>
      <c r="AI344" s="24"/>
      <c r="AJ344" s="24"/>
      <c r="AK344" s="24"/>
      <c r="AL344" s="24"/>
    </row>
    <row r="345" spans="1:38">
      <c r="A345" s="51">
        <v>336</v>
      </c>
      <c r="B345" s="81" t="str">
        <f t="shared" si="6"/>
        <v>0150</v>
      </c>
      <c r="C345" s="226" t="s">
        <v>1006</v>
      </c>
      <c r="D345" s="94" t="s">
        <v>104</v>
      </c>
      <c r="E345" s="314" t="s">
        <v>1233</v>
      </c>
      <c r="F345" s="178" t="s">
        <v>1044</v>
      </c>
      <c r="G345" s="178" t="s">
        <v>345</v>
      </c>
      <c r="H345" s="55" t="s">
        <v>637</v>
      </c>
      <c r="I345" s="155" t="s">
        <v>815</v>
      </c>
      <c r="J345" s="55" t="s">
        <v>0</v>
      </c>
      <c r="K345" s="55" t="s">
        <v>453</v>
      </c>
      <c r="L345" s="158" t="s">
        <v>499</v>
      </c>
      <c r="M345" s="55" t="s">
        <v>254</v>
      </c>
      <c r="N345" s="282" t="s">
        <v>1215</v>
      </c>
      <c r="O345" s="238" t="s">
        <v>126</v>
      </c>
      <c r="P345" s="64" t="str">
        <f ca="1">IF(AND(OR(INDIRECT("K" &amp; ROW())="NAV-Premium",INDIRECT("K" &amp; ROW())="DA-Premium"),INDIRECT("M" &amp; ROW())="PARTITION_SCHEMA128__NavPiviJpn", INDIRECT("O" &amp; ROW())="JPN_SDB"),'SDB vs GN'!$B$41, IF(INDIRECT("H" &amp; ROW())="Chenc",'SDB vs GN'!$B$40, VLOOKUP(INDIRECT("O" &amp; ROW()),'SDB vs GN'!$A$16:$B$38,2,FALSE)))</f>
        <v>735_LA</v>
      </c>
      <c r="Q345" s="79" t="s">
        <v>396</v>
      </c>
      <c r="R345" s="135" t="s">
        <v>59</v>
      </c>
      <c r="S345" s="157" t="s">
        <v>10</v>
      </c>
      <c r="T345" s="64" t="s">
        <v>449</v>
      </c>
      <c r="U345" s="104" t="s">
        <v>816</v>
      </c>
      <c r="V345" s="101" t="s">
        <v>1000</v>
      </c>
      <c r="W345" s="76" t="s">
        <v>447</v>
      </c>
      <c r="X345" s="64" t="s">
        <v>521</v>
      </c>
      <c r="Y345" s="282" t="s">
        <v>1286</v>
      </c>
      <c r="Z345" s="282" t="s">
        <v>1592</v>
      </c>
      <c r="AA345" s="96"/>
      <c r="AB345" s="131" t="s">
        <v>225</v>
      </c>
      <c r="AC345" s="72" t="s">
        <v>1002</v>
      </c>
      <c r="AD345" s="72" t="s">
        <v>808</v>
      </c>
      <c r="AE345" s="302"/>
      <c r="AF345" s="67"/>
      <c r="AG345" s="67"/>
      <c r="AH345" s="67" t="s">
        <v>1004</v>
      </c>
      <c r="AI345" s="24"/>
      <c r="AJ345" s="24"/>
      <c r="AK345" s="24"/>
      <c r="AL345" s="24"/>
    </row>
    <row r="346" spans="1:38" ht="26.4">
      <c r="A346" s="51">
        <v>337</v>
      </c>
      <c r="B346" s="81" t="str">
        <f t="shared" si="6"/>
        <v>0151</v>
      </c>
      <c r="C346" s="94" t="s">
        <v>1009</v>
      </c>
      <c r="D346" s="55" t="s">
        <v>704</v>
      </c>
      <c r="E346" s="282" t="s">
        <v>1233</v>
      </c>
      <c r="F346" s="178" t="s">
        <v>1044</v>
      </c>
      <c r="G346" s="178" t="s">
        <v>345</v>
      </c>
      <c r="H346" s="55" t="s">
        <v>637</v>
      </c>
      <c r="I346" s="155" t="s">
        <v>815</v>
      </c>
      <c r="J346" s="55" t="s">
        <v>0</v>
      </c>
      <c r="K346" s="55" t="s">
        <v>452</v>
      </c>
      <c r="L346" s="158" t="s">
        <v>1271</v>
      </c>
      <c r="M346" s="55" t="s">
        <v>254</v>
      </c>
      <c r="N346" s="282" t="s">
        <v>1215</v>
      </c>
      <c r="O346" s="238" t="s">
        <v>97</v>
      </c>
      <c r="P346" s="64" t="str">
        <f ca="1">IF(AND(OR(INDIRECT("K" &amp; ROW())="NAV-Premium",INDIRECT("K" &amp; ROW())="DA-Premium"),INDIRECT("M" &amp; ROW())="PARTITION_SCHEMA128__NavPiviJpn", INDIRECT("O" &amp; ROW())="JPN_SDB"),'SDB vs GN'!$B$41, IF(INDIRECT("H" &amp; ROW())="Chenc",'SDB vs GN'!$B$40, VLOOKUP(INDIRECT("O" &amp; ROW()),'SDB vs GN'!$A$16:$B$38,2,FALSE)))</f>
        <v>734_CN_831_AUSKRJPN</v>
      </c>
      <c r="Q346" s="79" t="s">
        <v>396</v>
      </c>
      <c r="R346" s="135" t="s">
        <v>59</v>
      </c>
      <c r="S346" s="157" t="s">
        <v>10</v>
      </c>
      <c r="T346" s="64" t="s">
        <v>449</v>
      </c>
      <c r="U346" s="104" t="s">
        <v>816</v>
      </c>
      <c r="V346" s="101" t="s">
        <v>601</v>
      </c>
      <c r="W346" s="76" t="s">
        <v>447</v>
      </c>
      <c r="X346" s="64" t="s">
        <v>521</v>
      </c>
      <c r="Y346" s="282" t="s">
        <v>1286</v>
      </c>
      <c r="Z346" s="282" t="s">
        <v>1592</v>
      </c>
      <c r="AA346" s="96"/>
      <c r="AB346" s="131" t="s">
        <v>225</v>
      </c>
      <c r="AC346" s="72" t="s">
        <v>1564</v>
      </c>
      <c r="AD346" s="72" t="s">
        <v>808</v>
      </c>
      <c r="AE346" s="302"/>
      <c r="AF346" s="67"/>
      <c r="AG346" s="67"/>
      <c r="AH346" s="67" t="s">
        <v>1563</v>
      </c>
      <c r="AI346" s="24"/>
      <c r="AJ346" s="24"/>
      <c r="AK346" s="24"/>
      <c r="AL346" s="24"/>
    </row>
    <row r="347" spans="1:38" ht="79.2">
      <c r="A347" s="51">
        <v>338</v>
      </c>
      <c r="B347" s="81" t="str">
        <f t="shared" si="6"/>
        <v>0152</v>
      </c>
      <c r="C347" s="61" t="s">
        <v>1008</v>
      </c>
      <c r="D347" s="55" t="s">
        <v>704</v>
      </c>
      <c r="E347" s="282" t="s">
        <v>1233</v>
      </c>
      <c r="F347" s="178" t="s">
        <v>1044</v>
      </c>
      <c r="G347" s="178" t="s">
        <v>345</v>
      </c>
      <c r="H347" s="55" t="s">
        <v>637</v>
      </c>
      <c r="I347" s="155" t="s">
        <v>815</v>
      </c>
      <c r="J347" s="55" t="s">
        <v>0</v>
      </c>
      <c r="K347" s="55" t="s">
        <v>452</v>
      </c>
      <c r="L347" s="158" t="s">
        <v>1271</v>
      </c>
      <c r="M347" s="55" t="s">
        <v>256</v>
      </c>
      <c r="N347" s="282" t="s">
        <v>1215</v>
      </c>
      <c r="O347" s="239" t="s">
        <v>54</v>
      </c>
      <c r="P347" s="64" t="str">
        <f ca="1">IF(AND(OR(INDIRECT("K" &amp; ROW())="NAV-Premium",INDIRECT("K" &amp; ROW())="DA-Premium"),INDIRECT("M" &amp; ROW())="PARTITION_SCHEMA128__NavPiviJpn", INDIRECT("O" &amp; ROW())="JPN_SDB"),'SDB vs GN'!$B$41, IF(INDIRECT("H" &amp; ROW())="Chenc",'SDB vs GN'!$B$40, VLOOKUP(INDIRECT("O" &amp; ROW()),'SDB vs GN'!$A$16:$B$38,2,FALSE)))</f>
        <v>731_EUR</v>
      </c>
      <c r="Q347" s="79" t="s">
        <v>396</v>
      </c>
      <c r="R347" s="135" t="s">
        <v>59</v>
      </c>
      <c r="S347" s="157" t="s">
        <v>10</v>
      </c>
      <c r="T347" s="64" t="s">
        <v>449</v>
      </c>
      <c r="U347" s="104" t="s">
        <v>816</v>
      </c>
      <c r="V347" s="101" t="s">
        <v>1007</v>
      </c>
      <c r="W347" s="76" t="s">
        <v>447</v>
      </c>
      <c r="X347" s="64" t="s">
        <v>521</v>
      </c>
      <c r="Y347" s="282" t="s">
        <v>1286</v>
      </c>
      <c r="Z347" s="282" t="s">
        <v>1592</v>
      </c>
      <c r="AA347" s="96"/>
      <c r="AB347" s="131" t="s">
        <v>225</v>
      </c>
      <c r="AC347" s="224" t="s">
        <v>1385</v>
      </c>
      <c r="AD347" s="72" t="s">
        <v>808</v>
      </c>
      <c r="AE347" s="302"/>
      <c r="AF347" s="67"/>
      <c r="AG347" s="67"/>
      <c r="AH347" s="261" t="s">
        <v>2370</v>
      </c>
      <c r="AI347" s="24"/>
      <c r="AJ347" s="24"/>
      <c r="AK347" s="24"/>
      <c r="AL347" s="24"/>
    </row>
    <row r="348" spans="1:38" ht="26.4">
      <c r="A348" s="51">
        <v>339</v>
      </c>
      <c r="B348" s="81" t="str">
        <f t="shared" si="6"/>
        <v>0153</v>
      </c>
      <c r="C348" s="64" t="s">
        <v>1428</v>
      </c>
      <c r="D348" s="55" t="s">
        <v>704</v>
      </c>
      <c r="E348" s="282" t="s">
        <v>1233</v>
      </c>
      <c r="F348" s="327" t="s">
        <v>1054</v>
      </c>
      <c r="G348" s="327" t="s">
        <v>344</v>
      </c>
      <c r="H348" s="55" t="s">
        <v>637</v>
      </c>
      <c r="I348" s="158" t="s">
        <v>4</v>
      </c>
      <c r="J348" s="55" t="s">
        <v>0</v>
      </c>
      <c r="K348" s="55" t="s">
        <v>451</v>
      </c>
      <c r="L348" s="100" t="s">
        <v>857</v>
      </c>
      <c r="M348" s="166" t="s">
        <v>255</v>
      </c>
      <c r="N348" s="282" t="s">
        <v>1215</v>
      </c>
      <c r="O348" s="238" t="s">
        <v>84</v>
      </c>
      <c r="P348" s="64" t="str">
        <f ca="1">IF(AND(OR(INDIRECT("K" &amp; ROW())="NAV-Premium",INDIRECT("K" &amp; ROW())="DA-Premium"),INDIRECT("M" &amp; ROW())="PARTITION_SCHEMA128__NavPiviJpn", INDIRECT("O" &amp; ROW())="JPN_SDB"),'SDB vs GN'!$B$41, IF(INDIRECT("H" &amp; ROW())="Chenc",'SDB vs GN'!$B$40, VLOOKUP(INDIRECT("O" &amp; ROW()),'SDB vs GN'!$A$16:$B$38,2,FALSE)))</f>
        <v>727_NAM</v>
      </c>
      <c r="Q348" s="79" t="s">
        <v>396</v>
      </c>
      <c r="R348" s="64" t="s">
        <v>60</v>
      </c>
      <c r="S348" s="157" t="s">
        <v>10</v>
      </c>
      <c r="T348" s="79" t="s">
        <v>450</v>
      </c>
      <c r="U348" s="104" t="s">
        <v>816</v>
      </c>
      <c r="V348" s="173" t="s">
        <v>7</v>
      </c>
      <c r="W348" s="129" t="s">
        <v>2184</v>
      </c>
      <c r="X348" s="64" t="s">
        <v>521</v>
      </c>
      <c r="Y348" s="282" t="s">
        <v>1286</v>
      </c>
      <c r="Z348" s="282" t="s">
        <v>1592</v>
      </c>
      <c r="AA348" s="96"/>
      <c r="AB348" s="131" t="s">
        <v>225</v>
      </c>
      <c r="AC348" s="226" t="s">
        <v>1015</v>
      </c>
      <c r="AD348" s="72" t="s">
        <v>808</v>
      </c>
      <c r="AE348" s="302"/>
      <c r="AF348" s="67"/>
      <c r="AG348" s="67"/>
      <c r="AH348" s="366" t="s">
        <v>2371</v>
      </c>
      <c r="AI348" s="24"/>
      <c r="AJ348" s="24"/>
      <c r="AK348" s="24"/>
      <c r="AL348" s="24"/>
    </row>
    <row r="349" spans="1:38">
      <c r="A349" s="51">
        <v>340</v>
      </c>
      <c r="B349" s="81" t="str">
        <f t="shared" si="6"/>
        <v>0154</v>
      </c>
      <c r="C349" s="64" t="s">
        <v>1016</v>
      </c>
      <c r="D349" s="55" t="s">
        <v>704</v>
      </c>
      <c r="E349" s="282" t="s">
        <v>1233</v>
      </c>
      <c r="F349" s="327" t="s">
        <v>1054</v>
      </c>
      <c r="G349" s="327" t="s">
        <v>344</v>
      </c>
      <c r="H349" s="55" t="s">
        <v>637</v>
      </c>
      <c r="I349" s="158" t="s">
        <v>4</v>
      </c>
      <c r="J349" s="55" t="s">
        <v>0</v>
      </c>
      <c r="K349" s="55" t="s">
        <v>451</v>
      </c>
      <c r="L349" s="100" t="s">
        <v>857</v>
      </c>
      <c r="M349" s="166" t="s">
        <v>1392</v>
      </c>
      <c r="N349" s="282" t="s">
        <v>1215</v>
      </c>
      <c r="O349" s="239" t="s">
        <v>54</v>
      </c>
      <c r="P349" s="64" t="str">
        <f ca="1">IF(AND(OR(INDIRECT("K" &amp; ROW())="NAV-Premium",INDIRECT("K" &amp; ROW())="DA-Premium"),INDIRECT("M" &amp; ROW())="PARTITION_SCHEMA128__NavPiviJpn", INDIRECT("O" &amp; ROW())="JPN_SDB"),'SDB vs GN'!$B$41, IF(INDIRECT("H" &amp; ROW())="Chenc",'SDB vs GN'!$B$40, VLOOKUP(INDIRECT("O" &amp; ROW()),'SDB vs GN'!$A$16:$B$38,2,FALSE)))</f>
        <v>731_EUR</v>
      </c>
      <c r="Q349" s="79" t="s">
        <v>396</v>
      </c>
      <c r="R349" s="165" t="s">
        <v>61</v>
      </c>
      <c r="S349" s="157" t="s">
        <v>10</v>
      </c>
      <c r="T349" s="64" t="s">
        <v>449</v>
      </c>
      <c r="U349" s="104" t="s">
        <v>816</v>
      </c>
      <c r="V349" s="173" t="s">
        <v>7</v>
      </c>
      <c r="W349" s="129" t="s">
        <v>2184</v>
      </c>
      <c r="X349" s="64" t="s">
        <v>521</v>
      </c>
      <c r="Y349" s="282" t="s">
        <v>1286</v>
      </c>
      <c r="Z349" s="282" t="s">
        <v>1592</v>
      </c>
      <c r="AA349" s="96"/>
      <c r="AB349" s="131" t="s">
        <v>225</v>
      </c>
      <c r="AC349" s="224" t="s">
        <v>1014</v>
      </c>
      <c r="AD349" s="67" t="s">
        <v>888</v>
      </c>
      <c r="AE349" s="302"/>
      <c r="AF349" s="67"/>
      <c r="AG349" s="67"/>
      <c r="AH349" s="166" t="s">
        <v>2372</v>
      </c>
      <c r="AI349" s="24"/>
      <c r="AJ349" s="24"/>
      <c r="AK349" s="24"/>
      <c r="AL349" s="24"/>
    </row>
    <row r="350" spans="1:38" ht="409.6">
      <c r="A350" s="51">
        <v>341</v>
      </c>
      <c r="B350" s="81" t="str">
        <f t="shared" si="6"/>
        <v>0155</v>
      </c>
      <c r="C350" s="268" t="s">
        <v>1424</v>
      </c>
      <c r="D350" s="55" t="s">
        <v>1013</v>
      </c>
      <c r="E350" s="282" t="s">
        <v>1233</v>
      </c>
      <c r="F350" s="267" t="s">
        <v>1055</v>
      </c>
      <c r="G350" s="252" t="s">
        <v>879</v>
      </c>
      <c r="H350" s="55" t="s">
        <v>637</v>
      </c>
      <c r="I350" s="79" t="s">
        <v>815</v>
      </c>
      <c r="J350" s="55" t="s">
        <v>0</v>
      </c>
      <c r="K350" s="55" t="s">
        <v>452</v>
      </c>
      <c r="L350" s="100" t="s">
        <v>857</v>
      </c>
      <c r="M350" s="55" t="s">
        <v>236</v>
      </c>
      <c r="N350" s="282" t="s">
        <v>1215</v>
      </c>
      <c r="O350" s="238" t="s">
        <v>84</v>
      </c>
      <c r="P350" s="64" t="str">
        <f ca="1">IF(AND(OR(INDIRECT("K" &amp; ROW())="NAV-Premium",INDIRECT("K" &amp; ROW())="DA-Premium"),INDIRECT("M" &amp; ROW())="PARTITION_SCHEMA128__NavPiviJpn", INDIRECT("O" &amp; ROW())="JPN_SDB"),'SDB vs GN'!$B$41, IF(INDIRECT("H" &amp; ROW())="Chenc",'SDB vs GN'!$B$40, VLOOKUP(INDIRECT("O" &amp; ROW()),'SDB vs GN'!$A$16:$B$38,2,FALSE)))</f>
        <v>727_NAM</v>
      </c>
      <c r="Q350" s="79" t="s">
        <v>396</v>
      </c>
      <c r="R350" s="64" t="s">
        <v>60</v>
      </c>
      <c r="S350" s="157" t="s">
        <v>10</v>
      </c>
      <c r="T350" s="79" t="s">
        <v>450</v>
      </c>
      <c r="U350" s="104" t="s">
        <v>816</v>
      </c>
      <c r="V350" s="173" t="s">
        <v>1131</v>
      </c>
      <c r="W350" s="76" t="s">
        <v>447</v>
      </c>
      <c r="X350" s="64" t="s">
        <v>521</v>
      </c>
      <c r="Y350" s="282" t="s">
        <v>1286</v>
      </c>
      <c r="Z350" s="282" t="s">
        <v>1592</v>
      </c>
      <c r="AA350" s="96"/>
      <c r="AB350" s="131" t="s">
        <v>225</v>
      </c>
      <c r="AC350" s="72" t="s">
        <v>2672</v>
      </c>
      <c r="AD350" s="67" t="s">
        <v>888</v>
      </c>
      <c r="AE350" s="302"/>
      <c r="AF350" s="67"/>
      <c r="AG350" s="67"/>
      <c r="AH350" s="261" t="s">
        <v>2673</v>
      </c>
      <c r="AI350" s="24"/>
      <c r="AJ350" s="24"/>
      <c r="AK350" s="24"/>
      <c r="AL350" s="24"/>
    </row>
    <row r="351" spans="1:38" ht="184.8">
      <c r="A351" s="51">
        <v>342</v>
      </c>
      <c r="B351" s="81" t="str">
        <f t="shared" si="6"/>
        <v>0156</v>
      </c>
      <c r="C351" s="72" t="s">
        <v>1436</v>
      </c>
      <c r="D351" s="55" t="s">
        <v>1013</v>
      </c>
      <c r="E351" s="282" t="s">
        <v>1233</v>
      </c>
      <c r="F351" s="267" t="s">
        <v>1055</v>
      </c>
      <c r="G351" s="252" t="s">
        <v>879</v>
      </c>
      <c r="H351" s="55" t="s">
        <v>637</v>
      </c>
      <c r="I351" s="79" t="s">
        <v>815</v>
      </c>
      <c r="J351" s="55" t="s">
        <v>0</v>
      </c>
      <c r="K351" s="55" t="s">
        <v>452</v>
      </c>
      <c r="L351" s="100" t="s">
        <v>857</v>
      </c>
      <c r="M351" s="55" t="s">
        <v>236</v>
      </c>
      <c r="N351" s="282" t="s">
        <v>1215</v>
      </c>
      <c r="O351" s="239" t="s">
        <v>54</v>
      </c>
      <c r="P351" s="64" t="str">
        <f ca="1">IF(AND(OR(INDIRECT("K" &amp; ROW())="NAV-Premium",INDIRECT("K" &amp; ROW())="DA-Premium"),INDIRECT("M" &amp; ROW())="PARTITION_SCHEMA128__NavPiviJpn", INDIRECT("O" &amp; ROW())="JPN_SDB"),'SDB vs GN'!$B$41, IF(INDIRECT("H" &amp; ROW())="Chenc",'SDB vs GN'!$B$40, VLOOKUP(INDIRECT("O" &amp; ROW()),'SDB vs GN'!$A$16:$B$38,2,FALSE)))</f>
        <v>731_EUR</v>
      </c>
      <c r="Q351" s="79" t="s">
        <v>396</v>
      </c>
      <c r="R351" s="165" t="s">
        <v>61</v>
      </c>
      <c r="S351" s="157" t="s">
        <v>10</v>
      </c>
      <c r="T351" s="64" t="s">
        <v>449</v>
      </c>
      <c r="U351" s="104" t="s">
        <v>816</v>
      </c>
      <c r="V351" s="172" t="s">
        <v>1132</v>
      </c>
      <c r="W351" s="76" t="s">
        <v>447</v>
      </c>
      <c r="X351" s="64" t="s">
        <v>521</v>
      </c>
      <c r="Y351" s="282" t="s">
        <v>1286</v>
      </c>
      <c r="Z351" s="282" t="s">
        <v>1592</v>
      </c>
      <c r="AA351" s="96"/>
      <c r="AB351" s="131" t="s">
        <v>225</v>
      </c>
      <c r="AC351" s="72" t="s">
        <v>2417</v>
      </c>
      <c r="AD351" s="67" t="s">
        <v>888</v>
      </c>
      <c r="AE351" s="302" t="s">
        <v>2344</v>
      </c>
      <c r="AF351" s="67"/>
      <c r="AG351" s="67"/>
      <c r="AH351" s="67" t="s">
        <v>2419</v>
      </c>
      <c r="AI351" s="24"/>
      <c r="AJ351" s="24"/>
      <c r="AK351" s="24"/>
      <c r="AL351" s="24"/>
    </row>
    <row r="352" spans="1:38" ht="409.6">
      <c r="A352" s="51">
        <v>343</v>
      </c>
      <c r="B352" s="81" t="str">
        <f t="shared" si="6"/>
        <v>0157</v>
      </c>
      <c r="C352" s="226" t="s">
        <v>1445</v>
      </c>
      <c r="D352" s="55" t="s">
        <v>1013</v>
      </c>
      <c r="E352" s="282" t="s">
        <v>1233</v>
      </c>
      <c r="F352" s="251" t="s">
        <v>1561</v>
      </c>
      <c r="G352" s="251" t="s">
        <v>878</v>
      </c>
      <c r="H352" s="55" t="s">
        <v>637</v>
      </c>
      <c r="I352" s="295" t="s">
        <v>5</v>
      </c>
      <c r="J352" s="55" t="s">
        <v>0</v>
      </c>
      <c r="K352" s="55" t="s">
        <v>452</v>
      </c>
      <c r="L352" s="100" t="s">
        <v>857</v>
      </c>
      <c r="M352" s="55" t="s">
        <v>236</v>
      </c>
      <c r="N352" s="282" t="s">
        <v>1215</v>
      </c>
      <c r="O352" s="238" t="s">
        <v>55</v>
      </c>
      <c r="P352" s="64" t="str">
        <f ca="1">IF(AND(OR(INDIRECT("K" &amp; ROW())="NAV-Premium",INDIRECT("K" &amp; ROW())="DA-Premium"),INDIRECT("M" &amp; ROW())="PARTITION_SCHEMA128__NavPiviJpn", INDIRECT("O" &amp; ROW())="JPN_SDB"),'SDB vs GN'!$B$41, IF(INDIRECT("H" &amp; ROW())="Chenc",'SDB vs GN'!$B$40, VLOOKUP(INDIRECT("O" &amp; ROW()),'SDB vs GN'!$A$16:$B$38,2,FALSE)))</f>
        <v>742_JPN_831_AUSKRJPN</v>
      </c>
      <c r="Q352" s="79" t="s">
        <v>396</v>
      </c>
      <c r="R352" s="165" t="s">
        <v>133</v>
      </c>
      <c r="S352" s="157" t="s">
        <v>10</v>
      </c>
      <c r="T352" s="64" t="s">
        <v>449</v>
      </c>
      <c r="U352" s="104" t="s">
        <v>816</v>
      </c>
      <c r="V352" s="174" t="s">
        <v>615</v>
      </c>
      <c r="W352" s="76" t="s">
        <v>447</v>
      </c>
      <c r="X352" s="64" t="s">
        <v>362</v>
      </c>
      <c r="Y352" s="282" t="s">
        <v>1286</v>
      </c>
      <c r="Z352" s="282" t="s">
        <v>1592</v>
      </c>
      <c r="AA352" s="96"/>
      <c r="AB352" s="131" t="s">
        <v>225</v>
      </c>
      <c r="AC352" s="224" t="s">
        <v>2861</v>
      </c>
      <c r="AD352" s="67" t="s">
        <v>888</v>
      </c>
      <c r="AE352" s="302"/>
      <c r="AF352" s="67"/>
      <c r="AG352" s="67"/>
      <c r="AH352" s="67" t="s">
        <v>2862</v>
      </c>
      <c r="AI352" s="24"/>
      <c r="AJ352" s="24"/>
      <c r="AK352" s="24"/>
      <c r="AL352" s="24"/>
    </row>
    <row r="353" spans="1:38">
      <c r="A353" s="51">
        <v>344</v>
      </c>
      <c r="B353" s="81" t="str">
        <f t="shared" si="6"/>
        <v>0158</v>
      </c>
      <c r="C353" s="64" t="s">
        <v>1019</v>
      </c>
      <c r="D353" s="61" t="s">
        <v>567</v>
      </c>
      <c r="E353" s="323" t="s">
        <v>1233</v>
      </c>
      <c r="F353" s="78" t="s">
        <v>1052</v>
      </c>
      <c r="G353" s="78" t="s">
        <v>761</v>
      </c>
      <c r="H353" s="55" t="s">
        <v>637</v>
      </c>
      <c r="I353" s="79" t="s">
        <v>815</v>
      </c>
      <c r="J353" s="127" t="s">
        <v>1</v>
      </c>
      <c r="K353" s="55" t="s">
        <v>749</v>
      </c>
      <c r="L353" s="64" t="s">
        <v>856</v>
      </c>
      <c r="M353" s="55" t="s">
        <v>1614</v>
      </c>
      <c r="N353" s="282" t="s">
        <v>1215</v>
      </c>
      <c r="O353" s="238" t="s">
        <v>826</v>
      </c>
      <c r="P353" s="64" t="str">
        <f ca="1">IF(AND(OR(INDIRECT("K" &amp; ROW())="NAV-Premium",INDIRECT("K" &amp; ROW())="DA-Premium"),INDIRECT("M" &amp; ROW())="PARTITION_SCHEMA128__NavPiviJpn", INDIRECT("O" &amp; ROW())="JPN_SDB"),'SDB vs GN'!$B$41, IF(INDIRECT("H" &amp; ROW())="Chenc",'SDB vs GN'!$B$40, VLOOKUP(INDIRECT("O" &amp; ROW()),'SDB vs GN'!$A$16:$B$38,2,FALSE)))</f>
        <v>731_EUR</v>
      </c>
      <c r="Q353" s="79" t="s">
        <v>396</v>
      </c>
      <c r="R353" s="262" t="s">
        <v>61</v>
      </c>
      <c r="S353" s="157" t="s">
        <v>10</v>
      </c>
      <c r="T353" s="64" t="s">
        <v>449</v>
      </c>
      <c r="U353" s="104" t="s">
        <v>12</v>
      </c>
      <c r="V353" s="101" t="s">
        <v>564</v>
      </c>
      <c r="W353" s="76" t="s">
        <v>447</v>
      </c>
      <c r="X353" s="64" t="s">
        <v>521</v>
      </c>
      <c r="Y353" s="282" t="s">
        <v>1286</v>
      </c>
      <c r="Z353" s="282" t="s">
        <v>1592</v>
      </c>
      <c r="AA353" s="96"/>
      <c r="AB353" s="131" t="s">
        <v>225</v>
      </c>
      <c r="AC353" s="97" t="s">
        <v>1174</v>
      </c>
      <c r="AD353" s="72" t="s">
        <v>888</v>
      </c>
      <c r="AE353" s="302"/>
      <c r="AF353" s="67"/>
      <c r="AG353" s="67"/>
      <c r="AH353" s="67" t="s">
        <v>1175</v>
      </c>
      <c r="AI353" s="24"/>
      <c r="AJ353" s="24"/>
      <c r="AK353" s="24"/>
      <c r="AL353" s="24"/>
    </row>
    <row r="354" spans="1:38">
      <c r="A354" s="51">
        <v>345</v>
      </c>
      <c r="B354" s="81" t="str">
        <f t="shared" si="6"/>
        <v>0159</v>
      </c>
      <c r="C354" s="67" t="s">
        <v>1017</v>
      </c>
      <c r="D354" s="61" t="s">
        <v>567</v>
      </c>
      <c r="E354" s="323" t="s">
        <v>1233</v>
      </c>
      <c r="F354" s="78" t="s">
        <v>1052</v>
      </c>
      <c r="G354" s="78" t="s">
        <v>761</v>
      </c>
      <c r="H354" s="55" t="s">
        <v>637</v>
      </c>
      <c r="I354" s="79" t="s">
        <v>815</v>
      </c>
      <c r="J354" s="127" t="s">
        <v>1</v>
      </c>
      <c r="K354" s="55" t="s">
        <v>749</v>
      </c>
      <c r="L354" s="64" t="s">
        <v>856</v>
      </c>
      <c r="M354" s="55" t="s">
        <v>1614</v>
      </c>
      <c r="N354" s="282" t="s">
        <v>1215</v>
      </c>
      <c r="O354" s="238" t="s">
        <v>826</v>
      </c>
      <c r="P354" s="64" t="str">
        <f ca="1">IF(AND(OR(INDIRECT("K" &amp; ROW())="NAV-Premium",INDIRECT("K" &amp; ROW())="DA-Premium"),INDIRECT("M" &amp; ROW())="PARTITION_SCHEMA128__NavPiviJpn", INDIRECT("O" &amp; ROW())="JPN_SDB"),'SDB vs GN'!$B$41, IF(INDIRECT("H" &amp; ROW())="Chenc",'SDB vs GN'!$B$40, VLOOKUP(INDIRECT("O" &amp; ROW()),'SDB vs GN'!$A$16:$B$38,2,FALSE)))</f>
        <v>731_EUR</v>
      </c>
      <c r="Q354" s="79" t="s">
        <v>396</v>
      </c>
      <c r="R354" s="262" t="s">
        <v>61</v>
      </c>
      <c r="S354" s="157" t="s">
        <v>10</v>
      </c>
      <c r="T354" s="64" t="s">
        <v>449</v>
      </c>
      <c r="U354" s="104" t="s">
        <v>12</v>
      </c>
      <c r="V354" s="326" t="s">
        <v>913</v>
      </c>
      <c r="W354" s="76" t="s">
        <v>447</v>
      </c>
      <c r="X354" s="64" t="s">
        <v>521</v>
      </c>
      <c r="Y354" s="282" t="s">
        <v>1286</v>
      </c>
      <c r="Z354" s="282" t="s">
        <v>1592</v>
      </c>
      <c r="AA354" s="96"/>
      <c r="AB354" s="131" t="s">
        <v>225</v>
      </c>
      <c r="AC354" s="97" t="s">
        <v>1172</v>
      </c>
      <c r="AD354" s="72" t="s">
        <v>888</v>
      </c>
      <c r="AE354" s="302"/>
      <c r="AF354" s="67"/>
      <c r="AG354" s="67"/>
      <c r="AH354" s="67" t="s">
        <v>1173</v>
      </c>
      <c r="AI354" s="24"/>
      <c r="AJ354" s="24"/>
      <c r="AK354" s="24"/>
      <c r="AL354" s="24"/>
    </row>
    <row r="355" spans="1:38">
      <c r="A355" s="51">
        <v>346</v>
      </c>
      <c r="B355" s="81" t="str">
        <f t="shared" si="6"/>
        <v>015A</v>
      </c>
      <c r="C355" s="155" t="s">
        <v>1018</v>
      </c>
      <c r="D355" s="61" t="s">
        <v>567</v>
      </c>
      <c r="E355" s="323" t="s">
        <v>1233</v>
      </c>
      <c r="F355" s="78" t="s">
        <v>1052</v>
      </c>
      <c r="G355" s="78" t="s">
        <v>761</v>
      </c>
      <c r="H355" s="55" t="s">
        <v>637</v>
      </c>
      <c r="I355" s="79" t="s">
        <v>815</v>
      </c>
      <c r="J355" s="127" t="s">
        <v>1</v>
      </c>
      <c r="K355" s="55" t="s">
        <v>749</v>
      </c>
      <c r="L355" s="64" t="s">
        <v>856</v>
      </c>
      <c r="M355" s="55" t="s">
        <v>1614</v>
      </c>
      <c r="N355" s="282" t="s">
        <v>1215</v>
      </c>
      <c r="O355" s="238" t="s">
        <v>825</v>
      </c>
      <c r="P355" s="64" t="str">
        <f ca="1">IF(AND(OR(INDIRECT("K" &amp; ROW())="NAV-Premium",INDIRECT("K" &amp; ROW())="DA-Premium"),INDIRECT("M" &amp; ROW())="PARTITION_SCHEMA128__NavPiviJpn", INDIRECT("O" &amp; ROW())="JPN_SDB"),'SDB vs GN'!$B$41, IF(INDIRECT("H" &amp; ROW())="Chenc",'SDB vs GN'!$B$40, VLOOKUP(INDIRECT("O" &amp; ROW()),'SDB vs GN'!$A$16:$B$38,2,FALSE)))</f>
        <v>831_AUSKRJPN</v>
      </c>
      <c r="Q355" s="79" t="s">
        <v>396</v>
      </c>
      <c r="R355" s="156" t="s">
        <v>61</v>
      </c>
      <c r="S355" s="157" t="s">
        <v>10</v>
      </c>
      <c r="T355" s="64" t="s">
        <v>449</v>
      </c>
      <c r="U355" s="104" t="s">
        <v>12</v>
      </c>
      <c r="V355" s="174" t="s">
        <v>558</v>
      </c>
      <c r="W355" s="76" t="s">
        <v>447</v>
      </c>
      <c r="X355" s="64" t="s">
        <v>521</v>
      </c>
      <c r="Y355" s="282" t="s">
        <v>1286</v>
      </c>
      <c r="Z355" s="282" t="s">
        <v>1592</v>
      </c>
      <c r="AA355" s="96"/>
      <c r="AB355" s="131" t="s">
        <v>225</v>
      </c>
      <c r="AC355" s="97" t="s">
        <v>1171</v>
      </c>
      <c r="AD355" s="72" t="s">
        <v>888</v>
      </c>
      <c r="AE355" s="302"/>
      <c r="AF355" s="67"/>
      <c r="AG355" s="67"/>
      <c r="AH355" s="261" t="s">
        <v>1170</v>
      </c>
      <c r="AI355" s="24"/>
      <c r="AJ355" s="24"/>
      <c r="AK355" s="24"/>
      <c r="AL355" s="24"/>
    </row>
    <row r="356" spans="1:38" ht="26.4">
      <c r="A356" s="51">
        <v>347</v>
      </c>
      <c r="B356" s="81" t="str">
        <f t="shared" si="6"/>
        <v>015B</v>
      </c>
      <c r="C356" s="170" t="s">
        <v>1138</v>
      </c>
      <c r="D356" s="94" t="s">
        <v>136</v>
      </c>
      <c r="E356" s="314" t="s">
        <v>1233</v>
      </c>
      <c r="F356" s="269" t="s">
        <v>1058</v>
      </c>
      <c r="G356" s="269" t="s">
        <v>1026</v>
      </c>
      <c r="H356" s="55" t="s">
        <v>637</v>
      </c>
      <c r="I356" s="158" t="s">
        <v>4</v>
      </c>
      <c r="J356" s="127" t="s">
        <v>1024</v>
      </c>
      <c r="K356" s="79" t="s">
        <v>747</v>
      </c>
      <c r="L356" s="79" t="s">
        <v>1025</v>
      </c>
      <c r="M356" s="55" t="s">
        <v>714</v>
      </c>
      <c r="N356" s="282" t="s">
        <v>1215</v>
      </c>
      <c r="O356" s="239" t="s">
        <v>53</v>
      </c>
      <c r="P356" s="64" t="str">
        <f ca="1">IF(AND(OR(INDIRECT("K" &amp; ROW())="NAV-Premium",INDIRECT("K" &amp; ROW())="DA-Premium"),INDIRECT("M" &amp; ROW())="PARTITION_SCHEMA128__NavPiviJpn", INDIRECT("O" &amp; ROW())="JPN_SDB"),'SDB vs GN'!$B$41, IF(INDIRECT("H" &amp; ROW())="Chenc",'SDB vs GN'!$B$40, VLOOKUP(INDIRECT("O" &amp; ROW()),'SDB vs GN'!$A$16:$B$38,2,FALSE)))</f>
        <v>No_Gracenote</v>
      </c>
      <c r="Q356" s="79" t="s">
        <v>396</v>
      </c>
      <c r="R356" s="238" t="s">
        <v>248</v>
      </c>
      <c r="S356" s="103" t="s">
        <v>10</v>
      </c>
      <c r="T356" s="64" t="s">
        <v>449</v>
      </c>
      <c r="U356" s="104" t="s">
        <v>816</v>
      </c>
      <c r="V356" s="101" t="s">
        <v>7</v>
      </c>
      <c r="W356" s="76" t="s">
        <v>447</v>
      </c>
      <c r="X356" s="64" t="s">
        <v>521</v>
      </c>
      <c r="Y356" s="282" t="s">
        <v>1286</v>
      </c>
      <c r="Z356" s="282" t="s">
        <v>1592</v>
      </c>
      <c r="AA356" s="96"/>
      <c r="AB356" s="131" t="s">
        <v>225</v>
      </c>
      <c r="AC356" s="226" t="s">
        <v>1135</v>
      </c>
      <c r="AD356" s="72" t="s">
        <v>808</v>
      </c>
      <c r="AE356" s="302"/>
      <c r="AF356" s="67"/>
      <c r="AG356" s="67"/>
      <c r="AH356" s="67" t="s">
        <v>1141</v>
      </c>
      <c r="AI356" s="24"/>
      <c r="AJ356" s="24"/>
      <c r="AK356" s="24"/>
      <c r="AL356" s="24"/>
    </row>
    <row r="357" spans="1:38" ht="26.4">
      <c r="A357" s="51">
        <v>348</v>
      </c>
      <c r="B357" s="81" t="str">
        <f t="shared" si="6"/>
        <v>015C</v>
      </c>
      <c r="C357" s="135" t="s">
        <v>1139</v>
      </c>
      <c r="D357" s="127" t="s">
        <v>136</v>
      </c>
      <c r="E357" s="318" t="s">
        <v>1233</v>
      </c>
      <c r="F357" s="269" t="s">
        <v>1058</v>
      </c>
      <c r="G357" s="269" t="s">
        <v>1026</v>
      </c>
      <c r="H357" s="55" t="s">
        <v>637</v>
      </c>
      <c r="I357" s="158" t="s">
        <v>4</v>
      </c>
      <c r="J357" s="127" t="s">
        <v>1024</v>
      </c>
      <c r="K357" s="79" t="s">
        <v>747</v>
      </c>
      <c r="L357" s="79" t="s">
        <v>1025</v>
      </c>
      <c r="M357" s="55" t="s">
        <v>714</v>
      </c>
      <c r="N357" s="282" t="s">
        <v>1215</v>
      </c>
      <c r="O357" s="239" t="s">
        <v>53</v>
      </c>
      <c r="P357" s="64" t="str">
        <f ca="1">IF(AND(OR(INDIRECT("K" &amp; ROW())="NAV-Premium",INDIRECT("K" &amp; ROW())="DA-Premium"),INDIRECT("M" &amp; ROW())="PARTITION_SCHEMA128__NavPiviJpn", INDIRECT("O" &amp; ROW())="JPN_SDB"),'SDB vs GN'!$B$41, IF(INDIRECT("H" &amp; ROW())="Chenc",'SDB vs GN'!$B$40, VLOOKUP(INDIRECT("O" &amp; ROW()),'SDB vs GN'!$A$16:$B$38,2,FALSE)))</f>
        <v>No_Gracenote</v>
      </c>
      <c r="Q357" s="79" t="s">
        <v>20</v>
      </c>
      <c r="R357" s="165" t="s">
        <v>61</v>
      </c>
      <c r="S357" s="157" t="s">
        <v>10</v>
      </c>
      <c r="T357" s="79" t="s">
        <v>449</v>
      </c>
      <c r="U357" s="104" t="s">
        <v>816</v>
      </c>
      <c r="V357" s="101" t="s">
        <v>7</v>
      </c>
      <c r="W357" s="76" t="s">
        <v>447</v>
      </c>
      <c r="X357" s="64" t="s">
        <v>521</v>
      </c>
      <c r="Y357" s="282" t="s">
        <v>1286</v>
      </c>
      <c r="Z357" s="282" t="s">
        <v>1592</v>
      </c>
      <c r="AA357" s="96"/>
      <c r="AB357" s="105" t="s">
        <v>225</v>
      </c>
      <c r="AC357" s="224" t="s">
        <v>1136</v>
      </c>
      <c r="AD357" s="67" t="s">
        <v>808</v>
      </c>
      <c r="AE357" s="302"/>
      <c r="AF357" s="67"/>
      <c r="AG357" s="67"/>
      <c r="AH357" s="72" t="s">
        <v>1142</v>
      </c>
      <c r="AI357" s="24"/>
      <c r="AJ357" s="24"/>
      <c r="AK357" s="24"/>
      <c r="AL357" s="24"/>
    </row>
    <row r="358" spans="1:38" ht="26.4">
      <c r="A358" s="51">
        <v>349</v>
      </c>
      <c r="B358" s="81" t="str">
        <f t="shared" si="6"/>
        <v>015D</v>
      </c>
      <c r="C358" s="168" t="s">
        <v>1140</v>
      </c>
      <c r="D358" s="94" t="s">
        <v>136</v>
      </c>
      <c r="E358" s="314" t="s">
        <v>1233</v>
      </c>
      <c r="F358" s="269" t="s">
        <v>1058</v>
      </c>
      <c r="G358" s="269" t="s">
        <v>1026</v>
      </c>
      <c r="H358" s="55" t="s">
        <v>637</v>
      </c>
      <c r="I358" s="94" t="s">
        <v>4</v>
      </c>
      <c r="J358" s="127" t="s">
        <v>1024</v>
      </c>
      <c r="K358" s="79" t="s">
        <v>747</v>
      </c>
      <c r="L358" s="79" t="s">
        <v>1025</v>
      </c>
      <c r="M358" s="55" t="s">
        <v>714</v>
      </c>
      <c r="N358" s="282" t="s">
        <v>1215</v>
      </c>
      <c r="O358" s="239" t="s">
        <v>53</v>
      </c>
      <c r="P358" s="64" t="str">
        <f ca="1">IF(AND(OR(INDIRECT("K" &amp; ROW())="NAV-Premium",INDIRECT("K" &amp; ROW())="DA-Premium"),INDIRECT("M" &amp; ROW())="PARTITION_SCHEMA128__NavPiviJpn", INDIRECT("O" &amp; ROW())="JPN_SDB"),'SDB vs GN'!$B$41, IF(INDIRECT("H" &amp; ROW())="Chenc",'SDB vs GN'!$B$40, VLOOKUP(INDIRECT("O" &amp; ROW()),'SDB vs GN'!$A$16:$B$38,2,FALSE)))</f>
        <v>No_Gracenote</v>
      </c>
      <c r="Q358" s="79" t="s">
        <v>396</v>
      </c>
      <c r="R358" s="64" t="s">
        <v>60</v>
      </c>
      <c r="S358" s="157" t="s">
        <v>10</v>
      </c>
      <c r="T358" s="79" t="s">
        <v>449</v>
      </c>
      <c r="U358" s="104" t="s">
        <v>816</v>
      </c>
      <c r="V358" s="172" t="s">
        <v>7</v>
      </c>
      <c r="W358" s="129" t="s">
        <v>447</v>
      </c>
      <c r="X358" s="64" t="s">
        <v>521</v>
      </c>
      <c r="Y358" s="282" t="s">
        <v>1286</v>
      </c>
      <c r="Z358" s="282" t="s">
        <v>1592</v>
      </c>
      <c r="AA358" s="37"/>
      <c r="AB358" s="154" t="s">
        <v>225</v>
      </c>
      <c r="AC358" s="229" t="s">
        <v>1137</v>
      </c>
      <c r="AD358" s="72" t="s">
        <v>808</v>
      </c>
      <c r="AE358" s="302"/>
      <c r="AF358" s="67"/>
      <c r="AG358" s="67"/>
      <c r="AH358" s="72" t="s">
        <v>1143</v>
      </c>
      <c r="AI358" s="24"/>
      <c r="AJ358" s="24"/>
      <c r="AK358" s="24"/>
      <c r="AL358" s="24"/>
    </row>
    <row r="359" spans="1:38" ht="39.6">
      <c r="A359" s="51">
        <v>350</v>
      </c>
      <c r="B359" s="81" t="str">
        <f t="shared" si="6"/>
        <v>015E</v>
      </c>
      <c r="C359" s="168" t="s">
        <v>1040</v>
      </c>
      <c r="D359" s="55" t="s">
        <v>704</v>
      </c>
      <c r="E359" s="282" t="s">
        <v>1233</v>
      </c>
      <c r="F359" s="169" t="s">
        <v>1048</v>
      </c>
      <c r="G359" s="169" t="s">
        <v>347</v>
      </c>
      <c r="H359" s="55" t="s">
        <v>637</v>
      </c>
      <c r="I359" s="79" t="s">
        <v>815</v>
      </c>
      <c r="J359" s="127" t="s">
        <v>1</v>
      </c>
      <c r="K359" s="127" t="s">
        <v>748</v>
      </c>
      <c r="L359" s="79" t="s">
        <v>500</v>
      </c>
      <c r="M359" s="55" t="s">
        <v>1618</v>
      </c>
      <c r="N359" s="282" t="s">
        <v>1215</v>
      </c>
      <c r="O359" s="238" t="s">
        <v>825</v>
      </c>
      <c r="P359" s="64" t="str">
        <f ca="1">IF(AND(OR(INDIRECT("K" &amp; ROW())="NAV-Premium",INDIRECT("K" &amp; ROW())="DA-Premium"),INDIRECT("M" &amp; ROW())="PARTITION_SCHEMA128__NavPiviJpn", INDIRECT("O" &amp; ROW())="JPN_SDB"),'SDB vs GN'!$B$41, IF(INDIRECT("H" &amp; ROW())="Chenc",'SDB vs GN'!$B$40, VLOOKUP(INDIRECT("O" &amp; ROW()),'SDB vs GN'!$A$16:$B$38,2,FALSE)))</f>
        <v>831_AUSKRJPN</v>
      </c>
      <c r="Q359" s="79" t="s">
        <v>396</v>
      </c>
      <c r="R359" s="156" t="s">
        <v>61</v>
      </c>
      <c r="S359" s="157" t="s">
        <v>10</v>
      </c>
      <c r="T359" s="79" t="s">
        <v>449</v>
      </c>
      <c r="U359" s="104" t="s">
        <v>816</v>
      </c>
      <c r="V359" s="239" t="s">
        <v>544</v>
      </c>
      <c r="W359" s="129" t="s">
        <v>447</v>
      </c>
      <c r="X359" s="64" t="s">
        <v>521</v>
      </c>
      <c r="Y359" s="282" t="s">
        <v>1286</v>
      </c>
      <c r="Z359" s="282" t="s">
        <v>1592</v>
      </c>
      <c r="AA359" s="37"/>
      <c r="AB359" s="154" t="s">
        <v>225</v>
      </c>
      <c r="AC359" s="224" t="s">
        <v>1830</v>
      </c>
      <c r="AD359" s="72" t="s">
        <v>808</v>
      </c>
      <c r="AE359" s="302"/>
      <c r="AF359" s="67"/>
      <c r="AG359" s="67"/>
      <c r="AH359" s="72" t="s">
        <v>1829</v>
      </c>
      <c r="AI359" s="24"/>
      <c r="AJ359" s="24"/>
      <c r="AK359" s="24"/>
      <c r="AL359" s="24"/>
    </row>
    <row r="360" spans="1:38" ht="52.8">
      <c r="A360" s="51">
        <v>351</v>
      </c>
      <c r="B360" s="81" t="str">
        <f t="shared" si="6"/>
        <v>015F</v>
      </c>
      <c r="C360" s="79" t="s">
        <v>1089</v>
      </c>
      <c r="D360" s="94" t="s">
        <v>136</v>
      </c>
      <c r="E360" s="314" t="s">
        <v>1233</v>
      </c>
      <c r="F360" s="177" t="s">
        <v>1046</v>
      </c>
      <c r="G360" s="177" t="s">
        <v>344</v>
      </c>
      <c r="H360" s="55" t="s">
        <v>637</v>
      </c>
      <c r="I360" s="94" t="s">
        <v>4</v>
      </c>
      <c r="J360" s="55" t="s">
        <v>0</v>
      </c>
      <c r="K360" s="127" t="s">
        <v>451</v>
      </c>
      <c r="L360" s="94" t="s">
        <v>1271</v>
      </c>
      <c r="M360" s="168" t="s">
        <v>255</v>
      </c>
      <c r="N360" s="282" t="s">
        <v>1215</v>
      </c>
      <c r="O360" s="249" t="s">
        <v>826</v>
      </c>
      <c r="P360" s="64" t="str">
        <f ca="1">IF(AND(OR(INDIRECT("K" &amp; ROW())="NAV-Premium",INDIRECT("K" &amp; ROW())="DA-Premium"),INDIRECT("M" &amp; ROW())="PARTITION_SCHEMA128__NavPiviJpn", INDIRECT("O" &amp; ROW())="JPN_SDB"),'SDB vs GN'!$B$41, IF(INDIRECT("H" &amp; ROW())="Chenc",'SDB vs GN'!$B$40, VLOOKUP(INDIRECT("O" &amp; ROW()),'SDB vs GN'!$A$16:$B$38,2,FALSE)))</f>
        <v>731_EUR</v>
      </c>
      <c r="Q360" s="79" t="s">
        <v>396</v>
      </c>
      <c r="R360" s="64" t="s">
        <v>59</v>
      </c>
      <c r="S360" s="157" t="s">
        <v>10</v>
      </c>
      <c r="T360" s="79" t="s">
        <v>449</v>
      </c>
      <c r="U360" s="104" t="s">
        <v>816</v>
      </c>
      <c r="V360" s="172" t="s">
        <v>7</v>
      </c>
      <c r="W360" s="76" t="s">
        <v>2184</v>
      </c>
      <c r="X360" s="64" t="s">
        <v>521</v>
      </c>
      <c r="Y360" s="282" t="s">
        <v>1286</v>
      </c>
      <c r="Z360" s="282" t="s">
        <v>1592</v>
      </c>
      <c r="AA360" s="37"/>
      <c r="AB360" s="131" t="s">
        <v>225</v>
      </c>
      <c r="AC360" s="224" t="s">
        <v>1880</v>
      </c>
      <c r="AD360" s="67" t="s">
        <v>808</v>
      </c>
      <c r="AE360" s="302"/>
      <c r="AF360" s="67"/>
      <c r="AG360" s="67"/>
      <c r="AH360" s="67" t="s">
        <v>2350</v>
      </c>
      <c r="AI360" s="24"/>
      <c r="AJ360" s="24"/>
      <c r="AK360" s="24"/>
      <c r="AL360" s="24"/>
    </row>
    <row r="361" spans="1:38" ht="52.8">
      <c r="A361" s="51">
        <v>352</v>
      </c>
      <c r="B361" s="81" t="str">
        <f t="shared" si="6"/>
        <v>0160</v>
      </c>
      <c r="C361" s="72" t="s">
        <v>1181</v>
      </c>
      <c r="D361" s="79" t="s">
        <v>106</v>
      </c>
      <c r="E361" s="295" t="s">
        <v>1233</v>
      </c>
      <c r="F361" s="192" t="s">
        <v>1085</v>
      </c>
      <c r="G361" s="192" t="s">
        <v>348</v>
      </c>
      <c r="H361" s="55" t="s">
        <v>637</v>
      </c>
      <c r="I361" s="94" t="s">
        <v>4</v>
      </c>
      <c r="J361" s="127" t="s">
        <v>1</v>
      </c>
      <c r="K361" s="127" t="s">
        <v>751</v>
      </c>
      <c r="L361" s="64" t="s">
        <v>856</v>
      </c>
      <c r="M361" s="55" t="s">
        <v>1610</v>
      </c>
      <c r="N361" s="282" t="s">
        <v>1215</v>
      </c>
      <c r="O361" s="239" t="s">
        <v>53</v>
      </c>
      <c r="P361" s="64" t="str">
        <f ca="1">IF(AND(OR(INDIRECT("K" &amp; ROW())="NAV-Premium",INDIRECT("K" &amp; ROW())="DA-Premium"),INDIRECT("M" &amp; ROW())="PARTITION_SCHEMA128__NavPiviJpn", INDIRECT("O" &amp; ROW())="JPN_SDB"),'SDB vs GN'!$B$41, IF(INDIRECT("H" &amp; ROW())="Chenc",'SDB vs GN'!$B$40, VLOOKUP(INDIRECT("O" &amp; ROW()),'SDB vs GN'!$A$16:$B$38,2,FALSE)))</f>
        <v>No_Gracenote</v>
      </c>
      <c r="Q361" s="79" t="s">
        <v>396</v>
      </c>
      <c r="R361" s="64" t="s">
        <v>59</v>
      </c>
      <c r="S361" s="157" t="s">
        <v>10</v>
      </c>
      <c r="T361" s="79" t="s">
        <v>449</v>
      </c>
      <c r="U361" s="104" t="s">
        <v>816</v>
      </c>
      <c r="V361" s="172" t="s">
        <v>7</v>
      </c>
      <c r="W361" s="76" t="s">
        <v>447</v>
      </c>
      <c r="X361" s="64" t="s">
        <v>521</v>
      </c>
      <c r="Y361" s="282" t="s">
        <v>1286</v>
      </c>
      <c r="Z361" s="282" t="s">
        <v>1592</v>
      </c>
      <c r="AA361" s="37"/>
      <c r="AB361" s="131" t="s">
        <v>225</v>
      </c>
      <c r="AC361" s="72" t="s">
        <v>1252</v>
      </c>
      <c r="AD361" s="72" t="s">
        <v>888</v>
      </c>
      <c r="AE361" s="302"/>
      <c r="AF361" s="67"/>
      <c r="AG361" s="67"/>
      <c r="AH361" s="135" t="s">
        <v>1253</v>
      </c>
      <c r="AI361" s="24"/>
      <c r="AJ361" s="24"/>
      <c r="AK361" s="24"/>
      <c r="AL361" s="24"/>
    </row>
    <row r="362" spans="1:38" ht="26.4">
      <c r="A362" s="51">
        <v>353</v>
      </c>
      <c r="B362" s="81" t="str">
        <f t="shared" si="6"/>
        <v>0161</v>
      </c>
      <c r="C362" s="67" t="s">
        <v>1254</v>
      </c>
      <c r="D362" s="79" t="s">
        <v>106</v>
      </c>
      <c r="E362" s="295" t="s">
        <v>1233</v>
      </c>
      <c r="F362" s="192" t="s">
        <v>1085</v>
      </c>
      <c r="G362" s="192" t="s">
        <v>348</v>
      </c>
      <c r="H362" s="55" t="s">
        <v>637</v>
      </c>
      <c r="I362" s="94" t="s">
        <v>4</v>
      </c>
      <c r="J362" s="127" t="s">
        <v>1</v>
      </c>
      <c r="K362" s="127" t="s">
        <v>751</v>
      </c>
      <c r="L362" s="64" t="s">
        <v>856</v>
      </c>
      <c r="M362" s="55" t="s">
        <v>1610</v>
      </c>
      <c r="N362" s="282" t="s">
        <v>1215</v>
      </c>
      <c r="O362" s="239" t="s">
        <v>53</v>
      </c>
      <c r="P362" s="64" t="str">
        <f ca="1">IF(AND(OR(INDIRECT("K" &amp; ROW())="NAV-Premium",INDIRECT("K" &amp; ROW())="DA-Premium"),INDIRECT("M" &amp; ROW())="PARTITION_SCHEMA128__NavPiviJpn", INDIRECT("O" &amp; ROW())="JPN_SDB"),'SDB vs GN'!$B$41, IF(INDIRECT("H" &amp; ROW())="Chenc",'SDB vs GN'!$B$40, VLOOKUP(INDIRECT("O" &amp; ROW()),'SDB vs GN'!$A$16:$B$38,2,FALSE)))</f>
        <v>No_Gracenote</v>
      </c>
      <c r="Q362" s="79" t="s">
        <v>396</v>
      </c>
      <c r="R362" s="165" t="s">
        <v>61</v>
      </c>
      <c r="S362" s="103" t="s">
        <v>10</v>
      </c>
      <c r="T362" s="64" t="s">
        <v>449</v>
      </c>
      <c r="U362" s="104" t="s">
        <v>816</v>
      </c>
      <c r="V362" s="172" t="s">
        <v>7</v>
      </c>
      <c r="W362" s="76" t="s">
        <v>447</v>
      </c>
      <c r="X362" s="64" t="s">
        <v>521</v>
      </c>
      <c r="Y362" s="282" t="s">
        <v>1286</v>
      </c>
      <c r="Z362" s="282" t="s">
        <v>1592</v>
      </c>
      <c r="AA362" s="96"/>
      <c r="AB362" s="131" t="s">
        <v>225</v>
      </c>
      <c r="AC362" s="67" t="s">
        <v>1255</v>
      </c>
      <c r="AD362" s="72" t="s">
        <v>888</v>
      </c>
      <c r="AE362" s="302"/>
      <c r="AF362" s="67"/>
      <c r="AG362" s="67"/>
      <c r="AH362" s="135" t="s">
        <v>1256</v>
      </c>
      <c r="AI362" s="24"/>
      <c r="AJ362" s="24"/>
      <c r="AK362" s="24"/>
      <c r="AL362" s="24"/>
    </row>
    <row r="363" spans="1:38" ht="39.6">
      <c r="A363" s="51">
        <v>354</v>
      </c>
      <c r="B363" s="81" t="str">
        <f t="shared" si="6"/>
        <v>0162</v>
      </c>
      <c r="C363" s="72" t="s">
        <v>1257</v>
      </c>
      <c r="D363" s="94" t="s">
        <v>104</v>
      </c>
      <c r="E363" s="314" t="s">
        <v>1233</v>
      </c>
      <c r="F363" s="169" t="s">
        <v>1056</v>
      </c>
      <c r="G363" s="169" t="s">
        <v>347</v>
      </c>
      <c r="H363" s="55" t="s">
        <v>637</v>
      </c>
      <c r="I363" s="79" t="s">
        <v>815</v>
      </c>
      <c r="J363" s="127" t="s">
        <v>1</v>
      </c>
      <c r="K363" s="127" t="s">
        <v>750</v>
      </c>
      <c r="L363" s="64" t="s">
        <v>856</v>
      </c>
      <c r="M363" s="55" t="s">
        <v>1613</v>
      </c>
      <c r="N363" s="282" t="s">
        <v>1215</v>
      </c>
      <c r="O363" s="239" t="s">
        <v>54</v>
      </c>
      <c r="P363" s="64" t="str">
        <f ca="1">IF(AND(OR(INDIRECT("K" &amp; ROW())="NAV-Premium",INDIRECT("K" &amp; ROW())="DA-Premium"),INDIRECT("M" &amp; ROW())="PARTITION_SCHEMA128__NavPiviJpn", INDIRECT("O" &amp; ROW())="JPN_SDB"),'SDB vs GN'!$B$41, IF(INDIRECT("H" &amp; ROW())="Chenc",'SDB vs GN'!$B$40, VLOOKUP(INDIRECT("O" &amp; ROW()),'SDB vs GN'!$A$16:$B$38,2,FALSE)))</f>
        <v>731_EUR</v>
      </c>
      <c r="Q363" s="79" t="s">
        <v>396</v>
      </c>
      <c r="R363" s="64" t="s">
        <v>59</v>
      </c>
      <c r="S363" s="157" t="s">
        <v>10</v>
      </c>
      <c r="T363" s="79" t="s">
        <v>449</v>
      </c>
      <c r="U363" s="104" t="s">
        <v>816</v>
      </c>
      <c r="V363" s="172" t="s">
        <v>528</v>
      </c>
      <c r="W363" s="76" t="s">
        <v>447</v>
      </c>
      <c r="X363" s="64" t="s">
        <v>521</v>
      </c>
      <c r="Y363" s="282" t="s">
        <v>1286</v>
      </c>
      <c r="Z363" s="282" t="s">
        <v>1592</v>
      </c>
      <c r="AA363" s="37"/>
      <c r="AB363" s="131" t="s">
        <v>225</v>
      </c>
      <c r="AC363" s="72" t="s">
        <v>1531</v>
      </c>
      <c r="AD363" s="72" t="s">
        <v>888</v>
      </c>
      <c r="AE363" s="302"/>
      <c r="AF363" s="67"/>
      <c r="AG363" s="67"/>
      <c r="AH363" s="72" t="s">
        <v>1532</v>
      </c>
      <c r="AI363" s="24"/>
      <c r="AJ363" s="24"/>
      <c r="AK363" s="24"/>
      <c r="AL363" s="24"/>
    </row>
    <row r="364" spans="1:38" ht="132">
      <c r="A364" s="51">
        <v>355</v>
      </c>
      <c r="B364" s="81" t="str">
        <f t="shared" si="6"/>
        <v>0163</v>
      </c>
      <c r="C364" s="67" t="s">
        <v>1182</v>
      </c>
      <c r="D364" s="94" t="s">
        <v>104</v>
      </c>
      <c r="E364" s="314" t="s">
        <v>1233</v>
      </c>
      <c r="F364" s="169" t="s">
        <v>1056</v>
      </c>
      <c r="G364" s="169" t="s">
        <v>347</v>
      </c>
      <c r="H364" s="55" t="s">
        <v>637</v>
      </c>
      <c r="I364" s="79" t="s">
        <v>815</v>
      </c>
      <c r="J364" s="127" t="s">
        <v>1</v>
      </c>
      <c r="K364" s="127" t="s">
        <v>750</v>
      </c>
      <c r="L364" s="64" t="s">
        <v>856</v>
      </c>
      <c r="M364" s="55" t="s">
        <v>1613</v>
      </c>
      <c r="N364" s="282" t="s">
        <v>1215</v>
      </c>
      <c r="O364" s="239" t="s">
        <v>54</v>
      </c>
      <c r="P364" s="64" t="str">
        <f ca="1">IF(AND(OR(INDIRECT("K" &amp; ROW())="NAV-Premium",INDIRECT("K" &amp; ROW())="DA-Premium"),INDIRECT("M" &amp; ROW())="PARTITION_SCHEMA128__NavPiviJpn", INDIRECT("O" &amp; ROW())="JPN_SDB"),'SDB vs GN'!$B$41, IF(INDIRECT("H" &amp; ROW())="Chenc",'SDB vs GN'!$B$40, VLOOKUP(INDIRECT("O" &amp; ROW()),'SDB vs GN'!$A$16:$B$38,2,FALSE)))</f>
        <v>731_EUR</v>
      </c>
      <c r="Q364" s="79" t="s">
        <v>396</v>
      </c>
      <c r="R364" s="165" t="s">
        <v>61</v>
      </c>
      <c r="S364" s="103" t="s">
        <v>10</v>
      </c>
      <c r="T364" s="64" t="s">
        <v>449</v>
      </c>
      <c r="U364" s="104" t="s">
        <v>816</v>
      </c>
      <c r="V364" s="172" t="s">
        <v>528</v>
      </c>
      <c r="W364" s="76" t="s">
        <v>447</v>
      </c>
      <c r="X364" s="64" t="s">
        <v>521</v>
      </c>
      <c r="Y364" s="282" t="s">
        <v>1286</v>
      </c>
      <c r="Z364" s="282" t="s">
        <v>1592</v>
      </c>
      <c r="AA364" s="96"/>
      <c r="AB364" s="131" t="s">
        <v>225</v>
      </c>
      <c r="AC364" s="67" t="s">
        <v>1795</v>
      </c>
      <c r="AD364" s="72" t="s">
        <v>888</v>
      </c>
      <c r="AE364" s="302"/>
      <c r="AF364" s="67"/>
      <c r="AG364" s="67"/>
      <c r="AH364" s="72" t="s">
        <v>1796</v>
      </c>
      <c r="AI364" s="24"/>
      <c r="AJ364" s="24"/>
      <c r="AK364" s="24"/>
      <c r="AL364" s="24"/>
    </row>
    <row r="365" spans="1:38" ht="39.6">
      <c r="A365" s="51">
        <v>356</v>
      </c>
      <c r="B365" s="81" t="str">
        <f t="shared" si="6"/>
        <v>0164</v>
      </c>
      <c r="C365" s="72" t="s">
        <v>1258</v>
      </c>
      <c r="D365" s="94" t="s">
        <v>104</v>
      </c>
      <c r="E365" s="314" t="s">
        <v>1233</v>
      </c>
      <c r="F365" s="169" t="s">
        <v>1056</v>
      </c>
      <c r="G365" s="169" t="s">
        <v>347</v>
      </c>
      <c r="H365" s="55" t="s">
        <v>637</v>
      </c>
      <c r="I365" s="79" t="s">
        <v>815</v>
      </c>
      <c r="J365" s="127" t="s">
        <v>1</v>
      </c>
      <c r="K365" s="127" t="s">
        <v>750</v>
      </c>
      <c r="L365" s="64" t="s">
        <v>856</v>
      </c>
      <c r="M365" s="55" t="s">
        <v>1612</v>
      </c>
      <c r="N365" s="282" t="s">
        <v>1215</v>
      </c>
      <c r="O365" s="238" t="s">
        <v>825</v>
      </c>
      <c r="P365" s="64" t="str">
        <f ca="1">IF(AND(OR(INDIRECT("K" &amp; ROW())="NAV-Premium",INDIRECT("K" &amp; ROW())="DA-Premium"),INDIRECT("M" &amp; ROW())="PARTITION_SCHEMA128__NavPiviJpn", INDIRECT("O" &amp; ROW())="JPN_SDB"),'SDB vs GN'!$B$41, IF(INDIRECT("H" &amp; ROW())="Chenc",'SDB vs GN'!$B$40, VLOOKUP(INDIRECT("O" &amp; ROW()),'SDB vs GN'!$A$16:$B$38,2,FALSE)))</f>
        <v>831_AUSKRJPN</v>
      </c>
      <c r="Q365" s="79" t="s">
        <v>396</v>
      </c>
      <c r="R365" s="64" t="s">
        <v>59</v>
      </c>
      <c r="S365" s="157" t="s">
        <v>10</v>
      </c>
      <c r="T365" s="79" t="s">
        <v>449</v>
      </c>
      <c r="U365" s="104" t="s">
        <v>816</v>
      </c>
      <c r="V365" s="172" t="s">
        <v>770</v>
      </c>
      <c r="W365" s="76" t="s">
        <v>447</v>
      </c>
      <c r="X365" s="64" t="s">
        <v>521</v>
      </c>
      <c r="Y365" s="282" t="s">
        <v>1286</v>
      </c>
      <c r="Z365" s="282" t="s">
        <v>1592</v>
      </c>
      <c r="AA365" s="37"/>
      <c r="AB365" s="131" t="s">
        <v>225</v>
      </c>
      <c r="AC365" s="72" t="s">
        <v>1533</v>
      </c>
      <c r="AD365" s="72" t="s">
        <v>888</v>
      </c>
      <c r="AE365" s="302"/>
      <c r="AF365" s="67"/>
      <c r="AG365" s="67"/>
      <c r="AH365" s="72" t="s">
        <v>1534</v>
      </c>
      <c r="AI365" s="24"/>
      <c r="AJ365" s="24"/>
      <c r="AK365" s="24"/>
      <c r="AL365" s="24"/>
    </row>
    <row r="366" spans="1:38" ht="39.6">
      <c r="A366" s="51">
        <v>357</v>
      </c>
      <c r="B366" s="81" t="str">
        <f t="shared" si="6"/>
        <v>0165</v>
      </c>
      <c r="C366" s="67" t="s">
        <v>1259</v>
      </c>
      <c r="D366" s="94" t="s">
        <v>104</v>
      </c>
      <c r="E366" s="314" t="s">
        <v>1233</v>
      </c>
      <c r="F366" s="169" t="s">
        <v>1056</v>
      </c>
      <c r="G366" s="169" t="s">
        <v>347</v>
      </c>
      <c r="H366" s="55" t="s">
        <v>637</v>
      </c>
      <c r="I366" s="79" t="s">
        <v>815</v>
      </c>
      <c r="J366" s="127" t="s">
        <v>1</v>
      </c>
      <c r="K366" s="127" t="s">
        <v>750</v>
      </c>
      <c r="L366" s="64" t="s">
        <v>856</v>
      </c>
      <c r="M366" s="55" t="s">
        <v>1613</v>
      </c>
      <c r="N366" s="282" t="s">
        <v>1215</v>
      </c>
      <c r="O366" s="239" t="s">
        <v>54</v>
      </c>
      <c r="P366" s="64" t="str">
        <f ca="1">IF(AND(OR(INDIRECT("K" &amp; ROW())="NAV-Premium",INDIRECT("K" &amp; ROW())="DA-Premium"),INDIRECT("M" &amp; ROW())="PARTITION_SCHEMA128__NavPiviJpn", INDIRECT("O" &amp; ROW())="JPN_SDB"),'SDB vs GN'!$B$41, IF(INDIRECT("H" &amp; ROW())="Chenc",'SDB vs GN'!$B$40, VLOOKUP(INDIRECT("O" &amp; ROW()),'SDB vs GN'!$A$16:$B$38,2,FALSE)))</f>
        <v>731_EUR</v>
      </c>
      <c r="Q366" s="79" t="s">
        <v>396</v>
      </c>
      <c r="R366" s="64" t="s">
        <v>59</v>
      </c>
      <c r="S366" s="103" t="s">
        <v>10</v>
      </c>
      <c r="T366" s="64" t="s">
        <v>449</v>
      </c>
      <c r="U366" s="104" t="s">
        <v>816</v>
      </c>
      <c r="V366" s="172" t="s">
        <v>547</v>
      </c>
      <c r="W366" s="76" t="s">
        <v>447</v>
      </c>
      <c r="X366" s="64" t="s">
        <v>521</v>
      </c>
      <c r="Y366" s="282" t="s">
        <v>1286</v>
      </c>
      <c r="Z366" s="282" t="s">
        <v>1592</v>
      </c>
      <c r="AA366" s="96"/>
      <c r="AB366" s="131" t="s">
        <v>225</v>
      </c>
      <c r="AC366" s="67" t="s">
        <v>1535</v>
      </c>
      <c r="AD366" s="72" t="s">
        <v>888</v>
      </c>
      <c r="AE366" s="302"/>
      <c r="AF366" s="67"/>
      <c r="AG366" s="67"/>
      <c r="AH366" s="72" t="s">
        <v>1536</v>
      </c>
      <c r="AI366" s="24"/>
      <c r="AJ366" s="24"/>
      <c r="AK366" s="24"/>
      <c r="AL366" s="24"/>
    </row>
    <row r="367" spans="1:38" ht="26.4">
      <c r="A367" s="51">
        <v>358</v>
      </c>
      <c r="B367" s="81" t="str">
        <f t="shared" si="6"/>
        <v>0166</v>
      </c>
      <c r="C367" s="72" t="s">
        <v>1088</v>
      </c>
      <c r="D367" s="79" t="s">
        <v>106</v>
      </c>
      <c r="E367" s="295" t="s">
        <v>1233</v>
      </c>
      <c r="F367" s="192" t="s">
        <v>1085</v>
      </c>
      <c r="G367" s="192" t="s">
        <v>348</v>
      </c>
      <c r="H367" s="55" t="s">
        <v>637</v>
      </c>
      <c r="I367" s="94" t="s">
        <v>4</v>
      </c>
      <c r="J367" s="127" t="s">
        <v>1</v>
      </c>
      <c r="K367" s="127" t="s">
        <v>751</v>
      </c>
      <c r="L367" s="64" t="s">
        <v>856</v>
      </c>
      <c r="M367" s="55" t="s">
        <v>1610</v>
      </c>
      <c r="N367" s="282" t="s">
        <v>1215</v>
      </c>
      <c r="O367" s="239" t="s">
        <v>53</v>
      </c>
      <c r="P367" s="64" t="str">
        <f ca="1">IF(AND(OR(INDIRECT("K" &amp; ROW())="NAV-Premium",INDIRECT("K" &amp; ROW())="DA-Premium"),INDIRECT("M" &amp; ROW())="PARTITION_SCHEMA128__NavPiviJpn", INDIRECT("O" &amp; ROW())="JPN_SDB"),'SDB vs GN'!$B$41, IF(INDIRECT("H" &amp; ROW())="Chenc",'SDB vs GN'!$B$40, VLOOKUP(INDIRECT("O" &amp; ROW()),'SDB vs GN'!$A$16:$B$38,2,FALSE)))</f>
        <v>No_Gracenote</v>
      </c>
      <c r="Q367" s="79" t="s">
        <v>396</v>
      </c>
      <c r="R367" s="64" t="s">
        <v>181</v>
      </c>
      <c r="S367" s="157" t="s">
        <v>10</v>
      </c>
      <c r="T367" s="79" t="s">
        <v>449</v>
      </c>
      <c r="U367" s="104" t="s">
        <v>816</v>
      </c>
      <c r="V367" s="172" t="s">
        <v>7</v>
      </c>
      <c r="W367" s="76" t="s">
        <v>447</v>
      </c>
      <c r="X367" s="64" t="s">
        <v>521</v>
      </c>
      <c r="Y367" s="282" t="s">
        <v>1286</v>
      </c>
      <c r="Z367" s="282" t="s">
        <v>1592</v>
      </c>
      <c r="AA367" s="37"/>
      <c r="AB367" s="131" t="s">
        <v>225</v>
      </c>
      <c r="AC367" s="72" t="s">
        <v>1187</v>
      </c>
      <c r="AD367" s="72" t="s">
        <v>888</v>
      </c>
      <c r="AE367" s="302"/>
      <c r="AF367" s="67"/>
      <c r="AG367" s="67"/>
      <c r="AH367" s="135" t="s">
        <v>1188</v>
      </c>
      <c r="AI367" s="24"/>
      <c r="AJ367" s="24"/>
      <c r="AK367" s="24"/>
      <c r="AL367" s="24"/>
    </row>
    <row r="368" spans="1:38" ht="26.4">
      <c r="A368" s="51">
        <v>359</v>
      </c>
      <c r="B368" s="81" t="str">
        <f t="shared" si="6"/>
        <v>0167</v>
      </c>
      <c r="C368" s="67" t="s">
        <v>1086</v>
      </c>
      <c r="D368" s="94" t="s">
        <v>104</v>
      </c>
      <c r="E368" s="314" t="s">
        <v>1233</v>
      </c>
      <c r="F368" s="169" t="s">
        <v>1056</v>
      </c>
      <c r="G368" s="169" t="s">
        <v>347</v>
      </c>
      <c r="H368" s="55" t="s">
        <v>637</v>
      </c>
      <c r="I368" s="79" t="s">
        <v>815</v>
      </c>
      <c r="J368" s="127" t="s">
        <v>1</v>
      </c>
      <c r="K368" s="127" t="s">
        <v>750</v>
      </c>
      <c r="L368" s="64" t="s">
        <v>856</v>
      </c>
      <c r="M368" s="55" t="s">
        <v>1612</v>
      </c>
      <c r="N368" s="282" t="s">
        <v>1215</v>
      </c>
      <c r="O368" s="238" t="s">
        <v>826</v>
      </c>
      <c r="P368" s="64" t="str">
        <f ca="1">IF(AND(OR(INDIRECT("K" &amp; ROW())="NAV-Premium",INDIRECT("K" &amp; ROW())="DA-Premium"),INDIRECT("M" &amp; ROW())="PARTITION_SCHEMA128__NavPiviJpn", INDIRECT("O" &amp; ROW())="JPN_SDB"),'SDB vs GN'!$B$41, IF(INDIRECT("H" &amp; ROW())="Chenc",'SDB vs GN'!$B$40, VLOOKUP(INDIRECT("O" &amp; ROW()),'SDB vs GN'!$A$16:$B$38,2,FALSE)))</f>
        <v>731_EUR</v>
      </c>
      <c r="Q368" s="79" t="s">
        <v>396</v>
      </c>
      <c r="R368" s="64" t="s">
        <v>181</v>
      </c>
      <c r="S368" s="103" t="s">
        <v>10</v>
      </c>
      <c r="T368" s="64" t="s">
        <v>449</v>
      </c>
      <c r="U368" s="104" t="s">
        <v>816</v>
      </c>
      <c r="V368" s="358" t="s">
        <v>600</v>
      </c>
      <c r="W368" s="76" t="s">
        <v>447</v>
      </c>
      <c r="X368" s="64" t="s">
        <v>521</v>
      </c>
      <c r="Y368" s="282" t="s">
        <v>1286</v>
      </c>
      <c r="Z368" s="282" t="s">
        <v>1592</v>
      </c>
      <c r="AA368" s="96"/>
      <c r="AB368" s="131" t="s">
        <v>225</v>
      </c>
      <c r="AC368" s="67" t="s">
        <v>1189</v>
      </c>
      <c r="AD368" s="72" t="s">
        <v>888</v>
      </c>
      <c r="AE368" s="302"/>
      <c r="AF368" s="67"/>
      <c r="AG368" s="67"/>
      <c r="AH368" s="72" t="s">
        <v>1190</v>
      </c>
      <c r="AI368" s="24"/>
      <c r="AJ368" s="24"/>
      <c r="AK368" s="24"/>
      <c r="AL368" s="24"/>
    </row>
    <row r="369" spans="1:38" ht="66">
      <c r="A369" s="51">
        <v>360</v>
      </c>
      <c r="B369" s="81" t="str">
        <f t="shared" si="6"/>
        <v>0168</v>
      </c>
      <c r="C369" s="72" t="s">
        <v>1183</v>
      </c>
      <c r="D369" s="94" t="s">
        <v>104</v>
      </c>
      <c r="E369" s="314" t="s">
        <v>1233</v>
      </c>
      <c r="F369" s="169" t="s">
        <v>1056</v>
      </c>
      <c r="G369" s="169" t="s">
        <v>347</v>
      </c>
      <c r="H369" s="55" t="s">
        <v>637</v>
      </c>
      <c r="I369" s="79" t="s">
        <v>815</v>
      </c>
      <c r="J369" s="127" t="s">
        <v>1</v>
      </c>
      <c r="K369" s="127" t="s">
        <v>750</v>
      </c>
      <c r="L369" s="64" t="s">
        <v>856</v>
      </c>
      <c r="M369" s="55" t="s">
        <v>1612</v>
      </c>
      <c r="N369" s="282" t="s">
        <v>1215</v>
      </c>
      <c r="O369" s="238" t="s">
        <v>84</v>
      </c>
      <c r="P369" s="64" t="str">
        <f ca="1">IF(AND(OR(INDIRECT("K" &amp; ROW())="NAV-Premium",INDIRECT("K" &amp; ROW())="DA-Premium"),INDIRECT("M" &amp; ROW())="PARTITION_SCHEMA128__NavPiviJpn", INDIRECT("O" &amp; ROW())="JPN_SDB"),'SDB vs GN'!$B$41, IF(INDIRECT("H" &amp; ROW())="Chenc",'SDB vs GN'!$B$40, VLOOKUP(INDIRECT("O" &amp; ROW()),'SDB vs GN'!$A$16:$B$38,2,FALSE)))</f>
        <v>727_NAM</v>
      </c>
      <c r="Q369" s="79" t="s">
        <v>396</v>
      </c>
      <c r="R369" s="64" t="s">
        <v>59</v>
      </c>
      <c r="S369" s="157" t="s">
        <v>10</v>
      </c>
      <c r="T369" s="79" t="s">
        <v>449</v>
      </c>
      <c r="U369" s="104" t="s">
        <v>816</v>
      </c>
      <c r="V369" s="172" t="s">
        <v>529</v>
      </c>
      <c r="W369" s="76" t="s">
        <v>447</v>
      </c>
      <c r="X369" s="64" t="s">
        <v>521</v>
      </c>
      <c r="Y369" s="282" t="s">
        <v>1286</v>
      </c>
      <c r="Z369" s="282" t="s">
        <v>1592</v>
      </c>
      <c r="AA369" s="37"/>
      <c r="AB369" s="131" t="s">
        <v>225</v>
      </c>
      <c r="AC369" s="72" t="s">
        <v>1537</v>
      </c>
      <c r="AD369" s="72" t="s">
        <v>888</v>
      </c>
      <c r="AE369" s="302"/>
      <c r="AF369" s="67"/>
      <c r="AG369" s="67"/>
      <c r="AH369" s="72" t="s">
        <v>1538</v>
      </c>
      <c r="AI369" s="24"/>
      <c r="AJ369" s="24"/>
      <c r="AK369" s="24"/>
      <c r="AL369" s="24"/>
    </row>
    <row r="370" spans="1:38">
      <c r="A370" s="51">
        <v>361</v>
      </c>
      <c r="B370" s="81" t="str">
        <f t="shared" si="6"/>
        <v>0169</v>
      </c>
      <c r="C370" s="67" t="s">
        <v>1087</v>
      </c>
      <c r="D370" s="94" t="s">
        <v>104</v>
      </c>
      <c r="E370" s="314" t="s">
        <v>1233</v>
      </c>
      <c r="F370" s="169" t="s">
        <v>1056</v>
      </c>
      <c r="G370" s="169" t="s">
        <v>347</v>
      </c>
      <c r="H370" s="55" t="s">
        <v>637</v>
      </c>
      <c r="I370" s="79" t="s">
        <v>815</v>
      </c>
      <c r="J370" s="127" t="s">
        <v>1</v>
      </c>
      <c r="K370" s="127" t="s">
        <v>750</v>
      </c>
      <c r="L370" s="64" t="s">
        <v>856</v>
      </c>
      <c r="M370" s="55" t="s">
        <v>1612</v>
      </c>
      <c r="N370" s="282" t="s">
        <v>1215</v>
      </c>
      <c r="O370" s="238" t="s">
        <v>73</v>
      </c>
      <c r="P370" s="64" t="str">
        <f ca="1">IF(AND(OR(INDIRECT("K" &amp; ROW())="NAV-Premium",INDIRECT("K" &amp; ROW())="DA-Premium"),INDIRECT("M" &amp; ROW())="PARTITION_SCHEMA128__NavPiviJpn", INDIRECT("O" &amp; ROW())="JPN_SDB"),'SDB vs GN'!$B$41, IF(INDIRECT("H" &amp; ROW())="Chenc",'SDB vs GN'!$B$40, VLOOKUP(INDIRECT("O" &amp; ROW()),'SDB vs GN'!$A$16:$B$38,2,FALSE)))</f>
        <v>731_EUR</v>
      </c>
      <c r="Q370" s="79" t="s">
        <v>396</v>
      </c>
      <c r="R370" s="64" t="s">
        <v>59</v>
      </c>
      <c r="S370" s="103" t="s">
        <v>10</v>
      </c>
      <c r="T370" s="64" t="s">
        <v>449</v>
      </c>
      <c r="U370" s="104" t="s">
        <v>816</v>
      </c>
      <c r="V370" s="172" t="s">
        <v>548</v>
      </c>
      <c r="W370" s="76" t="s">
        <v>447</v>
      </c>
      <c r="X370" s="64" t="s">
        <v>521</v>
      </c>
      <c r="Y370" s="282" t="s">
        <v>1286</v>
      </c>
      <c r="Z370" s="282" t="s">
        <v>1592</v>
      </c>
      <c r="AA370" s="96"/>
      <c r="AB370" s="131" t="s">
        <v>225</v>
      </c>
      <c r="AC370" s="67" t="s">
        <v>1083</v>
      </c>
      <c r="AD370" s="72" t="s">
        <v>888</v>
      </c>
      <c r="AE370" s="302"/>
      <c r="AF370" s="67"/>
      <c r="AG370" s="67"/>
      <c r="AH370" s="94" t="s">
        <v>1084</v>
      </c>
      <c r="AI370" s="24"/>
      <c r="AJ370" s="24"/>
      <c r="AK370" s="24"/>
      <c r="AL370" s="24"/>
    </row>
    <row r="371" spans="1:38" ht="39.6">
      <c r="A371" s="51">
        <v>362</v>
      </c>
      <c r="B371" s="81" t="str">
        <f t="shared" si="6"/>
        <v>016A</v>
      </c>
      <c r="C371" s="72" t="s">
        <v>1260</v>
      </c>
      <c r="D371" s="94" t="s">
        <v>104</v>
      </c>
      <c r="E371" s="314" t="s">
        <v>1233</v>
      </c>
      <c r="F371" s="169" t="s">
        <v>1056</v>
      </c>
      <c r="G371" s="169" t="s">
        <v>347</v>
      </c>
      <c r="H371" s="55" t="s">
        <v>637</v>
      </c>
      <c r="I371" s="79" t="s">
        <v>815</v>
      </c>
      <c r="J371" s="127" t="s">
        <v>1</v>
      </c>
      <c r="K371" s="127" t="s">
        <v>750</v>
      </c>
      <c r="L371" s="64" t="s">
        <v>856</v>
      </c>
      <c r="M371" s="55" t="s">
        <v>1612</v>
      </c>
      <c r="N371" s="282" t="s">
        <v>1215</v>
      </c>
      <c r="O371" s="238" t="s">
        <v>825</v>
      </c>
      <c r="P371" s="64" t="str">
        <f ca="1">IF(AND(OR(INDIRECT("K" &amp; ROW())="NAV-Premium",INDIRECT("K" &amp; ROW())="DA-Premium"),INDIRECT("M" &amp; ROW())="PARTITION_SCHEMA128__NavPiviJpn", INDIRECT("O" &amp; ROW())="JPN_SDB"),'SDB vs GN'!$B$41, IF(INDIRECT("H" &amp; ROW())="Chenc",'SDB vs GN'!$B$40, VLOOKUP(INDIRECT("O" &amp; ROW()),'SDB vs GN'!$A$16:$B$38,2,FALSE)))</f>
        <v>831_AUSKRJPN</v>
      </c>
      <c r="Q371" s="79" t="s">
        <v>396</v>
      </c>
      <c r="R371" s="165" t="s">
        <v>61</v>
      </c>
      <c r="S371" s="157" t="s">
        <v>10</v>
      </c>
      <c r="T371" s="79" t="s">
        <v>449</v>
      </c>
      <c r="U371" s="104" t="s">
        <v>816</v>
      </c>
      <c r="V371" s="172" t="s">
        <v>544</v>
      </c>
      <c r="W371" s="76" t="s">
        <v>447</v>
      </c>
      <c r="X371" s="64" t="s">
        <v>521</v>
      </c>
      <c r="Y371" s="282" t="s">
        <v>1286</v>
      </c>
      <c r="Z371" s="282" t="s">
        <v>1592</v>
      </c>
      <c r="AA371" s="37"/>
      <c r="AB371" s="131" t="s">
        <v>225</v>
      </c>
      <c r="AC371" s="72" t="s">
        <v>1539</v>
      </c>
      <c r="AD371" s="72" t="s">
        <v>888</v>
      </c>
      <c r="AE371" s="302"/>
      <c r="AF371" s="67"/>
      <c r="AG371" s="67"/>
      <c r="AH371" s="72" t="s">
        <v>1540</v>
      </c>
      <c r="AI371" s="24"/>
      <c r="AJ371" s="24"/>
      <c r="AK371" s="24"/>
      <c r="AL371" s="24"/>
    </row>
    <row r="372" spans="1:38" ht="52.8">
      <c r="A372" s="51">
        <v>363</v>
      </c>
      <c r="B372" s="81" t="str">
        <f t="shared" si="6"/>
        <v>016B</v>
      </c>
      <c r="C372" s="67" t="s">
        <v>1184</v>
      </c>
      <c r="D372" s="94" t="s">
        <v>104</v>
      </c>
      <c r="E372" s="314" t="s">
        <v>1233</v>
      </c>
      <c r="F372" s="169" t="s">
        <v>1056</v>
      </c>
      <c r="G372" s="169" t="s">
        <v>347</v>
      </c>
      <c r="H372" s="55" t="s">
        <v>637</v>
      </c>
      <c r="I372" s="79" t="s">
        <v>815</v>
      </c>
      <c r="J372" s="127" t="s">
        <v>1</v>
      </c>
      <c r="K372" s="127" t="s">
        <v>750</v>
      </c>
      <c r="L372" s="64" t="s">
        <v>856</v>
      </c>
      <c r="M372" s="55" t="s">
        <v>1612</v>
      </c>
      <c r="N372" s="282" t="s">
        <v>1215</v>
      </c>
      <c r="O372" s="238" t="s">
        <v>825</v>
      </c>
      <c r="P372" s="64" t="str">
        <f ca="1">IF(AND(OR(INDIRECT("K" &amp; ROW())="NAV-Premium",INDIRECT("K" &amp; ROW())="DA-Premium"),INDIRECT("M" &amp; ROW())="PARTITION_SCHEMA128__NavPiviJpn", INDIRECT("O" &amp; ROW())="JPN_SDB"),'SDB vs GN'!$B$41, IF(INDIRECT("H" &amp; ROW())="Chenc",'SDB vs GN'!$B$40, VLOOKUP(INDIRECT("O" &amp; ROW()),'SDB vs GN'!$A$16:$B$38,2,FALSE)))</f>
        <v>831_AUSKRJPN</v>
      </c>
      <c r="Q372" s="79" t="s">
        <v>396</v>
      </c>
      <c r="R372" s="64" t="s">
        <v>59</v>
      </c>
      <c r="S372" s="103" t="s">
        <v>10</v>
      </c>
      <c r="T372" s="64" t="s">
        <v>449</v>
      </c>
      <c r="U372" s="104" t="s">
        <v>816</v>
      </c>
      <c r="V372" s="172" t="s">
        <v>544</v>
      </c>
      <c r="W372" s="76" t="s">
        <v>447</v>
      </c>
      <c r="X372" s="64" t="s">
        <v>521</v>
      </c>
      <c r="Y372" s="282" t="s">
        <v>1286</v>
      </c>
      <c r="Z372" s="282" t="s">
        <v>1592</v>
      </c>
      <c r="AA372" s="96"/>
      <c r="AB372" s="131" t="s">
        <v>225</v>
      </c>
      <c r="AC372" s="67" t="s">
        <v>1541</v>
      </c>
      <c r="AD372" s="72" t="s">
        <v>888</v>
      </c>
      <c r="AE372" s="302"/>
      <c r="AF372" s="67"/>
      <c r="AG372" s="67"/>
      <c r="AH372" s="72" t="s">
        <v>1542</v>
      </c>
      <c r="AI372" s="24"/>
      <c r="AJ372" s="24"/>
      <c r="AK372" s="24"/>
      <c r="AL372" s="24"/>
    </row>
    <row r="373" spans="1:38" ht="39.6">
      <c r="A373" s="51">
        <v>364</v>
      </c>
      <c r="B373" s="81" t="str">
        <f t="shared" si="6"/>
        <v>016C</v>
      </c>
      <c r="C373" s="72" t="s">
        <v>1261</v>
      </c>
      <c r="D373" s="94" t="s">
        <v>104</v>
      </c>
      <c r="E373" s="314" t="s">
        <v>1233</v>
      </c>
      <c r="F373" s="169" t="s">
        <v>1056</v>
      </c>
      <c r="G373" s="169" t="s">
        <v>347</v>
      </c>
      <c r="H373" s="55" t="s">
        <v>637</v>
      </c>
      <c r="I373" s="79" t="s">
        <v>815</v>
      </c>
      <c r="J373" s="127" t="s">
        <v>1</v>
      </c>
      <c r="K373" s="127" t="s">
        <v>750</v>
      </c>
      <c r="L373" s="64" t="s">
        <v>856</v>
      </c>
      <c r="M373" s="55" t="s">
        <v>1612</v>
      </c>
      <c r="N373" s="282" t="s">
        <v>1215</v>
      </c>
      <c r="O373" s="238" t="s">
        <v>825</v>
      </c>
      <c r="P373" s="64" t="str">
        <f ca="1">IF(AND(OR(INDIRECT("K" &amp; ROW())="NAV-Premium",INDIRECT("K" &amp; ROW())="DA-Premium"),INDIRECT("M" &amp; ROW())="PARTITION_SCHEMA128__NavPiviJpn", INDIRECT("O" &amp; ROW())="JPN_SDB"),'SDB vs GN'!$B$41, IF(INDIRECT("H" &amp; ROW())="Chenc",'SDB vs GN'!$B$40, VLOOKUP(INDIRECT("O" &amp; ROW()),'SDB vs GN'!$A$16:$B$38,2,FALSE)))</f>
        <v>831_AUSKRJPN</v>
      </c>
      <c r="Q373" s="79" t="s">
        <v>396</v>
      </c>
      <c r="R373" s="64" t="s">
        <v>59</v>
      </c>
      <c r="S373" s="157" t="s">
        <v>10</v>
      </c>
      <c r="T373" s="79" t="s">
        <v>449</v>
      </c>
      <c r="U373" s="104" t="s">
        <v>816</v>
      </c>
      <c r="V373" s="172" t="s">
        <v>545</v>
      </c>
      <c r="W373" s="76" t="s">
        <v>447</v>
      </c>
      <c r="X373" s="64" t="s">
        <v>521</v>
      </c>
      <c r="Y373" s="282" t="s">
        <v>1286</v>
      </c>
      <c r="Z373" s="282" t="s">
        <v>1592</v>
      </c>
      <c r="AA373" s="37"/>
      <c r="AB373" s="131" t="s">
        <v>225</v>
      </c>
      <c r="AC373" s="72" t="s">
        <v>1543</v>
      </c>
      <c r="AD373" s="72" t="s">
        <v>888</v>
      </c>
      <c r="AE373" s="302"/>
      <c r="AF373" s="67"/>
      <c r="AG373" s="67"/>
      <c r="AH373" s="72" t="s">
        <v>1544</v>
      </c>
      <c r="AI373" s="24"/>
      <c r="AJ373" s="24"/>
      <c r="AK373" s="24"/>
      <c r="AL373" s="24"/>
    </row>
    <row r="374" spans="1:38" ht="66">
      <c r="A374" s="51">
        <v>365</v>
      </c>
      <c r="B374" s="81" t="str">
        <f t="shared" si="6"/>
        <v>016D</v>
      </c>
      <c r="C374" s="67" t="s">
        <v>1185</v>
      </c>
      <c r="D374" s="94" t="s">
        <v>104</v>
      </c>
      <c r="E374" s="314" t="s">
        <v>1233</v>
      </c>
      <c r="F374" s="169" t="s">
        <v>1056</v>
      </c>
      <c r="G374" s="169" t="s">
        <v>347</v>
      </c>
      <c r="H374" s="55" t="s">
        <v>637</v>
      </c>
      <c r="I374" s="79" t="s">
        <v>815</v>
      </c>
      <c r="J374" s="127" t="s">
        <v>1</v>
      </c>
      <c r="K374" s="127" t="s">
        <v>750</v>
      </c>
      <c r="L374" s="64" t="s">
        <v>856</v>
      </c>
      <c r="M374" s="55" t="s">
        <v>1612</v>
      </c>
      <c r="N374" s="282" t="s">
        <v>1215</v>
      </c>
      <c r="O374" s="238" t="s">
        <v>126</v>
      </c>
      <c r="P374" s="64" t="str">
        <f ca="1">IF(AND(OR(INDIRECT("K" &amp; ROW())="NAV-Premium",INDIRECT("K" &amp; ROW())="DA-Premium"),INDIRECT("M" &amp; ROW())="PARTITION_SCHEMA128__NavPiviJpn", INDIRECT("O" &amp; ROW())="JPN_SDB"),'SDB vs GN'!$B$41, IF(INDIRECT("H" &amp; ROW())="Chenc",'SDB vs GN'!$B$40, VLOOKUP(INDIRECT("O" &amp; ROW()),'SDB vs GN'!$A$16:$B$38,2,FALSE)))</f>
        <v>735_LA</v>
      </c>
      <c r="Q374" s="79" t="s">
        <v>396</v>
      </c>
      <c r="R374" s="64" t="s">
        <v>59</v>
      </c>
      <c r="S374" s="103" t="s">
        <v>10</v>
      </c>
      <c r="T374" s="64" t="s">
        <v>449</v>
      </c>
      <c r="U374" s="104" t="s">
        <v>816</v>
      </c>
      <c r="V374" s="172" t="s">
        <v>542</v>
      </c>
      <c r="W374" s="76" t="s">
        <v>447</v>
      </c>
      <c r="X374" s="64" t="s">
        <v>521</v>
      </c>
      <c r="Y374" s="282" t="s">
        <v>1286</v>
      </c>
      <c r="Z374" s="282" t="s">
        <v>1592</v>
      </c>
      <c r="AA374" s="96"/>
      <c r="AB374" s="131" t="s">
        <v>225</v>
      </c>
      <c r="AC374" s="67" t="s">
        <v>1545</v>
      </c>
      <c r="AD374" s="72" t="s">
        <v>888</v>
      </c>
      <c r="AE374" s="302"/>
      <c r="AF374" s="67"/>
      <c r="AG374" s="67"/>
      <c r="AH374" s="72" t="s">
        <v>1546</v>
      </c>
      <c r="AI374" s="24"/>
      <c r="AJ374" s="24"/>
      <c r="AK374" s="24"/>
      <c r="AL374" s="24"/>
    </row>
    <row r="375" spans="1:38" ht="66">
      <c r="A375" s="51">
        <v>366</v>
      </c>
      <c r="B375" s="81" t="str">
        <f t="shared" si="6"/>
        <v>016E</v>
      </c>
      <c r="C375" s="72" t="s">
        <v>1186</v>
      </c>
      <c r="D375" s="94" t="s">
        <v>104</v>
      </c>
      <c r="E375" s="314" t="s">
        <v>1233</v>
      </c>
      <c r="F375" s="169" t="s">
        <v>1056</v>
      </c>
      <c r="G375" s="169" t="s">
        <v>347</v>
      </c>
      <c r="H375" s="55" t="s">
        <v>637</v>
      </c>
      <c r="I375" s="79" t="s">
        <v>815</v>
      </c>
      <c r="J375" s="127" t="s">
        <v>1</v>
      </c>
      <c r="K375" s="127" t="s">
        <v>750</v>
      </c>
      <c r="L375" s="64" t="s">
        <v>856</v>
      </c>
      <c r="M375" s="55" t="s">
        <v>1612</v>
      </c>
      <c r="N375" s="282" t="s">
        <v>1215</v>
      </c>
      <c r="O375" s="238" t="s">
        <v>126</v>
      </c>
      <c r="P375" s="64" t="str">
        <f ca="1">IF(AND(OR(INDIRECT("K" &amp; ROW())="NAV-Premium",INDIRECT("K" &amp; ROW())="DA-Premium"),INDIRECT("M" &amp; ROW())="PARTITION_SCHEMA128__NavPiviJpn", INDIRECT("O" &amp; ROW())="JPN_SDB"),'SDB vs GN'!$B$41, IF(INDIRECT("H" &amp; ROW())="Chenc",'SDB vs GN'!$B$40, VLOOKUP(INDIRECT("O" &amp; ROW()),'SDB vs GN'!$A$16:$B$38,2,FALSE)))</f>
        <v>735_LA</v>
      </c>
      <c r="Q375" s="79" t="s">
        <v>396</v>
      </c>
      <c r="R375" s="64" t="s">
        <v>59</v>
      </c>
      <c r="S375" s="157" t="s">
        <v>10</v>
      </c>
      <c r="T375" s="79" t="s">
        <v>449</v>
      </c>
      <c r="U375" s="104" t="s">
        <v>816</v>
      </c>
      <c r="V375" s="172" t="s">
        <v>543</v>
      </c>
      <c r="W375" s="76" t="s">
        <v>447</v>
      </c>
      <c r="X375" s="64" t="s">
        <v>521</v>
      </c>
      <c r="Y375" s="282" t="s">
        <v>1286</v>
      </c>
      <c r="Z375" s="282" t="s">
        <v>1592</v>
      </c>
      <c r="AA375" s="37"/>
      <c r="AB375" s="131" t="s">
        <v>225</v>
      </c>
      <c r="AC375" s="72" t="s">
        <v>1547</v>
      </c>
      <c r="AD375" s="72" t="s">
        <v>888</v>
      </c>
      <c r="AE375" s="302"/>
      <c r="AF375" s="67"/>
      <c r="AG375" s="67"/>
      <c r="AH375" s="72" t="s">
        <v>1548</v>
      </c>
      <c r="AI375" s="24"/>
      <c r="AJ375" s="24"/>
      <c r="AK375" s="24"/>
      <c r="AL375" s="24"/>
    </row>
    <row r="376" spans="1:38">
      <c r="A376" s="51">
        <v>367</v>
      </c>
      <c r="B376" s="81" t="str">
        <f t="shared" si="6"/>
        <v>016F</v>
      </c>
      <c r="C376" s="67" t="s">
        <v>1102</v>
      </c>
      <c r="D376" s="94" t="s">
        <v>104</v>
      </c>
      <c r="E376" s="314" t="s">
        <v>1233</v>
      </c>
      <c r="F376" s="169" t="s">
        <v>1048</v>
      </c>
      <c r="G376" s="169" t="s">
        <v>347</v>
      </c>
      <c r="H376" s="55" t="s">
        <v>637</v>
      </c>
      <c r="I376" s="79" t="s">
        <v>815</v>
      </c>
      <c r="J376" s="127" t="s">
        <v>1</v>
      </c>
      <c r="K376" s="127" t="s">
        <v>750</v>
      </c>
      <c r="L376" s="79" t="s">
        <v>500</v>
      </c>
      <c r="M376" s="55" t="s">
        <v>1618</v>
      </c>
      <c r="N376" s="282" t="s">
        <v>1215</v>
      </c>
      <c r="O376" s="238" t="s">
        <v>826</v>
      </c>
      <c r="P376" s="64" t="str">
        <f ca="1">IF(AND(OR(INDIRECT("K" &amp; ROW())="NAV-Premium",INDIRECT("K" &amp; ROW())="DA-Premium"),INDIRECT("M" &amp; ROW())="PARTITION_SCHEMA128__NavPiviJpn", INDIRECT("O" &amp; ROW())="JPN_SDB"),'SDB vs GN'!$B$41, IF(INDIRECT("H" &amp; ROW())="Chenc",'SDB vs GN'!$B$40, VLOOKUP(INDIRECT("O" &amp; ROW()),'SDB vs GN'!$A$16:$B$38,2,FALSE)))</f>
        <v>731_EUR</v>
      </c>
      <c r="Q376" s="79" t="s">
        <v>396</v>
      </c>
      <c r="R376" s="64" t="s">
        <v>59</v>
      </c>
      <c r="S376" s="157" t="s">
        <v>10</v>
      </c>
      <c r="T376" s="64" t="s">
        <v>449</v>
      </c>
      <c r="U376" s="104" t="s">
        <v>816</v>
      </c>
      <c r="V376" s="326" t="s">
        <v>912</v>
      </c>
      <c r="W376" s="76" t="s">
        <v>447</v>
      </c>
      <c r="X376" s="64" t="s">
        <v>521</v>
      </c>
      <c r="Y376" s="282" t="s">
        <v>1286</v>
      </c>
      <c r="Z376" s="282" t="s">
        <v>1592</v>
      </c>
      <c r="AA376" s="96"/>
      <c r="AB376" s="131" t="s">
        <v>225</v>
      </c>
      <c r="AC376" s="72" t="s">
        <v>1091</v>
      </c>
      <c r="AD376" s="72" t="s">
        <v>808</v>
      </c>
      <c r="AE376" s="302"/>
      <c r="AF376" s="67"/>
      <c r="AG376" s="67"/>
      <c r="AH376" s="94" t="s">
        <v>1090</v>
      </c>
      <c r="AI376" s="24"/>
      <c r="AJ376" s="24"/>
      <c r="AK376" s="24"/>
      <c r="AL376" s="24"/>
    </row>
    <row r="377" spans="1:38" ht="52.8">
      <c r="A377" s="51">
        <v>368</v>
      </c>
      <c r="B377" s="81" t="str">
        <f t="shared" si="6"/>
        <v>0170</v>
      </c>
      <c r="C377" s="72" t="s">
        <v>1427</v>
      </c>
      <c r="D377" s="55" t="s">
        <v>704</v>
      </c>
      <c r="E377" s="282" t="s">
        <v>1233</v>
      </c>
      <c r="F377" s="178" t="s">
        <v>1044</v>
      </c>
      <c r="G377" s="178" t="s">
        <v>345</v>
      </c>
      <c r="H377" s="55" t="s">
        <v>637</v>
      </c>
      <c r="I377" s="79" t="s">
        <v>815</v>
      </c>
      <c r="J377" s="55" t="s">
        <v>0</v>
      </c>
      <c r="K377" s="55" t="s">
        <v>452</v>
      </c>
      <c r="L377" s="158" t="s">
        <v>499</v>
      </c>
      <c r="M377" s="55" t="s">
        <v>257</v>
      </c>
      <c r="N377" s="282" t="s">
        <v>1215</v>
      </c>
      <c r="O377" s="238" t="s">
        <v>84</v>
      </c>
      <c r="P377" s="64" t="str">
        <f ca="1">IF(AND(OR(INDIRECT("K" &amp; ROW())="NAV-Premium",INDIRECT("K" &amp; ROW())="DA-Premium"),INDIRECT("M" &amp; ROW())="PARTITION_SCHEMA128__NavPiviJpn", INDIRECT("O" &amp; ROW())="JPN_SDB"),'SDB vs GN'!$B$41, IF(INDIRECT("H" &amp; ROW())="Chenc",'SDB vs GN'!$B$40, VLOOKUP(INDIRECT("O" &amp; ROW()),'SDB vs GN'!$A$16:$B$38,2,FALSE)))</f>
        <v>727_NAM</v>
      </c>
      <c r="Q377" s="79" t="s">
        <v>396</v>
      </c>
      <c r="R377" s="64" t="s">
        <v>60</v>
      </c>
      <c r="S377" s="103" t="s">
        <v>10</v>
      </c>
      <c r="T377" s="79" t="s">
        <v>450</v>
      </c>
      <c r="U377" s="104" t="s">
        <v>816</v>
      </c>
      <c r="V377" s="173" t="s">
        <v>1131</v>
      </c>
      <c r="W377" s="76" t="s">
        <v>447</v>
      </c>
      <c r="X377" s="64" t="s">
        <v>522</v>
      </c>
      <c r="Y377" s="282" t="s">
        <v>1286</v>
      </c>
      <c r="Z377" s="282" t="s">
        <v>1592</v>
      </c>
      <c r="AA377" s="96"/>
      <c r="AB377" s="131" t="s">
        <v>225</v>
      </c>
      <c r="AC377" s="67" t="s">
        <v>1109</v>
      </c>
      <c r="AD377" s="67" t="s">
        <v>808</v>
      </c>
      <c r="AE377" s="302"/>
      <c r="AF377" s="67"/>
      <c r="AG377" s="67"/>
      <c r="AH377" s="67" t="s">
        <v>1110</v>
      </c>
      <c r="AI377" s="24"/>
      <c r="AJ377" s="24"/>
      <c r="AK377" s="24"/>
      <c r="AL377" s="24"/>
    </row>
    <row r="378" spans="1:38" ht="52.8">
      <c r="A378" s="51">
        <v>369</v>
      </c>
      <c r="B378" s="81" t="str">
        <f t="shared" si="6"/>
        <v>0171</v>
      </c>
      <c r="C378" s="67" t="s">
        <v>2349</v>
      </c>
      <c r="D378" s="94" t="s">
        <v>136</v>
      </c>
      <c r="E378" s="314" t="s">
        <v>1233</v>
      </c>
      <c r="F378" s="177" t="s">
        <v>1046</v>
      </c>
      <c r="G378" s="177" t="s">
        <v>344</v>
      </c>
      <c r="H378" s="55" t="s">
        <v>637</v>
      </c>
      <c r="I378" s="94" t="s">
        <v>4</v>
      </c>
      <c r="J378" s="55" t="s">
        <v>0</v>
      </c>
      <c r="K378" s="55" t="s">
        <v>451</v>
      </c>
      <c r="L378" s="158" t="s">
        <v>499</v>
      </c>
      <c r="M378" s="55" t="s">
        <v>255</v>
      </c>
      <c r="N378" s="282" t="s">
        <v>1215</v>
      </c>
      <c r="O378" s="238" t="s">
        <v>84</v>
      </c>
      <c r="P378" s="64" t="str">
        <f ca="1">IF(AND(OR(INDIRECT("K" &amp; ROW())="NAV-Premium",INDIRECT("K" &amp; ROW())="DA-Premium"),INDIRECT("M" &amp; ROW())="PARTITION_SCHEMA128__NavPiviJpn", INDIRECT("O" &amp; ROW())="JPN_SDB"),'SDB vs GN'!$B$41, IF(INDIRECT("H" &amp; ROW())="Chenc",'SDB vs GN'!$B$40, VLOOKUP(INDIRECT("O" &amp; ROW()),'SDB vs GN'!$A$16:$B$38,2,FALSE)))</f>
        <v>727_NAM</v>
      </c>
      <c r="Q378" s="79" t="s">
        <v>396</v>
      </c>
      <c r="R378" s="64" t="s">
        <v>59</v>
      </c>
      <c r="S378" s="103" t="s">
        <v>10</v>
      </c>
      <c r="T378" s="79" t="s">
        <v>450</v>
      </c>
      <c r="U378" s="104" t="s">
        <v>816</v>
      </c>
      <c r="V378" s="172" t="s">
        <v>7</v>
      </c>
      <c r="W378" s="76" t="s">
        <v>2184</v>
      </c>
      <c r="X378" s="64" t="s">
        <v>522</v>
      </c>
      <c r="Y378" s="282" t="s">
        <v>1286</v>
      </c>
      <c r="Z378" s="282" t="s">
        <v>1592</v>
      </c>
      <c r="AA378" s="96"/>
      <c r="AB378" s="131" t="s">
        <v>225</v>
      </c>
      <c r="AC378" s="72" t="s">
        <v>1111</v>
      </c>
      <c r="AD378" s="72" t="s">
        <v>808</v>
      </c>
      <c r="AE378" s="302"/>
      <c r="AF378" s="67"/>
      <c r="AG378" s="67"/>
      <c r="AH378" s="67" t="s">
        <v>1112</v>
      </c>
      <c r="AI378" s="24"/>
      <c r="AJ378" s="24"/>
      <c r="AK378" s="24"/>
      <c r="AL378" s="24"/>
    </row>
    <row r="379" spans="1:38" ht="26.4">
      <c r="A379" s="51">
        <v>370</v>
      </c>
      <c r="B379" s="81" t="str">
        <f t="shared" si="6"/>
        <v>0172</v>
      </c>
      <c r="C379" s="72" t="s">
        <v>1106</v>
      </c>
      <c r="D379" s="55" t="s">
        <v>704</v>
      </c>
      <c r="E379" s="282" t="s">
        <v>1233</v>
      </c>
      <c r="F379" s="178" t="s">
        <v>1044</v>
      </c>
      <c r="G379" s="178" t="s">
        <v>345</v>
      </c>
      <c r="H379" s="55" t="s">
        <v>637</v>
      </c>
      <c r="I379" s="79" t="s">
        <v>815</v>
      </c>
      <c r="J379" s="55" t="s">
        <v>0</v>
      </c>
      <c r="K379" s="55" t="s">
        <v>452</v>
      </c>
      <c r="L379" s="158" t="s">
        <v>499</v>
      </c>
      <c r="M379" s="55" t="s">
        <v>257</v>
      </c>
      <c r="N379" s="282" t="s">
        <v>1215</v>
      </c>
      <c r="O379" s="238" t="s">
        <v>84</v>
      </c>
      <c r="P379" s="64" t="str">
        <f ca="1">IF(AND(OR(INDIRECT("K" &amp; ROW())="NAV-Premium",INDIRECT("K" &amp; ROW())="DA-Premium"),INDIRECT("M" &amp; ROW())="PARTITION_SCHEMA128__NavPiviJpn", INDIRECT("O" &amp; ROW())="JPN_SDB"),'SDB vs GN'!$B$41, IF(INDIRECT("H" &amp; ROW())="Chenc",'SDB vs GN'!$B$40, VLOOKUP(INDIRECT("O" &amp; ROW()),'SDB vs GN'!$A$16:$B$38,2,FALSE)))</f>
        <v>727_NAM</v>
      </c>
      <c r="Q379" s="79" t="s">
        <v>396</v>
      </c>
      <c r="R379" s="64" t="s">
        <v>60</v>
      </c>
      <c r="S379" s="103" t="s">
        <v>10</v>
      </c>
      <c r="T379" s="64" t="s">
        <v>449</v>
      </c>
      <c r="U379" s="104" t="s">
        <v>816</v>
      </c>
      <c r="V379" s="173" t="s">
        <v>1131</v>
      </c>
      <c r="W379" s="76" t="s">
        <v>447</v>
      </c>
      <c r="X379" s="64" t="s">
        <v>522</v>
      </c>
      <c r="Y379" s="282" t="s">
        <v>1286</v>
      </c>
      <c r="Z379" s="282" t="s">
        <v>1592</v>
      </c>
      <c r="AA379" s="96"/>
      <c r="AB379" s="131" t="s">
        <v>225</v>
      </c>
      <c r="AC379" s="67" t="s">
        <v>1113</v>
      </c>
      <c r="AD379" s="72" t="s">
        <v>808</v>
      </c>
      <c r="AE379" s="302"/>
      <c r="AF379" s="67"/>
      <c r="AG379" s="67"/>
      <c r="AH379" s="67" t="s">
        <v>1114</v>
      </c>
      <c r="AI379" s="24"/>
      <c r="AJ379" s="24"/>
      <c r="AK379" s="24"/>
      <c r="AL379" s="24"/>
    </row>
    <row r="380" spans="1:38" ht="211.2">
      <c r="A380" s="51">
        <v>371</v>
      </c>
      <c r="B380" s="81" t="str">
        <f t="shared" si="6"/>
        <v>0173</v>
      </c>
      <c r="C380" s="67" t="s">
        <v>937</v>
      </c>
      <c r="D380" s="55" t="s">
        <v>704</v>
      </c>
      <c r="E380" s="282" t="s">
        <v>1233</v>
      </c>
      <c r="F380" s="178" t="s">
        <v>1044</v>
      </c>
      <c r="G380" s="178" t="s">
        <v>345</v>
      </c>
      <c r="H380" s="55" t="s">
        <v>637</v>
      </c>
      <c r="I380" s="79" t="s">
        <v>815</v>
      </c>
      <c r="J380" s="55" t="s">
        <v>0</v>
      </c>
      <c r="K380" s="55" t="s">
        <v>452</v>
      </c>
      <c r="L380" s="158" t="s">
        <v>499</v>
      </c>
      <c r="M380" s="55" t="s">
        <v>257</v>
      </c>
      <c r="N380" s="282" t="s">
        <v>1215</v>
      </c>
      <c r="O380" s="238" t="s">
        <v>84</v>
      </c>
      <c r="P380" s="64" t="str">
        <f ca="1">IF(AND(OR(INDIRECT("K" &amp; ROW())="NAV-Premium",INDIRECT("K" &amp; ROW())="DA-Premium"),INDIRECT("M" &amp; ROW())="PARTITION_SCHEMA128__NavPiviJpn", INDIRECT("O" &amp; ROW())="JPN_SDB"),'SDB vs GN'!$B$41, IF(INDIRECT("H" &amp; ROW())="Chenc",'SDB vs GN'!$B$40, VLOOKUP(INDIRECT("O" &amp; ROW()),'SDB vs GN'!$A$16:$B$38,2,FALSE)))</f>
        <v>727_NAM</v>
      </c>
      <c r="Q380" s="79" t="s">
        <v>396</v>
      </c>
      <c r="R380" s="64" t="s">
        <v>60</v>
      </c>
      <c r="S380" s="103" t="s">
        <v>10</v>
      </c>
      <c r="T380" s="64" t="s">
        <v>449</v>
      </c>
      <c r="U380" s="104" t="s">
        <v>816</v>
      </c>
      <c r="V380" s="173" t="s">
        <v>1131</v>
      </c>
      <c r="W380" s="76" t="s">
        <v>447</v>
      </c>
      <c r="X380" s="64" t="s">
        <v>521</v>
      </c>
      <c r="Y380" s="282" t="s">
        <v>1286</v>
      </c>
      <c r="Z380" s="282" t="s">
        <v>1592</v>
      </c>
      <c r="AA380" s="96"/>
      <c r="AB380" s="131" t="s">
        <v>225</v>
      </c>
      <c r="AC380" s="72" t="s">
        <v>2512</v>
      </c>
      <c r="AD380" s="72" t="s">
        <v>808</v>
      </c>
      <c r="AE380" s="302"/>
      <c r="AF380" s="67"/>
      <c r="AG380" s="67"/>
      <c r="AH380" s="67" t="s">
        <v>2511</v>
      </c>
      <c r="AI380" s="24"/>
      <c r="AJ380" s="24"/>
      <c r="AK380" s="24"/>
      <c r="AL380" s="24"/>
    </row>
    <row r="381" spans="1:38" ht="145.19999999999999">
      <c r="A381" s="51">
        <v>372</v>
      </c>
      <c r="B381" s="81" t="str">
        <f t="shared" si="6"/>
        <v>0174</v>
      </c>
      <c r="C381" s="226" t="s">
        <v>1117</v>
      </c>
      <c r="D381" s="55" t="s">
        <v>704</v>
      </c>
      <c r="E381" s="282" t="s">
        <v>1233</v>
      </c>
      <c r="F381" s="178" t="s">
        <v>1044</v>
      </c>
      <c r="G381" s="178" t="s">
        <v>345</v>
      </c>
      <c r="H381" s="55" t="s">
        <v>637</v>
      </c>
      <c r="I381" s="79" t="s">
        <v>815</v>
      </c>
      <c r="J381" s="55" t="s">
        <v>0</v>
      </c>
      <c r="K381" s="55" t="s">
        <v>452</v>
      </c>
      <c r="L381" s="158" t="s">
        <v>499</v>
      </c>
      <c r="M381" s="55" t="s">
        <v>254</v>
      </c>
      <c r="N381" s="282" t="s">
        <v>1215</v>
      </c>
      <c r="O381" s="238" t="s">
        <v>97</v>
      </c>
      <c r="P381" s="64" t="str">
        <f ca="1">IF(AND(OR(INDIRECT("K" &amp; ROW())="NAV-Premium",INDIRECT("K" &amp; ROW())="DA-Premium"),INDIRECT("M" &amp; ROW())="PARTITION_SCHEMA128__NavPiviJpn", INDIRECT("O" &amp; ROW())="JPN_SDB"),'SDB vs GN'!$B$41, IF(INDIRECT("H" &amp; ROW())="Chenc",'SDB vs GN'!$B$40, VLOOKUP(INDIRECT("O" &amp; ROW()),'SDB vs GN'!$A$16:$B$38,2,FALSE)))</f>
        <v>734_CN_831_AUSKRJPN</v>
      </c>
      <c r="Q381" s="79" t="s">
        <v>396</v>
      </c>
      <c r="R381" s="135" t="s">
        <v>59</v>
      </c>
      <c r="S381" s="103" t="s">
        <v>10</v>
      </c>
      <c r="T381" s="64" t="s">
        <v>449</v>
      </c>
      <c r="U381" s="104" t="s">
        <v>816</v>
      </c>
      <c r="V381" s="172" t="s">
        <v>1115</v>
      </c>
      <c r="W381" s="76" t="s">
        <v>447</v>
      </c>
      <c r="X381" s="64" t="s">
        <v>521</v>
      </c>
      <c r="Y381" s="282" t="s">
        <v>1286</v>
      </c>
      <c r="Z381" s="282" t="s">
        <v>1592</v>
      </c>
      <c r="AA381" s="96"/>
      <c r="AB381" s="131" t="s">
        <v>225</v>
      </c>
      <c r="AC381" s="226" t="s">
        <v>2123</v>
      </c>
      <c r="AD381" s="72" t="s">
        <v>808</v>
      </c>
      <c r="AE381" s="302"/>
      <c r="AF381" s="67"/>
      <c r="AG381" s="67"/>
      <c r="AH381" s="261" t="s">
        <v>2124</v>
      </c>
      <c r="AI381" s="24"/>
      <c r="AJ381" s="24"/>
      <c r="AK381" s="24"/>
      <c r="AL381" s="24"/>
    </row>
    <row r="382" spans="1:38" ht="66">
      <c r="A382" s="51">
        <v>373</v>
      </c>
      <c r="B382" s="81" t="str">
        <f t="shared" si="6"/>
        <v>0175</v>
      </c>
      <c r="C382" s="67" t="s">
        <v>1474</v>
      </c>
      <c r="D382" s="94" t="s">
        <v>136</v>
      </c>
      <c r="E382" s="314" t="s">
        <v>1233</v>
      </c>
      <c r="F382" s="177" t="s">
        <v>1046</v>
      </c>
      <c r="G382" s="177" t="s">
        <v>344</v>
      </c>
      <c r="H382" s="55" t="s">
        <v>637</v>
      </c>
      <c r="I382" s="94" t="s">
        <v>4</v>
      </c>
      <c r="J382" s="55" t="s">
        <v>0</v>
      </c>
      <c r="K382" s="55" t="s">
        <v>451</v>
      </c>
      <c r="L382" s="94" t="s">
        <v>1271</v>
      </c>
      <c r="M382" s="55" t="s">
        <v>255</v>
      </c>
      <c r="N382" s="282" t="s">
        <v>1215</v>
      </c>
      <c r="O382" s="237" t="s">
        <v>781</v>
      </c>
      <c r="P382" s="64" t="str">
        <f ca="1">IF(AND(OR(INDIRECT("K" &amp; ROW())="NAV-Premium",INDIRECT("K" &amp; ROW())="DA-Premium"),INDIRECT("M" &amp; ROW())="PARTITION_SCHEMA128__NavPiviJpn", INDIRECT("O" &amp; ROW())="JPN_SDB"),'SDB vs GN'!$B$41, IF(INDIRECT("H" &amp; ROW())="Chenc",'SDB vs GN'!$B$40, VLOOKUP(INDIRECT("O" &amp; ROW()),'SDB vs GN'!$A$16:$B$38,2,FALSE)))</f>
        <v>731_EUR</v>
      </c>
      <c r="Q382" s="79" t="s">
        <v>396</v>
      </c>
      <c r="R382" s="135" t="s">
        <v>59</v>
      </c>
      <c r="S382" s="103" t="s">
        <v>10</v>
      </c>
      <c r="T382" s="64" t="s">
        <v>449</v>
      </c>
      <c r="U382" s="104" t="s">
        <v>816</v>
      </c>
      <c r="V382" s="172" t="s">
        <v>7</v>
      </c>
      <c r="W382" s="76" t="s">
        <v>2184</v>
      </c>
      <c r="X382" s="64" t="s">
        <v>521</v>
      </c>
      <c r="Y382" s="282" t="s">
        <v>1286</v>
      </c>
      <c r="Z382" s="282" t="s">
        <v>1592</v>
      </c>
      <c r="AA382" s="96"/>
      <c r="AB382" s="131" t="s">
        <v>225</v>
      </c>
      <c r="AC382" s="72" t="s">
        <v>1386</v>
      </c>
      <c r="AD382" s="72" t="s">
        <v>808</v>
      </c>
      <c r="AE382" s="302"/>
      <c r="AF382" s="67"/>
      <c r="AG382" s="67"/>
      <c r="AH382" s="67" t="s">
        <v>1387</v>
      </c>
      <c r="AI382" s="24"/>
      <c r="AJ382" s="24"/>
      <c r="AK382" s="24"/>
      <c r="AL382" s="24"/>
    </row>
    <row r="383" spans="1:38" ht="105.6">
      <c r="A383" s="51">
        <v>374</v>
      </c>
      <c r="B383" s="81" t="str">
        <f t="shared" si="6"/>
        <v>0176</v>
      </c>
      <c r="C383" s="226" t="s">
        <v>1134</v>
      </c>
      <c r="D383" s="55" t="s">
        <v>704</v>
      </c>
      <c r="E383" s="282" t="s">
        <v>1233</v>
      </c>
      <c r="F383" s="178" t="s">
        <v>1044</v>
      </c>
      <c r="G383" s="178" t="s">
        <v>345</v>
      </c>
      <c r="H383" s="55" t="s">
        <v>637</v>
      </c>
      <c r="I383" s="79" t="s">
        <v>815</v>
      </c>
      <c r="J383" s="55" t="s">
        <v>0</v>
      </c>
      <c r="K383" s="55" t="s">
        <v>452</v>
      </c>
      <c r="L383" s="158" t="s">
        <v>499</v>
      </c>
      <c r="M383" s="55" t="s">
        <v>254</v>
      </c>
      <c r="N383" s="282" t="s">
        <v>1215</v>
      </c>
      <c r="O383" s="238" t="s">
        <v>126</v>
      </c>
      <c r="P383" s="64" t="str">
        <f ca="1">IF(AND(OR(INDIRECT("K" &amp; ROW())="NAV-Premium",INDIRECT("K" &amp; ROW())="DA-Premium"),INDIRECT("M" &amp; ROW())="PARTITION_SCHEMA128__NavPiviJpn", INDIRECT("O" &amp; ROW())="JPN_SDB"),'SDB vs GN'!$B$41, IF(INDIRECT("H" &amp; ROW())="Chenc",'SDB vs GN'!$B$40, VLOOKUP(INDIRECT("O" &amp; ROW()),'SDB vs GN'!$A$16:$B$38,2,FALSE)))</f>
        <v>735_LA</v>
      </c>
      <c r="Q383" s="79" t="s">
        <v>396</v>
      </c>
      <c r="R383" s="135" t="s">
        <v>59</v>
      </c>
      <c r="S383" s="103" t="s">
        <v>10</v>
      </c>
      <c r="T383" s="64" t="s">
        <v>449</v>
      </c>
      <c r="U383" s="104" t="s">
        <v>816</v>
      </c>
      <c r="V383" s="172" t="s">
        <v>1133</v>
      </c>
      <c r="W383" s="76" t="s">
        <v>447</v>
      </c>
      <c r="X383" s="64" t="s">
        <v>521</v>
      </c>
      <c r="Y383" s="282" t="s">
        <v>1286</v>
      </c>
      <c r="Z383" s="282" t="s">
        <v>1592</v>
      </c>
      <c r="AA383" s="96"/>
      <c r="AB383" s="131" t="s">
        <v>225</v>
      </c>
      <c r="AC383" s="72" t="s">
        <v>2112</v>
      </c>
      <c r="AD383" s="72" t="s">
        <v>808</v>
      </c>
      <c r="AE383" s="302"/>
      <c r="AF383" s="67"/>
      <c r="AG383" s="67"/>
      <c r="AH383" s="67" t="s">
        <v>2351</v>
      </c>
      <c r="AI383" s="24"/>
      <c r="AJ383" s="24"/>
      <c r="AK383" s="24"/>
      <c r="AL383" s="24"/>
    </row>
    <row r="384" spans="1:38" ht="39.6">
      <c r="A384" s="51">
        <v>375</v>
      </c>
      <c r="B384" s="81" t="str">
        <f t="shared" si="6"/>
        <v>0177</v>
      </c>
      <c r="C384" s="72" t="s">
        <v>1158</v>
      </c>
      <c r="D384" s="94" t="s">
        <v>136</v>
      </c>
      <c r="E384" s="314" t="s">
        <v>1233</v>
      </c>
      <c r="F384" s="118" t="s">
        <v>1057</v>
      </c>
      <c r="G384" s="118" t="s">
        <v>760</v>
      </c>
      <c r="H384" s="55" t="s">
        <v>637</v>
      </c>
      <c r="I384" s="94" t="s">
        <v>4</v>
      </c>
      <c r="J384" s="127" t="s">
        <v>1</v>
      </c>
      <c r="K384" s="79" t="s">
        <v>752</v>
      </c>
      <c r="L384" s="64" t="s">
        <v>856</v>
      </c>
      <c r="M384" s="55" t="s">
        <v>1610</v>
      </c>
      <c r="N384" s="282" t="s">
        <v>1215</v>
      </c>
      <c r="O384" s="239" t="s">
        <v>53</v>
      </c>
      <c r="P384" s="64" t="str">
        <f ca="1">IF(AND(OR(INDIRECT("K" &amp; ROW())="NAV-Premium",INDIRECT("K" &amp; ROW())="DA-Premium"),INDIRECT("M" &amp; ROW())="PARTITION_SCHEMA128__NavPiviJpn", INDIRECT("O" &amp; ROW())="JPN_SDB"),'SDB vs GN'!$B$41, IF(INDIRECT("H" &amp; ROW())="Chenc",'SDB vs GN'!$B$40, VLOOKUP(INDIRECT("O" &amp; ROW()),'SDB vs GN'!$A$16:$B$38,2,FALSE)))</f>
        <v>No_Gracenote</v>
      </c>
      <c r="Q384" s="79" t="s">
        <v>396</v>
      </c>
      <c r="R384" s="238" t="s">
        <v>248</v>
      </c>
      <c r="S384" s="157" t="s">
        <v>10</v>
      </c>
      <c r="T384" s="64" t="s">
        <v>449</v>
      </c>
      <c r="U384" s="104" t="s">
        <v>816</v>
      </c>
      <c r="V384" s="172" t="s">
        <v>7</v>
      </c>
      <c r="W384" s="76" t="s">
        <v>447</v>
      </c>
      <c r="X384" s="64" t="s">
        <v>521</v>
      </c>
      <c r="Y384" s="282" t="s">
        <v>1286</v>
      </c>
      <c r="Z384" s="282" t="s">
        <v>1592</v>
      </c>
      <c r="AA384" s="96"/>
      <c r="AB384" s="131" t="s">
        <v>225</v>
      </c>
      <c r="AC384" s="72" t="s">
        <v>1509</v>
      </c>
      <c r="AD384" s="72" t="s">
        <v>888</v>
      </c>
      <c r="AE384" s="302"/>
      <c r="AF384" s="67"/>
      <c r="AG384" s="67"/>
      <c r="AH384" s="67" t="s">
        <v>1510</v>
      </c>
      <c r="AI384" s="24"/>
      <c r="AJ384" s="24"/>
      <c r="AK384" s="24"/>
      <c r="AL384" s="24"/>
    </row>
    <row r="385" spans="1:38" ht="105.6">
      <c r="A385" s="51">
        <v>376</v>
      </c>
      <c r="B385" s="81" t="str">
        <f t="shared" si="6"/>
        <v>0178</v>
      </c>
      <c r="C385" s="67" t="s">
        <v>1162</v>
      </c>
      <c r="D385" s="55" t="s">
        <v>704</v>
      </c>
      <c r="E385" s="282" t="s">
        <v>1233</v>
      </c>
      <c r="F385" s="169" t="s">
        <v>1056</v>
      </c>
      <c r="G385" s="169" t="s">
        <v>347</v>
      </c>
      <c r="H385" s="55" t="s">
        <v>637</v>
      </c>
      <c r="I385" s="79" t="s">
        <v>815</v>
      </c>
      <c r="J385" s="127" t="s">
        <v>1</v>
      </c>
      <c r="K385" s="127" t="s">
        <v>748</v>
      </c>
      <c r="L385" s="64" t="s">
        <v>856</v>
      </c>
      <c r="M385" s="55" t="s">
        <v>1612</v>
      </c>
      <c r="N385" s="282" t="s">
        <v>1215</v>
      </c>
      <c r="O385" s="238" t="s">
        <v>825</v>
      </c>
      <c r="P385" s="64" t="str">
        <f ca="1">IF(AND(OR(INDIRECT("K" &amp; ROW())="NAV-Premium",INDIRECT("K" &amp; ROW())="DA-Premium"),INDIRECT("M" &amp; ROW())="PARTITION_SCHEMA128__NavPiviJpn", INDIRECT("O" &amp; ROW())="JPN_SDB"),'SDB vs GN'!$B$41, IF(INDIRECT("H" &amp; ROW())="Chenc",'SDB vs GN'!$B$40, VLOOKUP(INDIRECT("O" &amp; ROW()),'SDB vs GN'!$A$16:$B$38,2,FALSE)))</f>
        <v>831_AUSKRJPN</v>
      </c>
      <c r="Q385" s="79" t="s">
        <v>396</v>
      </c>
      <c r="R385" s="156" t="s">
        <v>61</v>
      </c>
      <c r="S385" s="157" t="s">
        <v>10</v>
      </c>
      <c r="T385" s="64" t="s">
        <v>449</v>
      </c>
      <c r="U385" s="104" t="s">
        <v>816</v>
      </c>
      <c r="V385" s="172" t="s">
        <v>544</v>
      </c>
      <c r="W385" s="76" t="s">
        <v>447</v>
      </c>
      <c r="X385" s="64" t="s">
        <v>521</v>
      </c>
      <c r="Y385" s="282" t="s">
        <v>1286</v>
      </c>
      <c r="Z385" s="282" t="s">
        <v>1592</v>
      </c>
      <c r="AA385" s="96"/>
      <c r="AB385" s="131" t="s">
        <v>225</v>
      </c>
      <c r="AC385" s="72" t="s">
        <v>2607</v>
      </c>
      <c r="AD385" s="72" t="s">
        <v>888</v>
      </c>
      <c r="AE385" s="302"/>
      <c r="AF385" s="67"/>
      <c r="AG385" s="67"/>
      <c r="AH385" s="261" t="s">
        <v>2606</v>
      </c>
      <c r="AI385" s="24"/>
      <c r="AJ385" s="24"/>
      <c r="AK385" s="24"/>
      <c r="AL385" s="24"/>
    </row>
    <row r="386" spans="1:38" ht="105.6">
      <c r="A386" s="51">
        <v>377</v>
      </c>
      <c r="B386" s="81" t="str">
        <f t="shared" si="6"/>
        <v>0179</v>
      </c>
      <c r="C386" s="72" t="s">
        <v>1161</v>
      </c>
      <c r="D386" s="55" t="s">
        <v>704</v>
      </c>
      <c r="E386" s="282" t="s">
        <v>1233</v>
      </c>
      <c r="F386" s="169" t="s">
        <v>1056</v>
      </c>
      <c r="G386" s="169" t="s">
        <v>347</v>
      </c>
      <c r="H386" s="55" t="s">
        <v>637</v>
      </c>
      <c r="I386" s="79" t="s">
        <v>815</v>
      </c>
      <c r="J386" s="127" t="s">
        <v>1</v>
      </c>
      <c r="K386" s="127" t="s">
        <v>748</v>
      </c>
      <c r="L386" s="64" t="s">
        <v>856</v>
      </c>
      <c r="M386" s="55" t="s">
        <v>1612</v>
      </c>
      <c r="N386" s="282" t="s">
        <v>1215</v>
      </c>
      <c r="O386" s="238" t="s">
        <v>825</v>
      </c>
      <c r="P386" s="64" t="str">
        <f ca="1">IF(AND(OR(INDIRECT("K" &amp; ROW())="NAV-Premium",INDIRECT("K" &amp; ROW())="DA-Premium"),INDIRECT("M" &amp; ROW())="PARTITION_SCHEMA128__NavPiviJpn", INDIRECT("O" &amp; ROW())="JPN_SDB"),'SDB vs GN'!$B$41, IF(INDIRECT("H" &amp; ROW())="Chenc",'SDB vs GN'!$B$40, VLOOKUP(INDIRECT("O" &amp; ROW()),'SDB vs GN'!$A$16:$B$38,2,FALSE)))</f>
        <v>831_AUSKRJPN</v>
      </c>
      <c r="Q386" s="79" t="s">
        <v>396</v>
      </c>
      <c r="R386" s="64" t="s">
        <v>59</v>
      </c>
      <c r="S386" s="157" t="s">
        <v>10</v>
      </c>
      <c r="T386" s="64" t="s">
        <v>449</v>
      </c>
      <c r="U386" s="104" t="s">
        <v>816</v>
      </c>
      <c r="V386" s="172" t="s">
        <v>770</v>
      </c>
      <c r="W386" s="76" t="s">
        <v>447</v>
      </c>
      <c r="X386" s="64" t="s">
        <v>521</v>
      </c>
      <c r="Y386" s="282" t="s">
        <v>1286</v>
      </c>
      <c r="Z386" s="282" t="s">
        <v>1592</v>
      </c>
      <c r="AA386" s="96"/>
      <c r="AB386" s="131" t="s">
        <v>225</v>
      </c>
      <c r="AC386" s="224" t="s">
        <v>2603</v>
      </c>
      <c r="AD386" s="72" t="s">
        <v>888</v>
      </c>
      <c r="AE386" s="302"/>
      <c r="AF386" s="67"/>
      <c r="AG386" s="67"/>
      <c r="AH386" s="67" t="s">
        <v>2602</v>
      </c>
      <c r="AI386" s="24"/>
      <c r="AJ386" s="24"/>
      <c r="AK386" s="24"/>
      <c r="AL386" s="24"/>
    </row>
    <row r="387" spans="1:38" ht="52.8">
      <c r="A387" s="51">
        <v>378</v>
      </c>
      <c r="B387" s="81" t="str">
        <f t="shared" si="6"/>
        <v>017A</v>
      </c>
      <c r="C387" s="67" t="s">
        <v>1163</v>
      </c>
      <c r="D387" s="55" t="s">
        <v>704</v>
      </c>
      <c r="E387" s="282" t="s">
        <v>1233</v>
      </c>
      <c r="F387" s="169" t="s">
        <v>1056</v>
      </c>
      <c r="G387" s="169" t="s">
        <v>347</v>
      </c>
      <c r="H387" s="55" t="s">
        <v>637</v>
      </c>
      <c r="I387" s="79" t="s">
        <v>815</v>
      </c>
      <c r="J387" s="127" t="s">
        <v>1</v>
      </c>
      <c r="K387" s="127" t="s">
        <v>748</v>
      </c>
      <c r="L387" s="64" t="s">
        <v>856</v>
      </c>
      <c r="M387" s="55" t="s">
        <v>1612</v>
      </c>
      <c r="N387" s="282" t="s">
        <v>1215</v>
      </c>
      <c r="O387" s="238" t="s">
        <v>97</v>
      </c>
      <c r="P387" s="64" t="str">
        <f ca="1">IF(AND(OR(INDIRECT("K" &amp; ROW())="NAV-Premium",INDIRECT("K" &amp; ROW())="DA-Premium"),INDIRECT("M" &amp; ROW())="PARTITION_SCHEMA128__NavPiviJpn", INDIRECT("O" &amp; ROW())="JPN_SDB"),'SDB vs GN'!$B$41, IF(INDIRECT("H" &amp; ROW())="Chenc",'SDB vs GN'!$B$40, VLOOKUP(INDIRECT("O" &amp; ROW()),'SDB vs GN'!$A$16:$B$38,2,FALSE)))</f>
        <v>734_CN_831_AUSKRJPN</v>
      </c>
      <c r="Q387" s="79" t="s">
        <v>396</v>
      </c>
      <c r="R387" s="64" t="s">
        <v>59</v>
      </c>
      <c r="S387" s="157" t="s">
        <v>10</v>
      </c>
      <c r="T387" s="64" t="s">
        <v>449</v>
      </c>
      <c r="U387" s="104" t="s">
        <v>816</v>
      </c>
      <c r="V387" s="101" t="s">
        <v>551</v>
      </c>
      <c r="W387" s="76" t="s">
        <v>447</v>
      </c>
      <c r="X387" s="64" t="s">
        <v>521</v>
      </c>
      <c r="Y387" s="282" t="s">
        <v>1286</v>
      </c>
      <c r="Z387" s="282" t="s">
        <v>1592</v>
      </c>
      <c r="AA387" s="96"/>
      <c r="AB387" s="131" t="s">
        <v>225</v>
      </c>
      <c r="AC387" s="67" t="s">
        <v>1511</v>
      </c>
      <c r="AD387" s="72" t="s">
        <v>888</v>
      </c>
      <c r="AE387" s="302"/>
      <c r="AF387" s="67"/>
      <c r="AG387" s="67"/>
      <c r="AH387" s="72" t="s">
        <v>1512</v>
      </c>
      <c r="AI387" s="24"/>
      <c r="AJ387" s="24"/>
      <c r="AK387" s="24"/>
      <c r="AL387" s="24"/>
    </row>
    <row r="388" spans="1:38" ht="105.6">
      <c r="A388" s="51">
        <v>379</v>
      </c>
      <c r="B388" s="81" t="str">
        <f t="shared" ref="B388:B425" si="7">DEC2HEX(A388,4)</f>
        <v>017B</v>
      </c>
      <c r="C388" s="72" t="s">
        <v>1160</v>
      </c>
      <c r="D388" s="55" t="s">
        <v>704</v>
      </c>
      <c r="E388" s="282" t="s">
        <v>1233</v>
      </c>
      <c r="F388" s="169" t="s">
        <v>1056</v>
      </c>
      <c r="G388" s="169" t="s">
        <v>347</v>
      </c>
      <c r="H388" s="55" t="s">
        <v>637</v>
      </c>
      <c r="I388" s="79" t="s">
        <v>815</v>
      </c>
      <c r="J388" s="127" t="s">
        <v>1</v>
      </c>
      <c r="K388" s="127" t="s">
        <v>748</v>
      </c>
      <c r="L388" s="64" t="s">
        <v>856</v>
      </c>
      <c r="M388" s="55" t="s">
        <v>1612</v>
      </c>
      <c r="N388" s="282" t="s">
        <v>1215</v>
      </c>
      <c r="O388" s="238" t="s">
        <v>825</v>
      </c>
      <c r="P388" s="64" t="str">
        <f ca="1">IF(AND(OR(INDIRECT("K" &amp; ROW())="NAV-Premium",INDIRECT("K" &amp; ROW())="DA-Premium"),INDIRECT("M" &amp; ROW())="PARTITION_SCHEMA128__NavPiviJpn", INDIRECT("O" &amp; ROW())="JPN_SDB"),'SDB vs GN'!$B$41, IF(INDIRECT("H" &amp; ROW())="Chenc",'SDB vs GN'!$B$40, VLOOKUP(INDIRECT("O" &amp; ROW()),'SDB vs GN'!$A$16:$B$38,2,FALSE)))</f>
        <v>831_AUSKRJPN</v>
      </c>
      <c r="Q388" s="79" t="s">
        <v>396</v>
      </c>
      <c r="R388" s="64" t="s">
        <v>59</v>
      </c>
      <c r="S388" s="157" t="s">
        <v>10</v>
      </c>
      <c r="T388" s="64" t="s">
        <v>449</v>
      </c>
      <c r="U388" s="104" t="s">
        <v>816</v>
      </c>
      <c r="V388" s="172" t="s">
        <v>545</v>
      </c>
      <c r="W388" s="76" t="s">
        <v>447</v>
      </c>
      <c r="X388" s="64" t="s">
        <v>521</v>
      </c>
      <c r="Y388" s="282" t="s">
        <v>1286</v>
      </c>
      <c r="Z388" s="282" t="s">
        <v>1592</v>
      </c>
      <c r="AA388" s="96"/>
      <c r="AB388" s="131" t="s">
        <v>225</v>
      </c>
      <c r="AC388" s="72" t="s">
        <v>2605</v>
      </c>
      <c r="AD388" s="72" t="s">
        <v>888</v>
      </c>
      <c r="AE388" s="302"/>
      <c r="AF388" s="67"/>
      <c r="AG388" s="67"/>
      <c r="AH388" s="67" t="s">
        <v>2604</v>
      </c>
      <c r="AI388" s="24"/>
      <c r="AJ388" s="24"/>
      <c r="AK388" s="24"/>
      <c r="AL388" s="24"/>
    </row>
    <row r="389" spans="1:38" ht="92.4">
      <c r="A389" s="51">
        <v>380</v>
      </c>
      <c r="B389" s="81" t="str">
        <f t="shared" si="7"/>
        <v>017C</v>
      </c>
      <c r="C389" s="67" t="s">
        <v>1159</v>
      </c>
      <c r="D389" s="55" t="s">
        <v>704</v>
      </c>
      <c r="E389" s="282" t="s">
        <v>1233</v>
      </c>
      <c r="F389" s="169" t="s">
        <v>1056</v>
      </c>
      <c r="G389" s="169" t="s">
        <v>347</v>
      </c>
      <c r="H389" s="55" t="s">
        <v>637</v>
      </c>
      <c r="I389" s="79" t="s">
        <v>815</v>
      </c>
      <c r="J389" s="127" t="s">
        <v>1</v>
      </c>
      <c r="K389" s="127" t="s">
        <v>748</v>
      </c>
      <c r="L389" s="64" t="s">
        <v>856</v>
      </c>
      <c r="M389" s="55" t="s">
        <v>1612</v>
      </c>
      <c r="N389" s="282" t="s">
        <v>1215</v>
      </c>
      <c r="O389" s="238" t="s">
        <v>826</v>
      </c>
      <c r="P389" s="64" t="str">
        <f ca="1">IF(AND(OR(INDIRECT("K" &amp; ROW())="NAV-Premium",INDIRECT("K" &amp; ROW())="DA-Premium"),INDIRECT("M" &amp; ROW())="PARTITION_SCHEMA128__NavPiviJpn", INDIRECT("O" &amp; ROW())="JPN_SDB"),'SDB vs GN'!$B$41, IF(INDIRECT("H" &amp; ROW())="Chenc",'SDB vs GN'!$B$40, VLOOKUP(INDIRECT("O" &amp; ROW()),'SDB vs GN'!$A$16:$B$38,2,FALSE)))</f>
        <v>731_EUR</v>
      </c>
      <c r="Q389" s="79" t="s">
        <v>396</v>
      </c>
      <c r="R389" s="64" t="s">
        <v>59</v>
      </c>
      <c r="S389" s="157" t="s">
        <v>10</v>
      </c>
      <c r="T389" s="64" t="s">
        <v>449</v>
      </c>
      <c r="U389" s="104" t="s">
        <v>816</v>
      </c>
      <c r="V389" s="172" t="s">
        <v>552</v>
      </c>
      <c r="W389" s="76" t="s">
        <v>447</v>
      </c>
      <c r="X389" s="64" t="s">
        <v>521</v>
      </c>
      <c r="Y389" s="282" t="s">
        <v>1286</v>
      </c>
      <c r="Z389" s="282" t="s">
        <v>1592</v>
      </c>
      <c r="AA389" s="96"/>
      <c r="AB389" s="131" t="s">
        <v>225</v>
      </c>
      <c r="AC389" s="67" t="s">
        <v>2281</v>
      </c>
      <c r="AD389" s="72" t="s">
        <v>888</v>
      </c>
      <c r="AE389" s="302"/>
      <c r="AF389" s="67"/>
      <c r="AG389" s="67"/>
      <c r="AH389" s="67" t="s">
        <v>2280</v>
      </c>
      <c r="AI389" s="24"/>
      <c r="AJ389" s="24"/>
      <c r="AK389" s="24"/>
      <c r="AL389" s="24"/>
    </row>
    <row r="390" spans="1:38" ht="132">
      <c r="A390" s="51">
        <v>381</v>
      </c>
      <c r="B390" s="81" t="str">
        <f t="shared" si="7"/>
        <v>017D</v>
      </c>
      <c r="C390" s="72" t="s">
        <v>1164</v>
      </c>
      <c r="D390" s="55" t="s">
        <v>704</v>
      </c>
      <c r="E390" s="282" t="s">
        <v>1233</v>
      </c>
      <c r="F390" s="169" t="s">
        <v>1056</v>
      </c>
      <c r="G390" s="169" t="s">
        <v>347</v>
      </c>
      <c r="H390" s="55" t="s">
        <v>637</v>
      </c>
      <c r="I390" s="79" t="s">
        <v>815</v>
      </c>
      <c r="J390" s="127" t="s">
        <v>1</v>
      </c>
      <c r="K390" s="127" t="s">
        <v>748</v>
      </c>
      <c r="L390" s="64" t="s">
        <v>856</v>
      </c>
      <c r="M390" s="55" t="s">
        <v>1613</v>
      </c>
      <c r="N390" s="282" t="s">
        <v>1215</v>
      </c>
      <c r="O390" s="239" t="s">
        <v>54</v>
      </c>
      <c r="P390" s="64" t="str">
        <f ca="1">IF(AND(OR(INDIRECT("K" &amp; ROW())="NAV-Premium",INDIRECT("K" &amp; ROW())="DA-Premium"),INDIRECT("M" &amp; ROW())="PARTITION_SCHEMA128__NavPiviJpn", INDIRECT("O" &amp; ROW())="JPN_SDB"),'SDB vs GN'!$B$41, IF(INDIRECT("H" &amp; ROW())="Chenc",'SDB vs GN'!$B$40, VLOOKUP(INDIRECT("O" &amp; ROW()),'SDB vs GN'!$A$16:$B$38,2,FALSE)))</f>
        <v>731_EUR</v>
      </c>
      <c r="Q390" s="79" t="s">
        <v>396</v>
      </c>
      <c r="R390" s="64" t="s">
        <v>59</v>
      </c>
      <c r="S390" s="157" t="s">
        <v>10</v>
      </c>
      <c r="T390" s="64" t="s">
        <v>449</v>
      </c>
      <c r="U390" s="104" t="s">
        <v>816</v>
      </c>
      <c r="V390" s="172" t="s">
        <v>547</v>
      </c>
      <c r="W390" s="76" t="s">
        <v>447</v>
      </c>
      <c r="X390" s="64" t="s">
        <v>521</v>
      </c>
      <c r="Y390" s="282" t="s">
        <v>1286</v>
      </c>
      <c r="Z390" s="282" t="s">
        <v>1592</v>
      </c>
      <c r="AA390" s="96"/>
      <c r="AB390" s="131" t="s">
        <v>225</v>
      </c>
      <c r="AC390" s="72" t="s">
        <v>2267</v>
      </c>
      <c r="AD390" s="72" t="s">
        <v>888</v>
      </c>
      <c r="AE390" s="302"/>
      <c r="AF390" s="67"/>
      <c r="AG390" s="67"/>
      <c r="AH390" s="67" t="s">
        <v>2266</v>
      </c>
      <c r="AI390" s="24"/>
      <c r="AJ390" s="24"/>
      <c r="AK390" s="24"/>
      <c r="AL390" s="24"/>
    </row>
    <row r="391" spans="1:38" ht="79.2">
      <c r="A391" s="51">
        <v>382</v>
      </c>
      <c r="B391" s="81" t="str">
        <f t="shared" si="7"/>
        <v>017E</v>
      </c>
      <c r="C391" s="67" t="s">
        <v>1165</v>
      </c>
      <c r="D391" s="79" t="s">
        <v>143</v>
      </c>
      <c r="E391" s="295" t="s">
        <v>1233</v>
      </c>
      <c r="F391" s="78" t="s">
        <v>1052</v>
      </c>
      <c r="G391" s="78" t="s">
        <v>761</v>
      </c>
      <c r="H391" s="55" t="s">
        <v>637</v>
      </c>
      <c r="I391" s="79" t="s">
        <v>815</v>
      </c>
      <c r="J391" s="127" t="s">
        <v>1</v>
      </c>
      <c r="K391" s="55" t="s">
        <v>749</v>
      </c>
      <c r="L391" s="64" t="s">
        <v>856</v>
      </c>
      <c r="M391" s="55" t="s">
        <v>1614</v>
      </c>
      <c r="N391" s="282" t="s">
        <v>1215</v>
      </c>
      <c r="O391" s="238" t="s">
        <v>825</v>
      </c>
      <c r="P391" s="64" t="str">
        <f ca="1">IF(AND(OR(INDIRECT("K" &amp; ROW())="NAV-Premium",INDIRECT("K" &amp; ROW())="DA-Premium"),INDIRECT("M" &amp; ROW())="PARTITION_SCHEMA128__NavPiviJpn", INDIRECT("O" &amp; ROW())="JPN_SDB"),'SDB vs GN'!$B$41, IF(INDIRECT("H" &amp; ROW())="Chenc",'SDB vs GN'!$B$40, VLOOKUP(INDIRECT("O" &amp; ROW()),'SDB vs GN'!$A$16:$B$38,2,FALSE)))</f>
        <v>831_AUSKRJPN</v>
      </c>
      <c r="Q391" s="79" t="s">
        <v>396</v>
      </c>
      <c r="R391" s="238" t="s">
        <v>248</v>
      </c>
      <c r="S391" s="157" t="s">
        <v>10</v>
      </c>
      <c r="T391" s="64" t="s">
        <v>449</v>
      </c>
      <c r="U391" s="104" t="s">
        <v>12</v>
      </c>
      <c r="V391" s="172" t="s">
        <v>546</v>
      </c>
      <c r="W391" s="76" t="s">
        <v>447</v>
      </c>
      <c r="X391" s="64" t="s">
        <v>521</v>
      </c>
      <c r="Y391" s="282" t="s">
        <v>1286</v>
      </c>
      <c r="Z391" s="282" t="s">
        <v>1592</v>
      </c>
      <c r="AA391" s="96"/>
      <c r="AB391" s="131" t="s">
        <v>225</v>
      </c>
      <c r="AC391" s="224" t="s">
        <v>2170</v>
      </c>
      <c r="AD391" s="72" t="s">
        <v>888</v>
      </c>
      <c r="AE391" s="302"/>
      <c r="AF391" s="67"/>
      <c r="AG391" s="67"/>
      <c r="AH391" s="67" t="s">
        <v>2169</v>
      </c>
      <c r="AI391" s="24"/>
      <c r="AJ391" s="24"/>
      <c r="AK391" s="24"/>
      <c r="AL391" s="24"/>
    </row>
    <row r="392" spans="1:38" ht="52.8">
      <c r="A392" s="51">
        <v>383</v>
      </c>
      <c r="B392" s="81" t="str">
        <f t="shared" si="7"/>
        <v>017F</v>
      </c>
      <c r="C392" s="226" t="s">
        <v>1167</v>
      </c>
      <c r="D392" s="79" t="s">
        <v>143</v>
      </c>
      <c r="E392" s="295" t="s">
        <v>1233</v>
      </c>
      <c r="F392" s="78" t="s">
        <v>1052</v>
      </c>
      <c r="G392" s="78" t="s">
        <v>761</v>
      </c>
      <c r="H392" s="55" t="s">
        <v>637</v>
      </c>
      <c r="I392" s="79" t="s">
        <v>815</v>
      </c>
      <c r="J392" s="127" t="s">
        <v>1</v>
      </c>
      <c r="K392" s="55" t="s">
        <v>749</v>
      </c>
      <c r="L392" s="64" t="s">
        <v>856</v>
      </c>
      <c r="M392" s="55" t="s">
        <v>1614</v>
      </c>
      <c r="N392" s="282" t="s">
        <v>1215</v>
      </c>
      <c r="O392" s="238" t="s">
        <v>97</v>
      </c>
      <c r="P392" s="64" t="str">
        <f ca="1">IF(AND(OR(INDIRECT("K" &amp; ROW())="NAV-Premium",INDIRECT("K" &amp; ROW())="DA-Premium"),INDIRECT("M" &amp; ROW())="PARTITION_SCHEMA128__NavPiviJpn", INDIRECT("O" &amp; ROW())="JPN_SDB"),'SDB vs GN'!$B$41, IF(INDIRECT("H" &amp; ROW())="Chenc",'SDB vs GN'!$B$40, VLOOKUP(INDIRECT("O" &amp; ROW()),'SDB vs GN'!$A$16:$B$38,2,FALSE)))</f>
        <v>734_CN_831_AUSKRJPN</v>
      </c>
      <c r="Q392" s="79" t="s">
        <v>396</v>
      </c>
      <c r="R392" s="238" t="s">
        <v>248</v>
      </c>
      <c r="S392" s="157" t="s">
        <v>10</v>
      </c>
      <c r="T392" s="64" t="s">
        <v>449</v>
      </c>
      <c r="U392" s="104" t="s">
        <v>12</v>
      </c>
      <c r="V392" s="172" t="s">
        <v>563</v>
      </c>
      <c r="W392" s="76" t="s">
        <v>447</v>
      </c>
      <c r="X392" s="64" t="s">
        <v>521</v>
      </c>
      <c r="Y392" s="282" t="s">
        <v>1286</v>
      </c>
      <c r="Z392" s="282" t="s">
        <v>1592</v>
      </c>
      <c r="AA392" s="96"/>
      <c r="AB392" s="131" t="s">
        <v>225</v>
      </c>
      <c r="AC392" s="67" t="s">
        <v>1513</v>
      </c>
      <c r="AD392" s="72" t="s">
        <v>888</v>
      </c>
      <c r="AE392" s="302"/>
      <c r="AF392" s="67"/>
      <c r="AG392" s="67"/>
      <c r="AH392" s="72" t="s">
        <v>1834</v>
      </c>
      <c r="AI392" s="24"/>
      <c r="AJ392" s="24"/>
      <c r="AK392" s="24"/>
      <c r="AL392" s="24"/>
    </row>
    <row r="393" spans="1:38" ht="66">
      <c r="A393" s="51">
        <v>384</v>
      </c>
      <c r="B393" s="81" t="str">
        <f t="shared" si="7"/>
        <v>0180</v>
      </c>
      <c r="C393" s="67" t="s">
        <v>1166</v>
      </c>
      <c r="D393" s="79" t="s">
        <v>143</v>
      </c>
      <c r="E393" s="295" t="s">
        <v>1233</v>
      </c>
      <c r="F393" s="78" t="s">
        <v>1052</v>
      </c>
      <c r="G393" s="78" t="s">
        <v>761</v>
      </c>
      <c r="H393" s="55" t="s">
        <v>637</v>
      </c>
      <c r="I393" s="79" t="s">
        <v>815</v>
      </c>
      <c r="J393" s="127" t="s">
        <v>1</v>
      </c>
      <c r="K393" s="55" t="s">
        <v>749</v>
      </c>
      <c r="L393" s="64" t="s">
        <v>856</v>
      </c>
      <c r="M393" s="55" t="s">
        <v>1614</v>
      </c>
      <c r="N393" s="282" t="s">
        <v>1215</v>
      </c>
      <c r="O393" s="238" t="s">
        <v>825</v>
      </c>
      <c r="P393" s="64" t="str">
        <f ca="1">IF(AND(OR(INDIRECT("K" &amp; ROW())="NAV-Premium",INDIRECT("K" &amp; ROW())="DA-Premium"),INDIRECT("M" &amp; ROW())="PARTITION_SCHEMA128__NavPiviJpn", INDIRECT("O" &amp; ROW())="JPN_SDB"),'SDB vs GN'!$B$41, IF(INDIRECT("H" &amp; ROW())="Chenc",'SDB vs GN'!$B$40, VLOOKUP(INDIRECT("O" &amp; ROW()),'SDB vs GN'!$A$16:$B$38,2,FALSE)))</f>
        <v>831_AUSKRJPN</v>
      </c>
      <c r="Q393" s="79" t="s">
        <v>396</v>
      </c>
      <c r="R393" s="238" t="s">
        <v>248</v>
      </c>
      <c r="S393" s="157" t="s">
        <v>10</v>
      </c>
      <c r="T393" s="64" t="s">
        <v>449</v>
      </c>
      <c r="U393" s="104" t="s">
        <v>12</v>
      </c>
      <c r="V393" s="172" t="s">
        <v>559</v>
      </c>
      <c r="W393" s="76" t="s">
        <v>447</v>
      </c>
      <c r="X393" s="64" t="s">
        <v>521</v>
      </c>
      <c r="Y393" s="282" t="s">
        <v>1286</v>
      </c>
      <c r="Z393" s="282" t="s">
        <v>1592</v>
      </c>
      <c r="AA393" s="96"/>
      <c r="AB393" s="131" t="s">
        <v>225</v>
      </c>
      <c r="AC393" s="72" t="s">
        <v>2164</v>
      </c>
      <c r="AD393" s="72" t="s">
        <v>888</v>
      </c>
      <c r="AE393" s="302"/>
      <c r="AF393" s="67"/>
      <c r="AG393" s="67"/>
      <c r="AH393" s="67" t="s">
        <v>2163</v>
      </c>
      <c r="AI393" s="24"/>
      <c r="AJ393" s="24"/>
      <c r="AK393" s="24"/>
      <c r="AL393" s="24"/>
    </row>
    <row r="394" spans="1:38" ht="105.6">
      <c r="A394" s="51">
        <v>385</v>
      </c>
      <c r="B394" s="81" t="str">
        <f t="shared" si="7"/>
        <v>0181</v>
      </c>
      <c r="C394" s="226" t="s">
        <v>1168</v>
      </c>
      <c r="D394" s="79" t="s">
        <v>143</v>
      </c>
      <c r="E394" s="295" t="s">
        <v>1233</v>
      </c>
      <c r="F394" s="78" t="s">
        <v>1052</v>
      </c>
      <c r="G394" s="78" t="s">
        <v>761</v>
      </c>
      <c r="H394" s="55" t="s">
        <v>637</v>
      </c>
      <c r="I394" s="79" t="s">
        <v>815</v>
      </c>
      <c r="J394" s="127" t="s">
        <v>1</v>
      </c>
      <c r="K394" s="55" t="s">
        <v>749</v>
      </c>
      <c r="L394" s="64" t="s">
        <v>856</v>
      </c>
      <c r="M394" s="55" t="s">
        <v>1614</v>
      </c>
      <c r="N394" s="282" t="s">
        <v>1215</v>
      </c>
      <c r="O394" s="239" t="s">
        <v>54</v>
      </c>
      <c r="P394" s="64" t="str">
        <f ca="1">IF(AND(OR(INDIRECT("K" &amp; ROW())="NAV-Premium",INDIRECT("K" &amp; ROW())="DA-Premium"),INDIRECT("M" &amp; ROW())="PARTITION_SCHEMA128__NavPiviJpn", INDIRECT("O" &amp; ROW())="JPN_SDB"),'SDB vs GN'!$B$41, IF(INDIRECT("H" &amp; ROW())="Chenc",'SDB vs GN'!$B$40, VLOOKUP(INDIRECT("O" &amp; ROW()),'SDB vs GN'!$A$16:$B$38,2,FALSE)))</f>
        <v>731_EUR</v>
      </c>
      <c r="Q394" s="79" t="s">
        <v>396</v>
      </c>
      <c r="R394" s="238" t="s">
        <v>248</v>
      </c>
      <c r="S394" s="157" t="s">
        <v>10</v>
      </c>
      <c r="T394" s="64" t="s">
        <v>449</v>
      </c>
      <c r="U394" s="104" t="s">
        <v>12</v>
      </c>
      <c r="V394" s="172" t="s">
        <v>560</v>
      </c>
      <c r="W394" s="76" t="s">
        <v>447</v>
      </c>
      <c r="X394" s="64" t="s">
        <v>521</v>
      </c>
      <c r="Y394" s="282" t="s">
        <v>1286</v>
      </c>
      <c r="Z394" s="282" t="s">
        <v>1592</v>
      </c>
      <c r="AA394" s="96"/>
      <c r="AB394" s="131" t="s">
        <v>225</v>
      </c>
      <c r="AC394" s="67" t="s">
        <v>2086</v>
      </c>
      <c r="AD394" s="72" t="s">
        <v>888</v>
      </c>
      <c r="AE394" s="302"/>
      <c r="AF394" s="67"/>
      <c r="AG394" s="67"/>
      <c r="AH394" s="67" t="s">
        <v>2085</v>
      </c>
      <c r="AI394" s="24"/>
      <c r="AJ394" s="24"/>
      <c r="AK394" s="24"/>
      <c r="AL394" s="24"/>
    </row>
    <row r="395" spans="1:38" ht="105.6">
      <c r="A395" s="51">
        <v>386</v>
      </c>
      <c r="B395" s="81" t="str">
        <f t="shared" si="7"/>
        <v>0182</v>
      </c>
      <c r="C395" s="155" t="s">
        <v>854</v>
      </c>
      <c r="D395" s="61" t="s">
        <v>1195</v>
      </c>
      <c r="E395" s="323" t="s">
        <v>1233</v>
      </c>
      <c r="F395" s="78" t="s">
        <v>1052</v>
      </c>
      <c r="G395" s="78" t="s">
        <v>761</v>
      </c>
      <c r="H395" s="55" t="s">
        <v>637</v>
      </c>
      <c r="I395" s="79" t="s">
        <v>815</v>
      </c>
      <c r="J395" s="127" t="s">
        <v>1</v>
      </c>
      <c r="K395" s="79" t="s">
        <v>749</v>
      </c>
      <c r="L395" s="64" t="s">
        <v>856</v>
      </c>
      <c r="M395" s="55" t="s">
        <v>1614</v>
      </c>
      <c r="N395" s="282" t="s">
        <v>1215</v>
      </c>
      <c r="O395" s="238" t="s">
        <v>54</v>
      </c>
      <c r="P395" s="64" t="str">
        <f ca="1">IF(AND(OR(INDIRECT("K" &amp; ROW())="NAV-Premium",INDIRECT("K" &amp; ROW())="DA-Premium"),INDIRECT("M" &amp; ROW())="PARTITION_SCHEMA128__NavPiviJpn", INDIRECT("O" &amp; ROW())="JPN_SDB"),'SDB vs GN'!$B$41, IF(INDIRECT("H" &amp; ROW())="Chenc",'SDB vs GN'!$B$40, VLOOKUP(INDIRECT("O" &amp; ROW()),'SDB vs GN'!$A$16:$B$38,2,FALSE)))</f>
        <v>731_EUR</v>
      </c>
      <c r="Q395" s="79" t="s">
        <v>396</v>
      </c>
      <c r="R395" s="262" t="s">
        <v>61</v>
      </c>
      <c r="S395" s="157" t="s">
        <v>10</v>
      </c>
      <c r="T395" s="64" t="s">
        <v>449</v>
      </c>
      <c r="U395" s="104" t="s">
        <v>12</v>
      </c>
      <c r="V395" s="101" t="s">
        <v>553</v>
      </c>
      <c r="W395" s="76" t="s">
        <v>447</v>
      </c>
      <c r="X395" s="64" t="s">
        <v>521</v>
      </c>
      <c r="Y395" s="282" t="s">
        <v>1286</v>
      </c>
      <c r="Z395" s="282" t="s">
        <v>1592</v>
      </c>
      <c r="AA395" s="96"/>
      <c r="AB395" s="154" t="s">
        <v>225</v>
      </c>
      <c r="AC395" s="229" t="s">
        <v>2121</v>
      </c>
      <c r="AD395" s="72" t="s">
        <v>888</v>
      </c>
      <c r="AE395" s="302"/>
      <c r="AF395" s="194"/>
      <c r="AG395" s="194"/>
      <c r="AH395" s="67" t="s">
        <v>2120</v>
      </c>
      <c r="AI395" s="24"/>
      <c r="AJ395" s="24"/>
      <c r="AK395" s="24"/>
      <c r="AL395" s="24"/>
    </row>
    <row r="396" spans="1:38" ht="79.2">
      <c r="A396" s="51">
        <v>387</v>
      </c>
      <c r="B396" s="81" t="str">
        <f t="shared" si="7"/>
        <v>0183</v>
      </c>
      <c r="C396" s="64" t="s">
        <v>1019</v>
      </c>
      <c r="D396" s="61" t="s">
        <v>1195</v>
      </c>
      <c r="E396" s="323" t="s">
        <v>1233</v>
      </c>
      <c r="F396" s="78" t="s">
        <v>1052</v>
      </c>
      <c r="G396" s="78" t="s">
        <v>761</v>
      </c>
      <c r="H396" s="55" t="s">
        <v>637</v>
      </c>
      <c r="I396" s="79" t="s">
        <v>815</v>
      </c>
      <c r="J396" s="127" t="s">
        <v>1</v>
      </c>
      <c r="K396" s="55" t="s">
        <v>749</v>
      </c>
      <c r="L396" s="64" t="s">
        <v>856</v>
      </c>
      <c r="M396" s="55" t="s">
        <v>1614</v>
      </c>
      <c r="N396" s="282" t="s">
        <v>1215</v>
      </c>
      <c r="O396" s="238" t="s">
        <v>826</v>
      </c>
      <c r="P396" s="64" t="str">
        <f ca="1">IF(AND(OR(INDIRECT("K" &amp; ROW())="NAV-Premium",INDIRECT("K" &amp; ROW())="DA-Premium"),INDIRECT("M" &amp; ROW())="PARTITION_SCHEMA128__NavPiviJpn", INDIRECT("O" &amp; ROW())="JPN_SDB"),'SDB vs GN'!$B$41, IF(INDIRECT("H" &amp; ROW())="Chenc",'SDB vs GN'!$B$40, VLOOKUP(INDIRECT("O" &amp; ROW()),'SDB vs GN'!$A$16:$B$38,2,FALSE)))</f>
        <v>731_EUR</v>
      </c>
      <c r="Q396" s="79" t="s">
        <v>396</v>
      </c>
      <c r="R396" s="165" t="s">
        <v>61</v>
      </c>
      <c r="S396" s="157" t="s">
        <v>10</v>
      </c>
      <c r="T396" s="64" t="s">
        <v>449</v>
      </c>
      <c r="U396" s="104" t="s">
        <v>12</v>
      </c>
      <c r="V396" s="101" t="s">
        <v>564</v>
      </c>
      <c r="W396" s="76" t="s">
        <v>447</v>
      </c>
      <c r="X396" s="64" t="s">
        <v>521</v>
      </c>
      <c r="Y396" s="282" t="s">
        <v>1286</v>
      </c>
      <c r="Z396" s="282" t="s">
        <v>1592</v>
      </c>
      <c r="AA396" s="96"/>
      <c r="AB396" s="131" t="s">
        <v>225</v>
      </c>
      <c r="AC396" s="97" t="s">
        <v>2115</v>
      </c>
      <c r="AD396" s="72" t="s">
        <v>888</v>
      </c>
      <c r="AE396" s="302"/>
      <c r="AF396" s="67"/>
      <c r="AG396" s="67"/>
      <c r="AH396" s="67" t="s">
        <v>2114</v>
      </c>
      <c r="AI396" s="24"/>
      <c r="AJ396" s="24"/>
      <c r="AK396" s="24"/>
      <c r="AL396" s="24"/>
    </row>
    <row r="397" spans="1:38" ht="26.4">
      <c r="A397" s="51">
        <v>388</v>
      </c>
      <c r="B397" s="81" t="str">
        <f t="shared" si="7"/>
        <v>0184</v>
      </c>
      <c r="C397" s="67" t="s">
        <v>1017</v>
      </c>
      <c r="D397" s="278" t="s">
        <v>1195</v>
      </c>
      <c r="E397" s="323" t="s">
        <v>1233</v>
      </c>
      <c r="F397" s="78" t="s">
        <v>1052</v>
      </c>
      <c r="G397" s="78" t="s">
        <v>761</v>
      </c>
      <c r="H397" s="55" t="s">
        <v>637</v>
      </c>
      <c r="I397" s="79" t="s">
        <v>815</v>
      </c>
      <c r="J397" s="127" t="s">
        <v>1</v>
      </c>
      <c r="K397" s="55" t="s">
        <v>749</v>
      </c>
      <c r="L397" s="64" t="s">
        <v>856</v>
      </c>
      <c r="M397" s="55" t="s">
        <v>1614</v>
      </c>
      <c r="N397" s="282" t="s">
        <v>1215</v>
      </c>
      <c r="O397" s="238" t="s">
        <v>826</v>
      </c>
      <c r="P397" s="64" t="str">
        <f ca="1">IF(AND(OR(INDIRECT("K" &amp; ROW())="NAV-Premium",INDIRECT("K" &amp; ROW())="DA-Premium"),INDIRECT("M" &amp; ROW())="PARTITION_SCHEMA128__NavPiviJpn", INDIRECT("O" &amp; ROW())="JPN_SDB"),'SDB vs GN'!$B$41, IF(INDIRECT("H" &amp; ROW())="Chenc",'SDB vs GN'!$B$40, VLOOKUP(INDIRECT("O" &amp; ROW()),'SDB vs GN'!$A$16:$B$38,2,FALSE)))</f>
        <v>731_EUR</v>
      </c>
      <c r="Q397" s="79" t="s">
        <v>396</v>
      </c>
      <c r="R397" s="262" t="s">
        <v>61</v>
      </c>
      <c r="S397" s="157" t="s">
        <v>10</v>
      </c>
      <c r="T397" s="64" t="s">
        <v>449</v>
      </c>
      <c r="U397" s="104" t="s">
        <v>12</v>
      </c>
      <c r="V397" s="326" t="s">
        <v>913</v>
      </c>
      <c r="W397" s="76" t="s">
        <v>447</v>
      </c>
      <c r="X397" s="64" t="s">
        <v>521</v>
      </c>
      <c r="Y397" s="282" t="s">
        <v>1286</v>
      </c>
      <c r="Z397" s="282" t="s">
        <v>1592</v>
      </c>
      <c r="AA397" s="96"/>
      <c r="AB397" s="131" t="s">
        <v>225</v>
      </c>
      <c r="AC397" s="97" t="s">
        <v>1376</v>
      </c>
      <c r="AD397" s="72" t="s">
        <v>888</v>
      </c>
      <c r="AE397" s="302"/>
      <c r="AF397" s="67"/>
      <c r="AG397" s="67"/>
      <c r="AH397" s="67" t="s">
        <v>1377</v>
      </c>
      <c r="AI397" s="24"/>
      <c r="AJ397" s="24"/>
      <c r="AK397" s="24"/>
      <c r="AL397" s="24"/>
    </row>
    <row r="398" spans="1:38" ht="66">
      <c r="A398" s="51">
        <v>389</v>
      </c>
      <c r="B398" s="81" t="str">
        <f t="shared" si="7"/>
        <v>0185</v>
      </c>
      <c r="C398" s="155" t="s">
        <v>1018</v>
      </c>
      <c r="D398" s="61" t="s">
        <v>1195</v>
      </c>
      <c r="E398" s="323" t="s">
        <v>1233</v>
      </c>
      <c r="F398" s="78" t="s">
        <v>1052</v>
      </c>
      <c r="G398" s="78" t="s">
        <v>761</v>
      </c>
      <c r="H398" s="55" t="s">
        <v>637</v>
      </c>
      <c r="I398" s="79" t="s">
        <v>815</v>
      </c>
      <c r="J398" s="127" t="s">
        <v>1</v>
      </c>
      <c r="K398" s="55" t="s">
        <v>749</v>
      </c>
      <c r="L398" s="64" t="s">
        <v>856</v>
      </c>
      <c r="M398" s="55" t="s">
        <v>1614</v>
      </c>
      <c r="N398" s="282" t="s">
        <v>1215</v>
      </c>
      <c r="O398" s="238" t="s">
        <v>825</v>
      </c>
      <c r="P398" s="64" t="str">
        <f ca="1">IF(AND(OR(INDIRECT("K" &amp; ROW())="NAV-Premium",INDIRECT("K" &amp; ROW())="DA-Premium"),INDIRECT("M" &amp; ROW())="PARTITION_SCHEMA128__NavPiviJpn", INDIRECT("O" &amp; ROW())="JPN_SDB"),'SDB vs GN'!$B$41, IF(INDIRECT("H" &amp; ROW())="Chenc",'SDB vs GN'!$B$40, VLOOKUP(INDIRECT("O" &amp; ROW()),'SDB vs GN'!$A$16:$B$38,2,FALSE)))</f>
        <v>831_AUSKRJPN</v>
      </c>
      <c r="Q398" s="79" t="s">
        <v>396</v>
      </c>
      <c r="R398" s="156" t="s">
        <v>61</v>
      </c>
      <c r="S398" s="157" t="s">
        <v>10</v>
      </c>
      <c r="T398" s="64" t="s">
        <v>449</v>
      </c>
      <c r="U398" s="104" t="s">
        <v>12</v>
      </c>
      <c r="V398" s="174" t="s">
        <v>558</v>
      </c>
      <c r="W398" s="76" t="s">
        <v>447</v>
      </c>
      <c r="X398" s="64" t="s">
        <v>521</v>
      </c>
      <c r="Y398" s="282" t="s">
        <v>1286</v>
      </c>
      <c r="Z398" s="282" t="s">
        <v>1592</v>
      </c>
      <c r="AA398" s="96"/>
      <c r="AB398" s="131" t="s">
        <v>225</v>
      </c>
      <c r="AC398" s="97" t="s">
        <v>2116</v>
      </c>
      <c r="AD398" s="72" t="s">
        <v>888</v>
      </c>
      <c r="AE398" s="302"/>
      <c r="AF398" s="67"/>
      <c r="AG398" s="67"/>
      <c r="AH398" s="261" t="s">
        <v>2117</v>
      </c>
      <c r="AI398" s="24"/>
      <c r="AJ398" s="24"/>
      <c r="AK398" s="24"/>
      <c r="AL398" s="24"/>
    </row>
    <row r="399" spans="1:38" ht="66">
      <c r="A399" s="51">
        <v>390</v>
      </c>
      <c r="B399" s="81" t="str">
        <f t="shared" si="7"/>
        <v>0186</v>
      </c>
      <c r="C399" s="155" t="s">
        <v>855</v>
      </c>
      <c r="D399" s="61" t="s">
        <v>1195</v>
      </c>
      <c r="E399" s="323" t="s">
        <v>1233</v>
      </c>
      <c r="F399" s="78" t="s">
        <v>1052</v>
      </c>
      <c r="G399" s="78" t="s">
        <v>761</v>
      </c>
      <c r="H399" s="55" t="s">
        <v>637</v>
      </c>
      <c r="I399" s="94" t="s">
        <v>3</v>
      </c>
      <c r="J399" s="127" t="s">
        <v>1</v>
      </c>
      <c r="K399" s="79" t="s">
        <v>749</v>
      </c>
      <c r="L399" s="64" t="s">
        <v>856</v>
      </c>
      <c r="M399" s="55" t="s">
        <v>1614</v>
      </c>
      <c r="N399" s="282" t="s">
        <v>1215</v>
      </c>
      <c r="O399" s="238" t="s">
        <v>55</v>
      </c>
      <c r="P399" s="64" t="str">
        <f ca="1">IF(AND(OR(INDIRECT("K" &amp; ROW())="NAV-Premium",INDIRECT("K" &amp; ROW())="DA-Premium"),INDIRECT("M" &amp; ROW())="PARTITION_SCHEMA128__NavPiviJpn", INDIRECT("O" &amp; ROW())="JPN_SDB"),'SDB vs GN'!$B$41, IF(INDIRECT("H" &amp; ROW())="Chenc",'SDB vs GN'!$B$40, VLOOKUP(INDIRECT("O" &amp; ROW()),'SDB vs GN'!$A$16:$B$38,2,FALSE)))</f>
        <v>742_JPN_831_AUSKRJPN</v>
      </c>
      <c r="Q399" s="79" t="s">
        <v>396</v>
      </c>
      <c r="R399" s="262" t="s">
        <v>61</v>
      </c>
      <c r="S399" s="157" t="s">
        <v>10</v>
      </c>
      <c r="T399" s="64" t="s">
        <v>449</v>
      </c>
      <c r="U399" s="104" t="s">
        <v>12</v>
      </c>
      <c r="V399" s="68" t="s">
        <v>555</v>
      </c>
      <c r="W399" s="76" t="s">
        <v>447</v>
      </c>
      <c r="X399" s="64" t="s">
        <v>521</v>
      </c>
      <c r="Y399" s="282" t="s">
        <v>1286</v>
      </c>
      <c r="Z399" s="282" t="s">
        <v>1592</v>
      </c>
      <c r="AA399" s="96"/>
      <c r="AB399" s="154" t="s">
        <v>225</v>
      </c>
      <c r="AC399" s="229" t="s">
        <v>2119</v>
      </c>
      <c r="AD399" s="72" t="s">
        <v>888</v>
      </c>
      <c r="AE399" s="302"/>
      <c r="AF399" s="194"/>
      <c r="AG399" s="194"/>
      <c r="AH399" s="67" t="s">
        <v>2118</v>
      </c>
      <c r="AI399" s="24"/>
      <c r="AJ399" s="24"/>
      <c r="AK399" s="24"/>
      <c r="AL399" s="24"/>
    </row>
    <row r="400" spans="1:38" ht="52.8">
      <c r="A400" s="51">
        <v>391</v>
      </c>
      <c r="B400" s="81" t="str">
        <f t="shared" si="7"/>
        <v>0187</v>
      </c>
      <c r="C400" s="72" t="s">
        <v>1193</v>
      </c>
      <c r="D400" s="55" t="s">
        <v>704</v>
      </c>
      <c r="E400" s="282" t="s">
        <v>1233</v>
      </c>
      <c r="F400" s="169" t="s">
        <v>1056</v>
      </c>
      <c r="G400" s="169" t="s">
        <v>347</v>
      </c>
      <c r="H400" s="55" t="s">
        <v>637</v>
      </c>
      <c r="I400" s="79" t="s">
        <v>815</v>
      </c>
      <c r="J400" s="127" t="s">
        <v>1</v>
      </c>
      <c r="K400" s="127" t="s">
        <v>748</v>
      </c>
      <c r="L400" s="64" t="s">
        <v>856</v>
      </c>
      <c r="M400" s="55" t="s">
        <v>1612</v>
      </c>
      <c r="N400" s="282" t="s">
        <v>1215</v>
      </c>
      <c r="O400" s="238" t="s">
        <v>126</v>
      </c>
      <c r="P400" s="64" t="str">
        <f ca="1">IF(AND(OR(INDIRECT("K" &amp; ROW())="NAV-Premium",INDIRECT("K" &amp; ROW())="DA-Premium"),INDIRECT("M" &amp; ROW())="PARTITION_SCHEMA128__NavPiviJpn", INDIRECT("O" &amp; ROW())="JPN_SDB"),'SDB vs GN'!$B$41, IF(INDIRECT("H" &amp; ROW())="Chenc",'SDB vs GN'!$B$40, VLOOKUP(INDIRECT("O" &amp; ROW()),'SDB vs GN'!$A$16:$B$38,2,FALSE)))</f>
        <v>735_LA</v>
      </c>
      <c r="Q400" s="79" t="s">
        <v>396</v>
      </c>
      <c r="R400" s="64" t="s">
        <v>59</v>
      </c>
      <c r="S400" s="157" t="s">
        <v>10</v>
      </c>
      <c r="T400" s="79" t="s">
        <v>449</v>
      </c>
      <c r="U400" s="104" t="s">
        <v>816</v>
      </c>
      <c r="V400" s="172" t="s">
        <v>542</v>
      </c>
      <c r="W400" s="76" t="s">
        <v>447</v>
      </c>
      <c r="X400" s="64" t="s">
        <v>521</v>
      </c>
      <c r="Y400" s="282" t="s">
        <v>1286</v>
      </c>
      <c r="Z400" s="282" t="s">
        <v>1592</v>
      </c>
      <c r="AA400" s="96"/>
      <c r="AB400" s="131" t="s">
        <v>225</v>
      </c>
      <c r="AC400" s="67" t="s">
        <v>1514</v>
      </c>
      <c r="AD400" s="72" t="s">
        <v>888</v>
      </c>
      <c r="AE400" s="302"/>
      <c r="AF400" s="67"/>
      <c r="AG400" s="67"/>
      <c r="AH400" s="67" t="s">
        <v>1515</v>
      </c>
      <c r="AI400" s="24"/>
      <c r="AJ400" s="24"/>
      <c r="AK400" s="24"/>
      <c r="AL400" s="24"/>
    </row>
    <row r="401" spans="1:38" ht="52.8">
      <c r="A401" s="51">
        <v>392</v>
      </c>
      <c r="B401" s="81" t="str">
        <f t="shared" si="7"/>
        <v>0188</v>
      </c>
      <c r="C401" s="72" t="s">
        <v>1194</v>
      </c>
      <c r="D401" s="55" t="s">
        <v>704</v>
      </c>
      <c r="E401" s="282" t="s">
        <v>1233</v>
      </c>
      <c r="F401" s="169" t="s">
        <v>1056</v>
      </c>
      <c r="G401" s="169" t="s">
        <v>347</v>
      </c>
      <c r="H401" s="55" t="s">
        <v>637</v>
      </c>
      <c r="I401" s="79" t="s">
        <v>815</v>
      </c>
      <c r="J401" s="127" t="s">
        <v>1</v>
      </c>
      <c r="K401" s="127" t="s">
        <v>748</v>
      </c>
      <c r="L401" s="64" t="s">
        <v>856</v>
      </c>
      <c r="M401" s="55" t="s">
        <v>1612</v>
      </c>
      <c r="N401" s="282" t="s">
        <v>1215</v>
      </c>
      <c r="O401" s="238" t="s">
        <v>126</v>
      </c>
      <c r="P401" s="64" t="str">
        <f ca="1">IF(AND(OR(INDIRECT("K" &amp; ROW())="NAV-Premium",INDIRECT("K" &amp; ROW())="DA-Premium"),INDIRECT("M" &amp; ROW())="PARTITION_SCHEMA128__NavPiviJpn", INDIRECT("O" &amp; ROW())="JPN_SDB"),'SDB vs GN'!$B$41, IF(INDIRECT("H" &amp; ROW())="Chenc",'SDB vs GN'!$B$40, VLOOKUP(INDIRECT("O" &amp; ROW()),'SDB vs GN'!$A$16:$B$38,2,FALSE)))</f>
        <v>735_LA</v>
      </c>
      <c r="Q401" s="79" t="s">
        <v>396</v>
      </c>
      <c r="R401" s="64" t="s">
        <v>59</v>
      </c>
      <c r="S401" s="103" t="s">
        <v>10</v>
      </c>
      <c r="T401" s="79" t="s">
        <v>449</v>
      </c>
      <c r="U401" s="104" t="s">
        <v>816</v>
      </c>
      <c r="V401" s="172" t="s">
        <v>543</v>
      </c>
      <c r="W401" s="76" t="s">
        <v>447</v>
      </c>
      <c r="X401" s="64" t="s">
        <v>521</v>
      </c>
      <c r="Y401" s="282" t="s">
        <v>1286</v>
      </c>
      <c r="Z401" s="282" t="s">
        <v>1592</v>
      </c>
      <c r="AA401" s="96"/>
      <c r="AB401" s="154" t="s">
        <v>225</v>
      </c>
      <c r="AC401" s="229" t="s">
        <v>1516</v>
      </c>
      <c r="AD401" s="72" t="s">
        <v>888</v>
      </c>
      <c r="AE401" s="302"/>
      <c r="AF401" s="194"/>
      <c r="AG401" s="194"/>
      <c r="AH401" s="67" t="s">
        <v>1517</v>
      </c>
      <c r="AI401" s="24"/>
      <c r="AJ401" s="24"/>
      <c r="AK401" s="24"/>
      <c r="AL401" s="24"/>
    </row>
    <row r="402" spans="1:38" ht="52.8">
      <c r="A402" s="51">
        <v>393</v>
      </c>
      <c r="B402" s="81" t="str">
        <f t="shared" si="7"/>
        <v>0189</v>
      </c>
      <c r="C402" s="226" t="s">
        <v>1191</v>
      </c>
      <c r="D402" s="79" t="s">
        <v>143</v>
      </c>
      <c r="E402" s="295" t="s">
        <v>1233</v>
      </c>
      <c r="F402" s="78" t="s">
        <v>1052</v>
      </c>
      <c r="G402" s="78" t="s">
        <v>761</v>
      </c>
      <c r="H402" s="55" t="s">
        <v>637</v>
      </c>
      <c r="I402" s="79" t="s">
        <v>815</v>
      </c>
      <c r="J402" s="127" t="s">
        <v>1</v>
      </c>
      <c r="K402" s="79" t="s">
        <v>749</v>
      </c>
      <c r="L402" s="64" t="s">
        <v>856</v>
      </c>
      <c r="M402" s="55" t="s">
        <v>1614</v>
      </c>
      <c r="N402" s="282" t="s">
        <v>1215</v>
      </c>
      <c r="O402" s="238" t="s">
        <v>126</v>
      </c>
      <c r="P402" s="64" t="str">
        <f ca="1">IF(AND(OR(INDIRECT("K" &amp; ROW())="NAV-Premium",INDIRECT("K" &amp; ROW())="DA-Premium"),INDIRECT("M" &amp; ROW())="PARTITION_SCHEMA128__NavPiviJpn", INDIRECT("O" &amp; ROW())="JPN_SDB"),'SDB vs GN'!$B$41, IF(INDIRECT("H" &amp; ROW())="Chenc",'SDB vs GN'!$B$40, VLOOKUP(INDIRECT("O" &amp; ROW()),'SDB vs GN'!$A$16:$B$38,2,FALSE)))</f>
        <v>735_LA</v>
      </c>
      <c r="Q402" s="79" t="s">
        <v>396</v>
      </c>
      <c r="R402" s="238" t="s">
        <v>248</v>
      </c>
      <c r="S402" s="157" t="s">
        <v>10</v>
      </c>
      <c r="T402" s="79" t="s">
        <v>449</v>
      </c>
      <c r="U402" s="104" t="s">
        <v>12</v>
      </c>
      <c r="V402" s="172" t="s">
        <v>556</v>
      </c>
      <c r="W402" s="76" t="s">
        <v>447</v>
      </c>
      <c r="X402" s="64" t="s">
        <v>521</v>
      </c>
      <c r="Y402" s="282" t="s">
        <v>1286</v>
      </c>
      <c r="Z402" s="282" t="s">
        <v>1592</v>
      </c>
      <c r="AA402" s="96"/>
      <c r="AB402" s="131" t="s">
        <v>225</v>
      </c>
      <c r="AC402" s="97" t="s">
        <v>1518</v>
      </c>
      <c r="AD402" s="72" t="s">
        <v>888</v>
      </c>
      <c r="AE402" s="302"/>
      <c r="AF402" s="67"/>
      <c r="AG402" s="67"/>
      <c r="AH402" s="67" t="s">
        <v>1519</v>
      </c>
      <c r="AI402" s="24"/>
      <c r="AJ402" s="24"/>
      <c r="AK402" s="24"/>
      <c r="AL402" s="24"/>
    </row>
    <row r="403" spans="1:38" ht="52.8">
      <c r="A403" s="51">
        <v>394</v>
      </c>
      <c r="B403" s="81" t="str">
        <f t="shared" si="7"/>
        <v>018A</v>
      </c>
      <c r="C403" s="226" t="s">
        <v>1192</v>
      </c>
      <c r="D403" s="79" t="s">
        <v>143</v>
      </c>
      <c r="E403" s="295" t="s">
        <v>1233</v>
      </c>
      <c r="F403" s="78" t="s">
        <v>1052</v>
      </c>
      <c r="G403" s="78" t="s">
        <v>761</v>
      </c>
      <c r="H403" s="55" t="s">
        <v>637</v>
      </c>
      <c r="I403" s="79" t="s">
        <v>815</v>
      </c>
      <c r="J403" s="127" t="s">
        <v>1</v>
      </c>
      <c r="K403" s="79" t="s">
        <v>749</v>
      </c>
      <c r="L403" s="64" t="s">
        <v>856</v>
      </c>
      <c r="M403" s="55" t="s">
        <v>1614</v>
      </c>
      <c r="N403" s="282" t="s">
        <v>1215</v>
      </c>
      <c r="O403" s="238" t="s">
        <v>126</v>
      </c>
      <c r="P403" s="64" t="str">
        <f ca="1">IF(AND(OR(INDIRECT("K" &amp; ROW())="NAV-Premium",INDIRECT("K" &amp; ROW())="DA-Premium"),INDIRECT("M" &amp; ROW())="PARTITION_SCHEMA128__NavPiviJpn", INDIRECT("O" &amp; ROW())="JPN_SDB"),'SDB vs GN'!$B$41, IF(INDIRECT("H" &amp; ROW())="Chenc",'SDB vs GN'!$B$40, VLOOKUP(INDIRECT("O" &amp; ROW()),'SDB vs GN'!$A$16:$B$38,2,FALSE)))</f>
        <v>735_LA</v>
      </c>
      <c r="Q403" s="79" t="s">
        <v>396</v>
      </c>
      <c r="R403" s="238" t="s">
        <v>248</v>
      </c>
      <c r="S403" s="103" t="s">
        <v>10</v>
      </c>
      <c r="T403" s="79" t="s">
        <v>449</v>
      </c>
      <c r="U403" s="104" t="s">
        <v>12</v>
      </c>
      <c r="V403" s="172" t="s">
        <v>557</v>
      </c>
      <c r="W403" s="76" t="s">
        <v>447</v>
      </c>
      <c r="X403" s="64" t="s">
        <v>521</v>
      </c>
      <c r="Y403" s="282" t="s">
        <v>1286</v>
      </c>
      <c r="Z403" s="282" t="s">
        <v>1592</v>
      </c>
      <c r="AA403" s="96"/>
      <c r="AB403" s="154" t="s">
        <v>225</v>
      </c>
      <c r="AC403" s="229" t="s">
        <v>1520</v>
      </c>
      <c r="AD403" s="72" t="s">
        <v>888</v>
      </c>
      <c r="AE403" s="302"/>
      <c r="AF403" s="194"/>
      <c r="AG403" s="194"/>
      <c r="AH403" s="261" t="s">
        <v>1521</v>
      </c>
      <c r="AI403" s="24"/>
      <c r="AJ403" s="24"/>
      <c r="AK403" s="24"/>
      <c r="AL403" s="24"/>
    </row>
    <row r="404" spans="1:38" ht="26.4">
      <c r="A404" s="51">
        <v>395</v>
      </c>
      <c r="B404" s="81" t="str">
        <f t="shared" si="7"/>
        <v>018B</v>
      </c>
      <c r="C404" s="61" t="s">
        <v>1218</v>
      </c>
      <c r="D404" s="55" t="s">
        <v>704</v>
      </c>
      <c r="E404" s="282" t="s">
        <v>1233</v>
      </c>
      <c r="F404" s="178" t="s">
        <v>1044</v>
      </c>
      <c r="G404" s="178" t="s">
        <v>345</v>
      </c>
      <c r="H404" s="55" t="s">
        <v>637</v>
      </c>
      <c r="I404" s="79" t="s">
        <v>815</v>
      </c>
      <c r="J404" s="55" t="s">
        <v>0</v>
      </c>
      <c r="K404" s="55" t="s">
        <v>452</v>
      </c>
      <c r="L404" s="94" t="s">
        <v>1271</v>
      </c>
      <c r="M404" s="55" t="s">
        <v>254</v>
      </c>
      <c r="N404" s="282" t="s">
        <v>1215</v>
      </c>
      <c r="O404" s="238" t="s">
        <v>97</v>
      </c>
      <c r="P404" s="64" t="str">
        <f ca="1">IF(AND(OR(INDIRECT("K" &amp; ROW())="NAV-Premium",INDIRECT("K" &amp; ROW())="DA-Premium"),INDIRECT("M" &amp; ROW())="PARTITION_SCHEMA128__NavPiviJpn", INDIRECT("O" &amp; ROW())="JPN_SDB"),'SDB vs GN'!$B$41, IF(INDIRECT("H" &amp; ROW())="Chenc",'SDB vs GN'!$B$40, VLOOKUP(INDIRECT("O" &amp; ROW()),'SDB vs GN'!$A$16:$B$38,2,FALSE)))</f>
        <v>734_CN_831_AUSKRJPN</v>
      </c>
      <c r="Q404" s="79" t="s">
        <v>396</v>
      </c>
      <c r="R404" s="64" t="s">
        <v>61</v>
      </c>
      <c r="S404" s="103" t="s">
        <v>10</v>
      </c>
      <c r="T404" s="64" t="s">
        <v>449</v>
      </c>
      <c r="U404" s="104" t="s">
        <v>816</v>
      </c>
      <c r="V404" s="101" t="s">
        <v>601</v>
      </c>
      <c r="W404" s="76" t="s">
        <v>447</v>
      </c>
      <c r="X404" s="64" t="s">
        <v>521</v>
      </c>
      <c r="Y404" s="282" t="s">
        <v>1286</v>
      </c>
      <c r="Z404" s="282" t="s">
        <v>1592</v>
      </c>
      <c r="AA404" s="96"/>
      <c r="AB404" s="131" t="s">
        <v>225</v>
      </c>
      <c r="AC404" s="224" t="s">
        <v>1247</v>
      </c>
      <c r="AD404" s="72" t="s">
        <v>808</v>
      </c>
      <c r="AE404" s="302"/>
      <c r="AF404" s="194"/>
      <c r="AG404" s="194"/>
      <c r="AH404" s="261" t="s">
        <v>1248</v>
      </c>
      <c r="AI404" s="24"/>
      <c r="AJ404" s="24"/>
      <c r="AK404" s="24"/>
      <c r="AL404" s="24"/>
    </row>
    <row r="405" spans="1:38" ht="250.8">
      <c r="A405" s="51">
        <v>396</v>
      </c>
      <c r="B405" s="81" t="str">
        <f t="shared" si="7"/>
        <v>018C</v>
      </c>
      <c r="C405" s="268" t="s">
        <v>1428</v>
      </c>
      <c r="D405" s="94" t="s">
        <v>136</v>
      </c>
      <c r="E405" s="295" t="s">
        <v>1233</v>
      </c>
      <c r="F405" s="327" t="s">
        <v>1054</v>
      </c>
      <c r="G405" s="327" t="s">
        <v>344</v>
      </c>
      <c r="H405" s="282" t="s">
        <v>637</v>
      </c>
      <c r="I405" s="94" t="s">
        <v>4</v>
      </c>
      <c r="J405" s="282" t="s">
        <v>0</v>
      </c>
      <c r="K405" s="55" t="s">
        <v>451</v>
      </c>
      <c r="L405" s="297" t="s">
        <v>857</v>
      </c>
      <c r="M405" s="55" t="s">
        <v>255</v>
      </c>
      <c r="N405" s="282" t="s">
        <v>1215</v>
      </c>
      <c r="O405" s="296" t="s">
        <v>84</v>
      </c>
      <c r="P405" s="64" t="str">
        <f ca="1">IF(AND(OR(INDIRECT("K" &amp; ROW())="NAV-Premium",INDIRECT("K" &amp; ROW())="DA-Premium"),INDIRECT("M" &amp; ROW())="PARTITION_SCHEMA128__NavPiviJpn", INDIRECT("O" &amp; ROW())="JPN_SDB"),'SDB vs GN'!$B$41, IF(INDIRECT("H" &amp; ROW())="Chenc",'SDB vs GN'!$B$40, VLOOKUP(INDIRECT("O" &amp; ROW()),'SDB vs GN'!$A$16:$B$38,2,FALSE)))</f>
        <v>727_NAM</v>
      </c>
      <c r="Q405" s="79" t="s">
        <v>396</v>
      </c>
      <c r="R405" s="64" t="s">
        <v>60</v>
      </c>
      <c r="S405" s="103" t="s">
        <v>10</v>
      </c>
      <c r="T405" s="295" t="s">
        <v>450</v>
      </c>
      <c r="U405" s="104" t="s">
        <v>816</v>
      </c>
      <c r="V405" s="172" t="s">
        <v>7</v>
      </c>
      <c r="W405" s="76" t="s">
        <v>2184</v>
      </c>
      <c r="X405" s="64" t="s">
        <v>521</v>
      </c>
      <c r="Y405" s="282" t="s">
        <v>1286</v>
      </c>
      <c r="Z405" s="282" t="s">
        <v>1592</v>
      </c>
      <c r="AA405" s="299"/>
      <c r="AB405" s="300" t="s">
        <v>225</v>
      </c>
      <c r="AC405" s="307" t="s">
        <v>1966</v>
      </c>
      <c r="AD405" s="72" t="s">
        <v>808</v>
      </c>
      <c r="AE405" s="302"/>
      <c r="AF405" s="67"/>
      <c r="AG405" s="67"/>
      <c r="AH405" s="67" t="s">
        <v>1965</v>
      </c>
      <c r="AI405" s="24"/>
      <c r="AJ405" s="24"/>
      <c r="AK405" s="24"/>
      <c r="AL405" s="24"/>
    </row>
    <row r="406" spans="1:38" ht="105.6">
      <c r="A406" s="51">
        <v>397</v>
      </c>
      <c r="B406" s="81" t="str">
        <f t="shared" si="7"/>
        <v>018D</v>
      </c>
      <c r="C406" s="97" t="s">
        <v>1902</v>
      </c>
      <c r="D406" s="55" t="s">
        <v>1013</v>
      </c>
      <c r="E406" s="282" t="s">
        <v>1233</v>
      </c>
      <c r="F406" s="267" t="s">
        <v>1055</v>
      </c>
      <c r="G406" s="252" t="s">
        <v>879</v>
      </c>
      <c r="H406" s="282" t="s">
        <v>637</v>
      </c>
      <c r="I406" s="295" t="s">
        <v>815</v>
      </c>
      <c r="J406" s="282" t="s">
        <v>0</v>
      </c>
      <c r="K406" s="282" t="s">
        <v>452</v>
      </c>
      <c r="L406" s="297" t="s">
        <v>857</v>
      </c>
      <c r="M406" s="55" t="s">
        <v>236</v>
      </c>
      <c r="N406" s="282" t="s">
        <v>1215</v>
      </c>
      <c r="O406" s="296" t="s">
        <v>84</v>
      </c>
      <c r="P406" s="64" t="str">
        <f ca="1">IF(AND(OR(INDIRECT("K" &amp; ROW())="NAV-Premium",INDIRECT("K" &amp; ROW())="DA-Premium"),INDIRECT("M" &amp; ROW())="PARTITION_SCHEMA128__NavPiviJpn", INDIRECT("O" &amp; ROW())="JPN_SDB"),'SDB vs GN'!$B$41, IF(INDIRECT("H" &amp; ROW())="Chenc",'SDB vs GN'!$B$40, VLOOKUP(INDIRECT("O" &amp; ROW()),'SDB vs GN'!$A$16:$B$38,2,FALSE)))</f>
        <v>727_NAM</v>
      </c>
      <c r="Q406" s="79" t="s">
        <v>396</v>
      </c>
      <c r="R406" s="64" t="s">
        <v>60</v>
      </c>
      <c r="S406" s="103" t="s">
        <v>10</v>
      </c>
      <c r="T406" s="295" t="s">
        <v>449</v>
      </c>
      <c r="U406" s="104" t="s">
        <v>816</v>
      </c>
      <c r="V406" s="173" t="s">
        <v>1131</v>
      </c>
      <c r="W406" s="298" t="s">
        <v>447</v>
      </c>
      <c r="X406" s="64" t="s">
        <v>521</v>
      </c>
      <c r="Y406" s="282" t="s">
        <v>1286</v>
      </c>
      <c r="Z406" s="282" t="s">
        <v>1592</v>
      </c>
      <c r="AA406" s="299"/>
      <c r="AB406" s="300" t="s">
        <v>225</v>
      </c>
      <c r="AC406" s="301" t="s">
        <v>1967</v>
      </c>
      <c r="AD406" s="67" t="s">
        <v>888</v>
      </c>
      <c r="AE406" s="302"/>
      <c r="AF406" s="194"/>
      <c r="AG406" s="194"/>
      <c r="AH406" s="194" t="s">
        <v>1968</v>
      </c>
      <c r="AI406" s="24"/>
      <c r="AJ406" s="24"/>
      <c r="AK406" s="24"/>
      <c r="AL406" s="24"/>
    </row>
    <row r="407" spans="1:38" ht="409.6">
      <c r="A407" s="51">
        <v>398</v>
      </c>
      <c r="B407" s="81" t="str">
        <f t="shared" si="7"/>
        <v>018E</v>
      </c>
      <c r="C407" s="76" t="s">
        <v>1901</v>
      </c>
      <c r="D407" s="55" t="s">
        <v>1013</v>
      </c>
      <c r="E407" s="282" t="s">
        <v>1233</v>
      </c>
      <c r="F407" s="267" t="s">
        <v>1055</v>
      </c>
      <c r="G407" s="252" t="s">
        <v>879</v>
      </c>
      <c r="H407" s="282" t="s">
        <v>637</v>
      </c>
      <c r="I407" s="295" t="s">
        <v>815</v>
      </c>
      <c r="J407" s="282" t="s">
        <v>0</v>
      </c>
      <c r="K407" s="282" t="s">
        <v>452</v>
      </c>
      <c r="L407" s="297" t="s">
        <v>857</v>
      </c>
      <c r="M407" s="55" t="s">
        <v>1375</v>
      </c>
      <c r="N407" s="282" t="s">
        <v>1215</v>
      </c>
      <c r="O407" s="238" t="s">
        <v>825</v>
      </c>
      <c r="P407" s="64" t="str">
        <f ca="1">IF(AND(OR(INDIRECT("K" &amp; ROW())="NAV-Premium",INDIRECT("K" &amp; ROW())="DA-Premium"),INDIRECT("M" &amp; ROW())="PARTITION_SCHEMA128__NavPiviJpn", INDIRECT("O" &amp; ROW())="JPN_SDB"),'SDB vs GN'!$B$41, IF(INDIRECT("H" &amp; ROW())="Chenc",'SDB vs GN'!$B$40, VLOOKUP(INDIRECT("O" &amp; ROW()),'SDB vs GN'!$A$16:$B$38,2,FALSE)))</f>
        <v>831_AUSKRJPN</v>
      </c>
      <c r="Q407" s="79" t="s">
        <v>396</v>
      </c>
      <c r="R407" s="165" t="s">
        <v>61</v>
      </c>
      <c r="S407" s="103" t="s">
        <v>10</v>
      </c>
      <c r="T407" s="295" t="s">
        <v>449</v>
      </c>
      <c r="U407" s="104" t="s">
        <v>816</v>
      </c>
      <c r="V407" s="173" t="s">
        <v>994</v>
      </c>
      <c r="W407" s="298" t="s">
        <v>447</v>
      </c>
      <c r="X407" s="64" t="s">
        <v>521</v>
      </c>
      <c r="Y407" s="282" t="s">
        <v>1286</v>
      </c>
      <c r="Z407" s="282" t="s">
        <v>1592</v>
      </c>
      <c r="AA407" s="299"/>
      <c r="AB407" s="300" t="s">
        <v>225</v>
      </c>
      <c r="AC407" s="307" t="s">
        <v>2774</v>
      </c>
      <c r="AD407" s="67" t="s">
        <v>888</v>
      </c>
      <c r="AE407" s="302"/>
      <c r="AF407" s="194"/>
      <c r="AG407" s="194"/>
      <c r="AH407" s="194" t="s">
        <v>2773</v>
      </c>
      <c r="AI407" s="24"/>
      <c r="AJ407" s="24"/>
      <c r="AK407" s="24"/>
      <c r="AL407" s="24"/>
    </row>
    <row r="408" spans="1:38" ht="409.6">
      <c r="A408" s="51">
        <v>399</v>
      </c>
      <c r="B408" s="81" t="str">
        <f t="shared" si="7"/>
        <v>018F</v>
      </c>
      <c r="C408" s="76" t="s">
        <v>1900</v>
      </c>
      <c r="D408" s="94" t="s">
        <v>136</v>
      </c>
      <c r="E408" s="295" t="s">
        <v>1233</v>
      </c>
      <c r="F408" s="327" t="s">
        <v>1054</v>
      </c>
      <c r="G408" s="327" t="s">
        <v>344</v>
      </c>
      <c r="H408" s="282" t="s">
        <v>637</v>
      </c>
      <c r="I408" s="94" t="s">
        <v>4</v>
      </c>
      <c r="J408" s="282" t="s">
        <v>0</v>
      </c>
      <c r="K408" s="55" t="s">
        <v>451</v>
      </c>
      <c r="L408" s="297" t="s">
        <v>857</v>
      </c>
      <c r="M408" s="55" t="s">
        <v>255</v>
      </c>
      <c r="N408" s="282" t="s">
        <v>1215</v>
      </c>
      <c r="O408" s="239" t="s">
        <v>828</v>
      </c>
      <c r="P408" s="64" t="str">
        <f ca="1">IF(AND(OR(INDIRECT("K" &amp; ROW())="NAV-Premium",INDIRECT("K" &amp; ROW())="DA-Premium"),INDIRECT("M" &amp; ROW())="PARTITION_SCHEMA128__NavPiviJpn", INDIRECT("O" &amp; ROW())="JPN_SDB"),'SDB vs GN'!$B$41, IF(INDIRECT("H" &amp; ROW())="Chenc",'SDB vs GN'!$B$40, VLOOKUP(INDIRECT("O" &amp; ROW()),'SDB vs GN'!$A$16:$B$38,2,FALSE)))</f>
        <v>735_LA_831_AUSKRJPN</v>
      </c>
      <c r="Q408" s="79" t="s">
        <v>396</v>
      </c>
      <c r="R408" s="64" t="s">
        <v>59</v>
      </c>
      <c r="S408" s="103" t="s">
        <v>10</v>
      </c>
      <c r="T408" s="295" t="s">
        <v>449</v>
      </c>
      <c r="U408" s="104" t="s">
        <v>816</v>
      </c>
      <c r="V408" s="172" t="s">
        <v>7</v>
      </c>
      <c r="W408" s="76" t="s">
        <v>2184</v>
      </c>
      <c r="X408" s="64" t="s">
        <v>521</v>
      </c>
      <c r="Y408" s="282" t="s">
        <v>1286</v>
      </c>
      <c r="Z408" s="282" t="s">
        <v>1592</v>
      </c>
      <c r="AA408" s="299"/>
      <c r="AB408" s="300" t="s">
        <v>225</v>
      </c>
      <c r="AC408" s="301" t="s">
        <v>2772</v>
      </c>
      <c r="AD408" s="72" t="s">
        <v>808</v>
      </c>
      <c r="AE408" s="302" t="s">
        <v>2497</v>
      </c>
      <c r="AF408" s="194"/>
      <c r="AG408" s="194"/>
      <c r="AH408" s="194" t="s">
        <v>2771</v>
      </c>
      <c r="AI408" s="24"/>
      <c r="AJ408" s="24"/>
      <c r="AK408" s="24"/>
      <c r="AL408" s="24"/>
    </row>
    <row r="409" spans="1:38" ht="330">
      <c r="A409" s="51">
        <v>400</v>
      </c>
      <c r="B409" s="81" t="str">
        <f t="shared" si="7"/>
        <v>0190</v>
      </c>
      <c r="C409" s="328" t="s">
        <v>1899</v>
      </c>
      <c r="D409" s="94" t="s">
        <v>136</v>
      </c>
      <c r="E409" s="282" t="s">
        <v>1233</v>
      </c>
      <c r="F409" s="327" t="s">
        <v>1054</v>
      </c>
      <c r="G409" s="327" t="s">
        <v>344</v>
      </c>
      <c r="H409" s="282" t="s">
        <v>637</v>
      </c>
      <c r="I409" s="94" t="s">
        <v>4</v>
      </c>
      <c r="J409" s="282" t="s">
        <v>0</v>
      </c>
      <c r="K409" s="55" t="s">
        <v>451</v>
      </c>
      <c r="L409" s="297" t="s">
        <v>857</v>
      </c>
      <c r="M409" s="55" t="s">
        <v>255</v>
      </c>
      <c r="N409" s="282" t="s">
        <v>1215</v>
      </c>
      <c r="O409" s="238" t="s">
        <v>827</v>
      </c>
      <c r="P409" s="64" t="str">
        <f ca="1">IF(AND(OR(INDIRECT("K" &amp; ROW())="NAV-Premium",INDIRECT("K" &amp; ROW())="DA-Premium"),INDIRECT("M" &amp; ROW())="PARTITION_SCHEMA128__NavPiviJpn", INDIRECT("O" &amp; ROW())="JPN_SDB"),'SDB vs GN'!$B$41, IF(INDIRECT("H" &amp; ROW())="Chenc",'SDB vs GN'!$B$40, VLOOKUP(INDIRECT("O" &amp; ROW()),'SDB vs GN'!$A$16:$B$38,2,FALSE)))</f>
        <v>734_CN_831_AUSKRJPN</v>
      </c>
      <c r="Q409" s="79" t="s">
        <v>396</v>
      </c>
      <c r="R409" s="64" t="s">
        <v>59</v>
      </c>
      <c r="S409" s="103" t="s">
        <v>10</v>
      </c>
      <c r="T409" s="295" t="s">
        <v>449</v>
      </c>
      <c r="U409" s="104" t="s">
        <v>816</v>
      </c>
      <c r="V409" s="172" t="s">
        <v>7</v>
      </c>
      <c r="W409" s="76" t="s">
        <v>2184</v>
      </c>
      <c r="X409" s="64" t="s">
        <v>521</v>
      </c>
      <c r="Y409" s="282" t="s">
        <v>1286</v>
      </c>
      <c r="Z409" s="282" t="s">
        <v>1592</v>
      </c>
      <c r="AA409" s="299"/>
      <c r="AB409" s="300" t="s">
        <v>225</v>
      </c>
      <c r="AC409" s="301" t="s">
        <v>2556</v>
      </c>
      <c r="AD409" s="72" t="s">
        <v>808</v>
      </c>
      <c r="AE409" s="302"/>
      <c r="AF409" s="194"/>
      <c r="AG409" s="194"/>
      <c r="AH409" s="194" t="s">
        <v>2557</v>
      </c>
      <c r="AI409" s="24"/>
      <c r="AJ409" s="24"/>
      <c r="AK409" s="24"/>
      <c r="AL409" s="24"/>
    </row>
    <row r="410" spans="1:38" ht="396">
      <c r="A410" s="51">
        <v>401</v>
      </c>
      <c r="B410" s="81" t="str">
        <f t="shared" si="7"/>
        <v>0191</v>
      </c>
      <c r="C410" s="329" t="s">
        <v>1479</v>
      </c>
      <c r="D410" s="55" t="s">
        <v>1013</v>
      </c>
      <c r="E410" s="282" t="s">
        <v>1233</v>
      </c>
      <c r="F410" s="267" t="s">
        <v>1055</v>
      </c>
      <c r="G410" s="252" t="s">
        <v>879</v>
      </c>
      <c r="H410" s="282" t="s">
        <v>637</v>
      </c>
      <c r="I410" s="295" t="s">
        <v>815</v>
      </c>
      <c r="J410" s="282" t="s">
        <v>0</v>
      </c>
      <c r="K410" s="282" t="s">
        <v>452</v>
      </c>
      <c r="L410" s="297" t="s">
        <v>857</v>
      </c>
      <c r="M410" s="55" t="s">
        <v>1375</v>
      </c>
      <c r="N410" s="282" t="s">
        <v>1215</v>
      </c>
      <c r="O410" s="238" t="s">
        <v>97</v>
      </c>
      <c r="P410" s="64" t="str">
        <f ca="1">IF(AND(OR(INDIRECT("K" &amp; ROW())="NAV-Premium",INDIRECT("K" &amp; ROW())="DA-Premium"),INDIRECT("M" &amp; ROW())="PARTITION_SCHEMA128__NavPiviJpn", INDIRECT("O" &amp; ROW())="JPN_SDB"),'SDB vs GN'!$B$41, IF(INDIRECT("H" &amp; ROW())="Chenc",'SDB vs GN'!$B$40, VLOOKUP(INDIRECT("O" &amp; ROW()),'SDB vs GN'!$A$16:$B$38,2,FALSE)))</f>
        <v>734_CN_831_AUSKRJPN</v>
      </c>
      <c r="Q410" s="79" t="s">
        <v>396</v>
      </c>
      <c r="R410" s="165" t="s">
        <v>61</v>
      </c>
      <c r="S410" s="103" t="s">
        <v>10</v>
      </c>
      <c r="T410" s="295" t="s">
        <v>449</v>
      </c>
      <c r="U410" s="104" t="s">
        <v>816</v>
      </c>
      <c r="V410" s="172" t="s">
        <v>728</v>
      </c>
      <c r="W410" s="298" t="s">
        <v>447</v>
      </c>
      <c r="X410" s="64" t="s">
        <v>521</v>
      </c>
      <c r="Y410" s="282" t="s">
        <v>1286</v>
      </c>
      <c r="Z410" s="282" t="s">
        <v>1592</v>
      </c>
      <c r="AA410" s="299"/>
      <c r="AB410" s="300" t="s">
        <v>225</v>
      </c>
      <c r="AC410" s="301" t="s">
        <v>2784</v>
      </c>
      <c r="AD410" s="67" t="s">
        <v>888</v>
      </c>
      <c r="AE410" s="302"/>
      <c r="AF410" s="194"/>
      <c r="AG410" s="194"/>
      <c r="AH410" s="194" t="s">
        <v>2783</v>
      </c>
      <c r="AI410" s="24"/>
      <c r="AJ410" s="24"/>
      <c r="AK410" s="24"/>
      <c r="AL410" s="24"/>
    </row>
    <row r="411" spans="1:38" ht="132">
      <c r="A411" s="51">
        <v>402</v>
      </c>
      <c r="B411" s="81" t="str">
        <f t="shared" si="7"/>
        <v>0192</v>
      </c>
      <c r="C411" s="329" t="s">
        <v>1898</v>
      </c>
      <c r="D411" s="55" t="s">
        <v>1013</v>
      </c>
      <c r="E411" s="295" t="s">
        <v>1233</v>
      </c>
      <c r="F411" s="267" t="s">
        <v>1055</v>
      </c>
      <c r="G411" s="252" t="s">
        <v>879</v>
      </c>
      <c r="H411" s="282" t="s">
        <v>637</v>
      </c>
      <c r="I411" s="295" t="s">
        <v>815</v>
      </c>
      <c r="J411" s="282" t="s">
        <v>0</v>
      </c>
      <c r="K411" s="282" t="s">
        <v>452</v>
      </c>
      <c r="L411" s="297" t="s">
        <v>857</v>
      </c>
      <c r="M411" s="55" t="s">
        <v>1375</v>
      </c>
      <c r="N411" s="282" t="s">
        <v>1215</v>
      </c>
      <c r="O411" s="238" t="s">
        <v>97</v>
      </c>
      <c r="P411" s="64" t="str">
        <f ca="1">IF(AND(OR(INDIRECT("K" &amp; ROW())="NAV-Premium",INDIRECT("K" &amp; ROW())="DA-Premium"),INDIRECT("M" &amp; ROW())="PARTITION_SCHEMA128__NavPiviJpn", INDIRECT("O" &amp; ROW())="JPN_SDB"),'SDB vs GN'!$B$41, IF(INDIRECT("H" &amp; ROW())="Chenc",'SDB vs GN'!$B$40, VLOOKUP(INDIRECT("O" &amp; ROW()),'SDB vs GN'!$A$16:$B$38,2,FALSE)))</f>
        <v>734_CN_831_AUSKRJPN</v>
      </c>
      <c r="Q411" s="79" t="s">
        <v>396</v>
      </c>
      <c r="R411" s="64" t="s">
        <v>59</v>
      </c>
      <c r="S411" s="103" t="s">
        <v>10</v>
      </c>
      <c r="T411" s="295" t="s">
        <v>449</v>
      </c>
      <c r="U411" s="104" t="s">
        <v>816</v>
      </c>
      <c r="V411" s="172" t="s">
        <v>728</v>
      </c>
      <c r="W411" s="298" t="s">
        <v>447</v>
      </c>
      <c r="X411" s="64" t="s">
        <v>521</v>
      </c>
      <c r="Y411" s="282" t="s">
        <v>1286</v>
      </c>
      <c r="Z411" s="282" t="s">
        <v>1592</v>
      </c>
      <c r="AA411" s="299"/>
      <c r="AB411" s="300" t="s">
        <v>225</v>
      </c>
      <c r="AC411" s="307" t="s">
        <v>2412</v>
      </c>
      <c r="AD411" s="67" t="s">
        <v>888</v>
      </c>
      <c r="AE411" s="302"/>
      <c r="AF411" s="67"/>
      <c r="AG411" s="67"/>
      <c r="AH411" s="67" t="s">
        <v>2420</v>
      </c>
      <c r="AI411" s="24"/>
      <c r="AJ411" s="24"/>
      <c r="AK411" s="24"/>
      <c r="AL411" s="24"/>
    </row>
    <row r="412" spans="1:38" ht="198">
      <c r="A412" s="51">
        <v>403</v>
      </c>
      <c r="B412" s="81" t="str">
        <f t="shared" si="7"/>
        <v>0193</v>
      </c>
      <c r="C412" s="76" t="s">
        <v>1897</v>
      </c>
      <c r="D412" s="55" t="s">
        <v>1013</v>
      </c>
      <c r="E412" s="295" t="s">
        <v>1233</v>
      </c>
      <c r="F412" s="267" t="s">
        <v>1055</v>
      </c>
      <c r="G412" s="252" t="s">
        <v>879</v>
      </c>
      <c r="H412" s="282" t="s">
        <v>637</v>
      </c>
      <c r="I412" s="295" t="s">
        <v>815</v>
      </c>
      <c r="J412" s="282" t="s">
        <v>0</v>
      </c>
      <c r="K412" s="282" t="s">
        <v>452</v>
      </c>
      <c r="L412" s="297" t="s">
        <v>857</v>
      </c>
      <c r="M412" s="55" t="s">
        <v>1375</v>
      </c>
      <c r="N412" s="282" t="s">
        <v>1215</v>
      </c>
      <c r="O412" s="238" t="s">
        <v>825</v>
      </c>
      <c r="P412" s="64" t="str">
        <f ca="1">IF(AND(OR(INDIRECT("K" &amp; ROW())="NAV-Premium",INDIRECT("K" &amp; ROW())="DA-Premium"),INDIRECT("M" &amp; ROW())="PARTITION_SCHEMA128__NavPiviJpn", INDIRECT("O" &amp; ROW())="JPN_SDB"),'SDB vs GN'!$B$41, IF(INDIRECT("H" &amp; ROW())="Chenc",'SDB vs GN'!$B$40, VLOOKUP(INDIRECT("O" &amp; ROW()),'SDB vs GN'!$A$16:$B$38,2,FALSE)))</f>
        <v>831_AUSKRJPN</v>
      </c>
      <c r="Q412" s="79" t="s">
        <v>396</v>
      </c>
      <c r="R412" s="165" t="s">
        <v>59</v>
      </c>
      <c r="S412" s="103" t="s">
        <v>10</v>
      </c>
      <c r="T412" s="295" t="s">
        <v>449</v>
      </c>
      <c r="U412" s="104" t="s">
        <v>816</v>
      </c>
      <c r="V412" s="172" t="s">
        <v>1244</v>
      </c>
      <c r="W412" s="298" t="s">
        <v>447</v>
      </c>
      <c r="X412" s="64" t="s">
        <v>521</v>
      </c>
      <c r="Y412" s="282" t="s">
        <v>1286</v>
      </c>
      <c r="Z412" s="282" t="s">
        <v>1592</v>
      </c>
      <c r="AA412" s="299"/>
      <c r="AB412" s="300" t="s">
        <v>225</v>
      </c>
      <c r="AC412" s="302" t="s">
        <v>2545</v>
      </c>
      <c r="AD412" s="67" t="s">
        <v>888</v>
      </c>
      <c r="AE412" s="302"/>
      <c r="AF412" s="194"/>
      <c r="AG412" s="194"/>
      <c r="AH412" s="194" t="s">
        <v>2544</v>
      </c>
      <c r="AI412" s="24"/>
      <c r="AJ412" s="24"/>
      <c r="AK412" s="24"/>
      <c r="AL412" s="24"/>
    </row>
    <row r="413" spans="1:38" ht="211.2">
      <c r="A413" s="51">
        <v>404</v>
      </c>
      <c r="B413" s="81" t="str">
        <f t="shared" si="7"/>
        <v>0194</v>
      </c>
      <c r="C413" s="229" t="s">
        <v>1896</v>
      </c>
      <c r="D413" s="55" t="s">
        <v>1013</v>
      </c>
      <c r="E413" s="282" t="s">
        <v>1233</v>
      </c>
      <c r="F413" s="267" t="s">
        <v>1055</v>
      </c>
      <c r="G413" s="252" t="s">
        <v>879</v>
      </c>
      <c r="H413" s="282" t="s">
        <v>637</v>
      </c>
      <c r="I413" s="295" t="s">
        <v>815</v>
      </c>
      <c r="J413" s="282" t="s">
        <v>0</v>
      </c>
      <c r="K413" s="282" t="s">
        <v>452</v>
      </c>
      <c r="L413" s="297" t="s">
        <v>857</v>
      </c>
      <c r="M413" s="55" t="s">
        <v>1375</v>
      </c>
      <c r="N413" s="282" t="s">
        <v>1215</v>
      </c>
      <c r="O413" s="238" t="s">
        <v>126</v>
      </c>
      <c r="P413" s="64" t="str">
        <f ca="1">IF(AND(OR(INDIRECT("K" &amp; ROW())="NAV-Premium",INDIRECT("K" &amp; ROW())="DA-Premium"),INDIRECT("M" &amp; ROW())="PARTITION_SCHEMA128__NavPiviJpn", INDIRECT("O" &amp; ROW())="JPN_SDB"),'SDB vs GN'!$B$41, IF(INDIRECT("H" &amp; ROW())="Chenc",'SDB vs GN'!$B$40, VLOOKUP(INDIRECT("O" &amp; ROW()),'SDB vs GN'!$A$16:$B$38,2,FALSE)))</f>
        <v>735_LA</v>
      </c>
      <c r="Q413" s="79" t="s">
        <v>396</v>
      </c>
      <c r="R413" s="64" t="s">
        <v>59</v>
      </c>
      <c r="S413" s="103" t="s">
        <v>10</v>
      </c>
      <c r="T413" s="295" t="s">
        <v>449</v>
      </c>
      <c r="U413" s="104" t="s">
        <v>816</v>
      </c>
      <c r="V413" s="172" t="s">
        <v>930</v>
      </c>
      <c r="W413" s="298" t="s">
        <v>447</v>
      </c>
      <c r="X413" s="64" t="s">
        <v>521</v>
      </c>
      <c r="Y413" s="282" t="s">
        <v>1286</v>
      </c>
      <c r="Z413" s="282" t="s">
        <v>1592</v>
      </c>
      <c r="AA413" s="299"/>
      <c r="AB413" s="300" t="s">
        <v>225</v>
      </c>
      <c r="AC413" s="301" t="s">
        <v>2782</v>
      </c>
      <c r="AD413" s="67" t="s">
        <v>888</v>
      </c>
      <c r="AE413" s="302"/>
      <c r="AF413" s="194"/>
      <c r="AG413" s="194"/>
      <c r="AH413" s="194" t="s">
        <v>2781</v>
      </c>
      <c r="AI413" s="24"/>
      <c r="AJ413" s="24"/>
      <c r="AK413" s="24"/>
      <c r="AL413" s="24"/>
    </row>
    <row r="414" spans="1:38" ht="250.8">
      <c r="A414" s="51">
        <v>405</v>
      </c>
      <c r="B414" s="81" t="str">
        <f t="shared" si="7"/>
        <v>0195</v>
      </c>
      <c r="C414" s="229" t="s">
        <v>1895</v>
      </c>
      <c r="D414" s="55" t="s">
        <v>1013</v>
      </c>
      <c r="E414" s="282" t="s">
        <v>1233</v>
      </c>
      <c r="F414" s="267" t="s">
        <v>1055</v>
      </c>
      <c r="G414" s="252" t="s">
        <v>879</v>
      </c>
      <c r="H414" s="282" t="s">
        <v>637</v>
      </c>
      <c r="I414" s="295" t="s">
        <v>815</v>
      </c>
      <c r="J414" s="282" t="s">
        <v>0</v>
      </c>
      <c r="K414" s="282" t="s">
        <v>452</v>
      </c>
      <c r="L414" s="297" t="s">
        <v>857</v>
      </c>
      <c r="M414" s="55" t="s">
        <v>1375</v>
      </c>
      <c r="N414" s="282" t="s">
        <v>1215</v>
      </c>
      <c r="O414" s="238" t="s">
        <v>126</v>
      </c>
      <c r="P414" s="64" t="str">
        <f ca="1">IF(AND(OR(INDIRECT("K" &amp; ROW())="NAV-Premium",INDIRECT("K" &amp; ROW())="DA-Premium"),INDIRECT("M" &amp; ROW())="PARTITION_SCHEMA128__NavPiviJpn", INDIRECT("O" &amp; ROW())="JPN_SDB"),'SDB vs GN'!$B$41, IF(INDIRECT("H" &amp; ROW())="Chenc",'SDB vs GN'!$B$40, VLOOKUP(INDIRECT("O" &amp; ROW()),'SDB vs GN'!$A$16:$B$38,2,FALSE)))</f>
        <v>735_LA</v>
      </c>
      <c r="Q414" s="79" t="s">
        <v>396</v>
      </c>
      <c r="R414" s="64" t="s">
        <v>59</v>
      </c>
      <c r="S414" s="103" t="s">
        <v>10</v>
      </c>
      <c r="T414" s="295" t="s">
        <v>449</v>
      </c>
      <c r="U414" s="104" t="s">
        <v>816</v>
      </c>
      <c r="V414" s="172" t="s">
        <v>1133</v>
      </c>
      <c r="W414" s="298" t="s">
        <v>447</v>
      </c>
      <c r="X414" s="64" t="s">
        <v>521</v>
      </c>
      <c r="Y414" s="282" t="s">
        <v>1286</v>
      </c>
      <c r="Z414" s="282" t="s">
        <v>1592</v>
      </c>
      <c r="AA414" s="299"/>
      <c r="AB414" s="300" t="s">
        <v>225</v>
      </c>
      <c r="AC414" s="301" t="s">
        <v>2780</v>
      </c>
      <c r="AD414" s="67" t="s">
        <v>888</v>
      </c>
      <c r="AE414" s="302"/>
      <c r="AF414" s="194"/>
      <c r="AG414" s="194"/>
      <c r="AH414" s="194" t="s">
        <v>2779</v>
      </c>
      <c r="AI414" s="24"/>
      <c r="AJ414" s="24"/>
      <c r="AK414" s="24"/>
      <c r="AL414" s="24"/>
    </row>
    <row r="415" spans="1:38" ht="26.4">
      <c r="A415" s="51">
        <v>406</v>
      </c>
      <c r="B415" s="81" t="str">
        <f t="shared" si="7"/>
        <v>0196</v>
      </c>
      <c r="C415" s="94" t="s">
        <v>1262</v>
      </c>
      <c r="D415" s="94" t="s">
        <v>104</v>
      </c>
      <c r="E415" s="282" t="s">
        <v>1233</v>
      </c>
      <c r="F415" s="169" t="s">
        <v>1056</v>
      </c>
      <c r="G415" s="169" t="s">
        <v>347</v>
      </c>
      <c r="H415" s="282" t="s">
        <v>637</v>
      </c>
      <c r="I415" s="79" t="s">
        <v>815</v>
      </c>
      <c r="J415" s="127" t="s">
        <v>1</v>
      </c>
      <c r="K415" s="282" t="s">
        <v>750</v>
      </c>
      <c r="L415" s="64" t="s">
        <v>856</v>
      </c>
      <c r="M415" s="55" t="s">
        <v>1612</v>
      </c>
      <c r="N415" s="282" t="s">
        <v>1215</v>
      </c>
      <c r="O415" s="238" t="s">
        <v>73</v>
      </c>
      <c r="P415" s="64" t="str">
        <f ca="1">IF(AND(OR(INDIRECT("K" &amp; ROW())="NAV-Premium",INDIRECT("K" &amp; ROW())="DA-Premium"),INDIRECT("M" &amp; ROW())="PARTITION_SCHEMA128__NavPiviJpn", INDIRECT("O" &amp; ROW())="JPN_SDB"),'SDB vs GN'!$B$41, IF(INDIRECT("H" &amp; ROW())="Chenc",'SDB vs GN'!$B$40, VLOOKUP(INDIRECT("O" &amp; ROW()),'SDB vs GN'!$A$16:$B$38,2,FALSE)))</f>
        <v>731_EUR</v>
      </c>
      <c r="Q415" s="79" t="s">
        <v>396</v>
      </c>
      <c r="R415" s="64" t="s">
        <v>59</v>
      </c>
      <c r="S415" s="103" t="s">
        <v>10</v>
      </c>
      <c r="T415" s="64" t="s">
        <v>449</v>
      </c>
      <c r="U415" s="104" t="s">
        <v>816</v>
      </c>
      <c r="V415" s="172" t="s">
        <v>1249</v>
      </c>
      <c r="W415" s="76" t="s">
        <v>447</v>
      </c>
      <c r="X415" s="64" t="s">
        <v>521</v>
      </c>
      <c r="Y415" s="282" t="s">
        <v>1286</v>
      </c>
      <c r="Z415" s="282" t="s">
        <v>1592</v>
      </c>
      <c r="AA415" s="96"/>
      <c r="AB415" s="131" t="s">
        <v>225</v>
      </c>
      <c r="AC415" s="302" t="s">
        <v>1549</v>
      </c>
      <c r="AD415" s="72" t="s">
        <v>888</v>
      </c>
      <c r="AE415" s="302"/>
      <c r="AF415" s="67"/>
      <c r="AG415" s="67"/>
      <c r="AH415" s="194" t="s">
        <v>1550</v>
      </c>
      <c r="AI415" s="24"/>
      <c r="AJ415" s="24"/>
      <c r="AK415" s="24"/>
      <c r="AL415" s="24"/>
    </row>
    <row r="416" spans="1:38">
      <c r="A416" s="51">
        <v>407</v>
      </c>
      <c r="B416" s="81" t="str">
        <f t="shared" si="7"/>
        <v>0197</v>
      </c>
      <c r="C416" s="94" t="s">
        <v>1263</v>
      </c>
      <c r="D416" s="94" t="s">
        <v>104</v>
      </c>
      <c r="E416" s="282" t="s">
        <v>1233</v>
      </c>
      <c r="F416" s="169" t="s">
        <v>1056</v>
      </c>
      <c r="G416" s="169" t="s">
        <v>347</v>
      </c>
      <c r="H416" s="282" t="s">
        <v>637</v>
      </c>
      <c r="I416" s="79" t="s">
        <v>815</v>
      </c>
      <c r="J416" s="127" t="s">
        <v>1</v>
      </c>
      <c r="K416" s="282" t="s">
        <v>750</v>
      </c>
      <c r="L416" s="64" t="s">
        <v>856</v>
      </c>
      <c r="M416" s="55" t="s">
        <v>1612</v>
      </c>
      <c r="N416" s="282" t="s">
        <v>1215</v>
      </c>
      <c r="O416" s="238" t="s">
        <v>826</v>
      </c>
      <c r="P416" s="64" t="str">
        <f ca="1">IF(AND(OR(INDIRECT("K" &amp; ROW())="NAV-Premium",INDIRECT("K" &amp; ROW())="DA-Premium"),INDIRECT("M" &amp; ROW())="PARTITION_SCHEMA128__NavPiviJpn", INDIRECT("O" &amp; ROW())="JPN_SDB"),'SDB vs GN'!$B$41, IF(INDIRECT("H" &amp; ROW())="Chenc",'SDB vs GN'!$B$40, VLOOKUP(INDIRECT("O" &amp; ROW()),'SDB vs GN'!$A$16:$B$38,2,FALSE)))</f>
        <v>731_EUR</v>
      </c>
      <c r="Q416" s="79" t="s">
        <v>396</v>
      </c>
      <c r="R416" s="64" t="s">
        <v>59</v>
      </c>
      <c r="S416" s="103" t="s">
        <v>10</v>
      </c>
      <c r="T416" s="64" t="s">
        <v>449</v>
      </c>
      <c r="U416" s="104" t="s">
        <v>816</v>
      </c>
      <c r="V416" s="326" t="s">
        <v>549</v>
      </c>
      <c r="W416" s="76" t="s">
        <v>447</v>
      </c>
      <c r="X416" s="64" t="s">
        <v>521</v>
      </c>
      <c r="Y416" s="282" t="s">
        <v>1286</v>
      </c>
      <c r="Z416" s="282" t="s">
        <v>1592</v>
      </c>
      <c r="AA416" s="96"/>
      <c r="AB416" s="131" t="s">
        <v>225</v>
      </c>
      <c r="AC416" s="301" t="s">
        <v>1251</v>
      </c>
      <c r="AD416" s="72" t="s">
        <v>888</v>
      </c>
      <c r="AE416" s="302"/>
      <c r="AF416" s="67"/>
      <c r="AG416" s="67"/>
      <c r="AH416" s="194" t="s">
        <v>1250</v>
      </c>
      <c r="AI416" s="24"/>
      <c r="AJ416" s="24"/>
      <c r="AK416" s="24"/>
      <c r="AL416" s="24"/>
    </row>
    <row r="417" spans="1:38" ht="26.4">
      <c r="A417" s="51">
        <v>408</v>
      </c>
      <c r="B417" s="81" t="str">
        <f t="shared" si="7"/>
        <v>0198</v>
      </c>
      <c r="C417" s="94" t="s">
        <v>1264</v>
      </c>
      <c r="D417" s="94" t="s">
        <v>104</v>
      </c>
      <c r="E417" s="282" t="s">
        <v>1233</v>
      </c>
      <c r="F417" s="169" t="s">
        <v>1056</v>
      </c>
      <c r="G417" s="169" t="s">
        <v>347</v>
      </c>
      <c r="H417" s="282" t="s">
        <v>637</v>
      </c>
      <c r="I417" s="79" t="s">
        <v>815</v>
      </c>
      <c r="J417" s="127" t="s">
        <v>1</v>
      </c>
      <c r="K417" s="282" t="s">
        <v>750</v>
      </c>
      <c r="L417" s="64" t="s">
        <v>856</v>
      </c>
      <c r="M417" s="55" t="s">
        <v>1612</v>
      </c>
      <c r="N417" s="282" t="s">
        <v>1215</v>
      </c>
      <c r="O417" s="238" t="s">
        <v>826</v>
      </c>
      <c r="P417" s="64" t="str">
        <f ca="1">IF(AND(OR(INDIRECT("K" &amp; ROW())="NAV-Premium",INDIRECT("K" &amp; ROW())="DA-Premium"),INDIRECT("M" &amp; ROW())="PARTITION_SCHEMA128__NavPiviJpn", INDIRECT("O" &amp; ROW())="JPN_SDB"),'SDB vs GN'!$B$41, IF(INDIRECT("H" &amp; ROW())="Chenc",'SDB vs GN'!$B$40, VLOOKUP(INDIRECT("O" &amp; ROW()),'SDB vs GN'!$A$16:$B$38,2,FALSE)))</f>
        <v>731_EUR</v>
      </c>
      <c r="Q417" s="79" t="s">
        <v>396</v>
      </c>
      <c r="R417" s="64" t="s">
        <v>59</v>
      </c>
      <c r="S417" s="103" t="s">
        <v>10</v>
      </c>
      <c r="T417" s="64" t="s">
        <v>449</v>
      </c>
      <c r="U417" s="104" t="s">
        <v>816</v>
      </c>
      <c r="V417" s="172" t="s">
        <v>552</v>
      </c>
      <c r="W417" s="76" t="s">
        <v>447</v>
      </c>
      <c r="X417" s="64" t="s">
        <v>521</v>
      </c>
      <c r="Y417" s="282" t="s">
        <v>1286</v>
      </c>
      <c r="Z417" s="282" t="s">
        <v>1592</v>
      </c>
      <c r="AA417" s="96"/>
      <c r="AB417" s="131" t="s">
        <v>225</v>
      </c>
      <c r="AC417" s="301" t="s">
        <v>1551</v>
      </c>
      <c r="AD417" s="72" t="s">
        <v>888</v>
      </c>
      <c r="AE417" s="302"/>
      <c r="AF417" s="67"/>
      <c r="AG417" s="67"/>
      <c r="AH417" s="194" t="s">
        <v>1552</v>
      </c>
      <c r="AI417" s="24"/>
      <c r="AJ417" s="24"/>
      <c r="AK417" s="24"/>
      <c r="AL417" s="24"/>
    </row>
    <row r="418" spans="1:38" ht="26.4">
      <c r="A418" s="51">
        <v>409</v>
      </c>
      <c r="B418" s="81" t="str">
        <f t="shared" si="7"/>
        <v>0199</v>
      </c>
      <c r="C418" s="72" t="s">
        <v>1265</v>
      </c>
      <c r="D418" s="94" t="s">
        <v>104</v>
      </c>
      <c r="E418" s="282" t="s">
        <v>1233</v>
      </c>
      <c r="F418" s="169" t="s">
        <v>1056</v>
      </c>
      <c r="G418" s="169" t="s">
        <v>347</v>
      </c>
      <c r="H418" s="282" t="s">
        <v>637</v>
      </c>
      <c r="I418" s="79" t="s">
        <v>815</v>
      </c>
      <c r="J418" s="127" t="s">
        <v>1</v>
      </c>
      <c r="K418" s="282" t="s">
        <v>750</v>
      </c>
      <c r="L418" s="64" t="s">
        <v>856</v>
      </c>
      <c r="M418" s="55" t="s">
        <v>1612</v>
      </c>
      <c r="N418" s="282" t="s">
        <v>1215</v>
      </c>
      <c r="O418" s="238" t="s">
        <v>97</v>
      </c>
      <c r="P418" s="64" t="str">
        <f ca="1">IF(AND(OR(INDIRECT("K" &amp; ROW())="NAV-Premium",INDIRECT("K" &amp; ROW())="DA-Premium"),INDIRECT("M" &amp; ROW())="PARTITION_SCHEMA128__NavPiviJpn", INDIRECT("O" &amp; ROW())="JPN_SDB"),'SDB vs GN'!$B$41, IF(INDIRECT("H" &amp; ROW())="Chenc",'SDB vs GN'!$B$40, VLOOKUP(INDIRECT("O" &amp; ROW()),'SDB vs GN'!$A$16:$B$38,2,FALSE)))</f>
        <v>734_CN_831_AUSKRJPN</v>
      </c>
      <c r="Q418" s="79" t="s">
        <v>396</v>
      </c>
      <c r="R418" s="165" t="s">
        <v>61</v>
      </c>
      <c r="S418" s="103" t="s">
        <v>10</v>
      </c>
      <c r="T418" s="64" t="s">
        <v>449</v>
      </c>
      <c r="U418" s="104" t="s">
        <v>816</v>
      </c>
      <c r="V418" s="172" t="s">
        <v>551</v>
      </c>
      <c r="W418" s="76" t="s">
        <v>447</v>
      </c>
      <c r="X418" s="64" t="s">
        <v>521</v>
      </c>
      <c r="Y418" s="282" t="s">
        <v>1286</v>
      </c>
      <c r="Z418" s="282" t="s">
        <v>1592</v>
      </c>
      <c r="AA418" s="96"/>
      <c r="AB418" s="131" t="s">
        <v>225</v>
      </c>
      <c r="AC418" s="301" t="s">
        <v>1553</v>
      </c>
      <c r="AD418" s="72" t="s">
        <v>888</v>
      </c>
      <c r="AE418" s="302"/>
      <c r="AF418" s="67"/>
      <c r="AG418" s="67"/>
      <c r="AH418" s="194" t="s">
        <v>1554</v>
      </c>
      <c r="AI418" s="24"/>
      <c r="AJ418" s="24"/>
      <c r="AK418" s="24"/>
      <c r="AL418" s="24"/>
    </row>
    <row r="419" spans="1:38" ht="66">
      <c r="A419" s="51">
        <v>410</v>
      </c>
      <c r="B419" s="81" t="str">
        <f t="shared" si="7"/>
        <v>019A</v>
      </c>
      <c r="C419" s="94" t="s">
        <v>1344</v>
      </c>
      <c r="D419" s="94" t="s">
        <v>104</v>
      </c>
      <c r="E419" s="282" t="s">
        <v>1233</v>
      </c>
      <c r="F419" s="169" t="s">
        <v>1048</v>
      </c>
      <c r="G419" s="169" t="s">
        <v>347</v>
      </c>
      <c r="H419" s="282" t="s">
        <v>637</v>
      </c>
      <c r="I419" s="79" t="s">
        <v>815</v>
      </c>
      <c r="J419" s="127" t="s">
        <v>1</v>
      </c>
      <c r="K419" s="282" t="s">
        <v>750</v>
      </c>
      <c r="L419" s="79" t="s">
        <v>500</v>
      </c>
      <c r="M419" s="55" t="s">
        <v>1618</v>
      </c>
      <c r="N419" s="282" t="s">
        <v>1215</v>
      </c>
      <c r="O419" s="238" t="s">
        <v>73</v>
      </c>
      <c r="P419" s="64" t="str">
        <f ca="1">IF(AND(OR(INDIRECT("K" &amp; ROW())="NAV-Premium",INDIRECT("K" &amp; ROW())="DA-Premium"),INDIRECT("M" &amp; ROW())="PARTITION_SCHEMA128__NavPiviJpn", INDIRECT("O" &amp; ROW())="JPN_SDB"),'SDB vs GN'!$B$41, IF(INDIRECT("H" &amp; ROW())="Chenc",'SDB vs GN'!$B$40, VLOOKUP(INDIRECT("O" &amp; ROW()),'SDB vs GN'!$A$16:$B$38,2,FALSE)))</f>
        <v>731_EUR</v>
      </c>
      <c r="Q419" s="79" t="s">
        <v>396</v>
      </c>
      <c r="R419" s="64" t="s">
        <v>59</v>
      </c>
      <c r="S419" s="103" t="s">
        <v>10</v>
      </c>
      <c r="T419" s="64" t="s">
        <v>449</v>
      </c>
      <c r="U419" s="104" t="s">
        <v>816</v>
      </c>
      <c r="V419" s="172" t="s">
        <v>1249</v>
      </c>
      <c r="W419" s="76" t="s">
        <v>447</v>
      </c>
      <c r="X419" s="64" t="s">
        <v>521</v>
      </c>
      <c r="Y419" s="282" t="s">
        <v>1286</v>
      </c>
      <c r="Z419" s="282" t="s">
        <v>1592</v>
      </c>
      <c r="AA419" s="96"/>
      <c r="AB419" s="131" t="s">
        <v>225</v>
      </c>
      <c r="AC419" s="301" t="s">
        <v>1773</v>
      </c>
      <c r="AD419" s="72" t="s">
        <v>808</v>
      </c>
      <c r="AE419" s="302"/>
      <c r="AF419" s="67"/>
      <c r="AG419" s="67"/>
      <c r="AH419" s="302" t="s">
        <v>1774</v>
      </c>
      <c r="AI419" s="24"/>
      <c r="AJ419" s="24"/>
      <c r="AK419" s="24"/>
      <c r="AL419" s="24"/>
    </row>
    <row r="420" spans="1:38" ht="52.8">
      <c r="A420" s="347">
        <v>411</v>
      </c>
      <c r="B420" s="348" t="str">
        <f t="shared" si="7"/>
        <v>019B</v>
      </c>
      <c r="C420" s="323" t="s">
        <v>1270</v>
      </c>
      <c r="D420" s="282" t="s">
        <v>704</v>
      </c>
      <c r="E420" s="282" t="s">
        <v>1233</v>
      </c>
      <c r="F420" s="349" t="s">
        <v>1044</v>
      </c>
      <c r="G420" s="349" t="s">
        <v>345</v>
      </c>
      <c r="H420" s="282" t="s">
        <v>637</v>
      </c>
      <c r="I420" s="350" t="s">
        <v>815</v>
      </c>
      <c r="J420" s="282" t="s">
        <v>0</v>
      </c>
      <c r="K420" s="282" t="s">
        <v>452</v>
      </c>
      <c r="L420" s="330" t="s">
        <v>1271</v>
      </c>
      <c r="M420" s="282" t="s">
        <v>256</v>
      </c>
      <c r="N420" s="282" t="s">
        <v>1215</v>
      </c>
      <c r="O420" s="304" t="s">
        <v>54</v>
      </c>
      <c r="P420" s="297" t="str">
        <f ca="1">IF(AND(OR(INDIRECT("K" &amp; ROW())="NAV-Premium",INDIRECT("K" &amp; ROW())="DA-Premium"),INDIRECT("M" &amp; ROW())="PARTITION_SCHEMA128__NavPiviJpn", INDIRECT("O" &amp; ROW())="JPN_SDB"),'[2]SDB vs GN'!$B$34, IF(INDIRECT("H" &amp; ROW())="Chenc",'[2]SDB vs GN'!$B$33, VLOOKUP(INDIRECT("O" &amp; ROW()),'[2]SDB vs GN'!$A$16:$B$31,2,FALSE)))</f>
        <v>731_EUR</v>
      </c>
      <c r="Q420" s="295" t="s">
        <v>396</v>
      </c>
      <c r="R420" s="351" t="s">
        <v>61</v>
      </c>
      <c r="S420" s="331" t="s">
        <v>10</v>
      </c>
      <c r="T420" s="297" t="s">
        <v>449</v>
      </c>
      <c r="U420" s="332" t="s">
        <v>816</v>
      </c>
      <c r="V420" s="352" t="s">
        <v>1007</v>
      </c>
      <c r="W420" s="298" t="s">
        <v>447</v>
      </c>
      <c r="X420" s="297" t="s">
        <v>521</v>
      </c>
      <c r="Y420" s="282" t="s">
        <v>1286</v>
      </c>
      <c r="Z420" s="282" t="s">
        <v>1592</v>
      </c>
      <c r="AA420" s="299"/>
      <c r="AB420" s="306" t="s">
        <v>225</v>
      </c>
      <c r="AC420" s="333" t="s">
        <v>1589</v>
      </c>
      <c r="AD420" s="353" t="s">
        <v>808</v>
      </c>
      <c r="AE420" s="302"/>
      <c r="AF420" s="302"/>
      <c r="AG420" s="302"/>
      <c r="AH420" s="303" t="s">
        <v>1590</v>
      </c>
      <c r="AI420" s="24"/>
      <c r="AJ420" s="24"/>
      <c r="AK420" s="24"/>
      <c r="AL420" s="24"/>
    </row>
    <row r="421" spans="1:38" ht="26.4">
      <c r="A421" s="51">
        <v>412</v>
      </c>
      <c r="B421" s="81" t="str">
        <f t="shared" si="7"/>
        <v>019C</v>
      </c>
      <c r="C421" s="334" t="s">
        <v>1446</v>
      </c>
      <c r="D421" s="295" t="s">
        <v>143</v>
      </c>
      <c r="E421" s="295" t="s">
        <v>1233</v>
      </c>
      <c r="F421" s="335" t="s">
        <v>1045</v>
      </c>
      <c r="G421" s="335" t="s">
        <v>878</v>
      </c>
      <c r="H421" s="282" t="s">
        <v>637</v>
      </c>
      <c r="I421" s="314" t="s">
        <v>5</v>
      </c>
      <c r="J421" s="282" t="s">
        <v>0</v>
      </c>
      <c r="K421" s="282" t="s">
        <v>452</v>
      </c>
      <c r="L421" s="330" t="s">
        <v>499</v>
      </c>
      <c r="M421" s="282" t="s">
        <v>236</v>
      </c>
      <c r="N421" s="282" t="s">
        <v>1215</v>
      </c>
      <c r="O421" s="304" t="s">
        <v>55</v>
      </c>
      <c r="P421" s="64" t="str">
        <f ca="1">IF(AND(OR(INDIRECT("K" &amp; ROW())="NAV-Premium",INDIRECT("K" &amp; ROW())="DA-Premium"),INDIRECT("M" &amp; ROW())="PARTITION_SCHEMA128__NavPiviJpn", INDIRECT("O" &amp; ROW())="JPN_SDB"),'SDB vs GN'!$B$41, IF(INDIRECT("H" &amp; ROW())="Chenc",'SDB vs GN'!$B$40, VLOOKUP(INDIRECT("O" &amp; ROW()),'SDB vs GN'!$A$16:$B$38,2,FALSE)))</f>
        <v>742_JPN_831_AUSKRJPN</v>
      </c>
      <c r="Q421" s="295" t="s">
        <v>20</v>
      </c>
      <c r="R421" s="336" t="s">
        <v>59</v>
      </c>
      <c r="S421" s="331" t="s">
        <v>10</v>
      </c>
      <c r="T421" s="295" t="s">
        <v>449</v>
      </c>
      <c r="U421" s="332" t="s">
        <v>816</v>
      </c>
      <c r="V421" s="337" t="s">
        <v>615</v>
      </c>
      <c r="W421" s="338" t="s">
        <v>447</v>
      </c>
      <c r="X421" s="297" t="s">
        <v>521</v>
      </c>
      <c r="Y421" s="282" t="s">
        <v>1286</v>
      </c>
      <c r="Z421" s="282" t="s">
        <v>1592</v>
      </c>
      <c r="AA421" s="299"/>
      <c r="AB421" s="339" t="s">
        <v>225</v>
      </c>
      <c r="AC421" s="333" t="s">
        <v>1350</v>
      </c>
      <c r="AD421" s="302" t="s">
        <v>888</v>
      </c>
      <c r="AE421" s="302"/>
      <c r="AF421" s="302"/>
      <c r="AG421" s="302"/>
      <c r="AH421" s="302" t="s">
        <v>1351</v>
      </c>
    </row>
    <row r="422" spans="1:38" ht="66">
      <c r="A422" s="51">
        <v>413</v>
      </c>
      <c r="B422" s="81" t="str">
        <f t="shared" si="7"/>
        <v>019D</v>
      </c>
      <c r="C422" s="61" t="s">
        <v>1276</v>
      </c>
      <c r="D422" s="55" t="s">
        <v>704</v>
      </c>
      <c r="E422" s="282" t="s">
        <v>1233</v>
      </c>
      <c r="F422" s="248" t="s">
        <v>1052</v>
      </c>
      <c r="G422" s="346" t="s">
        <v>761</v>
      </c>
      <c r="H422" s="55" t="s">
        <v>637</v>
      </c>
      <c r="I422" s="94" t="s">
        <v>4</v>
      </c>
      <c r="J422" s="127" t="s">
        <v>1</v>
      </c>
      <c r="K422" s="329" t="s">
        <v>900</v>
      </c>
      <c r="L422" s="64" t="s">
        <v>856</v>
      </c>
      <c r="M422" s="55" t="s">
        <v>1611</v>
      </c>
      <c r="N422" s="282" t="s">
        <v>1215</v>
      </c>
      <c r="O422" s="239" t="s">
        <v>53</v>
      </c>
      <c r="P422" s="64" t="str">
        <f ca="1">IF(AND(OR(INDIRECT("K" &amp; ROW())="NAV-Premium",INDIRECT("K" &amp; ROW())="DA-Premium"),INDIRECT("M" &amp; ROW())="PARTITION_SCHEMA128__NavPiviJpn", INDIRECT("O" &amp; ROW())="JPN_SDB"),'SDB vs GN'!$B$41, IF(INDIRECT("H" &amp; ROW())="Chenc",'SDB vs GN'!$B$40, VLOOKUP(INDIRECT("O" &amp; ROW()),'SDB vs GN'!$A$16:$B$38,2,FALSE)))</f>
        <v>No_Gracenote</v>
      </c>
      <c r="Q422" s="79" t="s">
        <v>396</v>
      </c>
      <c r="R422" s="156" t="s">
        <v>61</v>
      </c>
      <c r="S422" s="157" t="s">
        <v>10</v>
      </c>
      <c r="T422" s="79" t="s">
        <v>449</v>
      </c>
      <c r="U422" s="104" t="s">
        <v>816</v>
      </c>
      <c r="V422" s="173" t="s">
        <v>7</v>
      </c>
      <c r="W422" s="129" t="s">
        <v>447</v>
      </c>
      <c r="X422" s="64" t="s">
        <v>521</v>
      </c>
      <c r="Y422" s="282" t="s">
        <v>1286</v>
      </c>
      <c r="Z422" s="282" t="s">
        <v>1592</v>
      </c>
      <c r="AA422" s="96"/>
      <c r="AB422" s="154" t="s">
        <v>225</v>
      </c>
      <c r="AC422" s="229" t="s">
        <v>1739</v>
      </c>
      <c r="AD422" s="72" t="s">
        <v>888</v>
      </c>
      <c r="AE422" s="302"/>
      <c r="AF422" s="67"/>
      <c r="AG422" s="67"/>
      <c r="AH422" s="261" t="s">
        <v>1557</v>
      </c>
      <c r="AI422" s="24"/>
      <c r="AJ422" s="24"/>
      <c r="AK422" s="24"/>
      <c r="AL422" s="24"/>
    </row>
    <row r="423" spans="1:38">
      <c r="A423" s="51">
        <v>414</v>
      </c>
      <c r="B423" s="81" t="str">
        <f t="shared" si="7"/>
        <v>019E</v>
      </c>
      <c r="C423" s="155" t="s">
        <v>962</v>
      </c>
      <c r="D423" s="55" t="s">
        <v>1195</v>
      </c>
      <c r="E423" s="295" t="s">
        <v>1233</v>
      </c>
      <c r="F423" s="78" t="s">
        <v>1052</v>
      </c>
      <c r="G423" s="78" t="s">
        <v>761</v>
      </c>
      <c r="H423" s="55" t="s">
        <v>637</v>
      </c>
      <c r="I423" s="295" t="s">
        <v>815</v>
      </c>
      <c r="J423" s="127" t="s">
        <v>1</v>
      </c>
      <c r="K423" s="55" t="s">
        <v>749</v>
      </c>
      <c r="L423" s="64" t="s">
        <v>856</v>
      </c>
      <c r="M423" s="282" t="s">
        <v>1614</v>
      </c>
      <c r="N423" s="282" t="s">
        <v>1215</v>
      </c>
      <c r="O423" s="296" t="s">
        <v>84</v>
      </c>
      <c r="P423" s="64" t="str">
        <f ca="1">IF(AND(OR(INDIRECT("K" &amp; ROW())="NAV-Premium",INDIRECT("K" &amp; ROW())="DA-Premium"),INDIRECT("M" &amp; ROW())="PARTITION_SCHEMA128__NavPiviJpn", INDIRECT("O" &amp; ROW())="JPN_SDB"),'SDB vs GN'!$B$41, IF(INDIRECT("H" &amp; ROW())="Chenc",'SDB vs GN'!$B$40, VLOOKUP(INDIRECT("O" &amp; ROW()),'SDB vs GN'!$A$16:$B$38,2,FALSE)))</f>
        <v>727_NAM</v>
      </c>
      <c r="Q423" s="79" t="s">
        <v>396</v>
      </c>
      <c r="R423" s="64" t="s">
        <v>60</v>
      </c>
      <c r="S423" s="103" t="s">
        <v>10</v>
      </c>
      <c r="T423" s="79" t="s">
        <v>449</v>
      </c>
      <c r="U423" s="104" t="s">
        <v>12</v>
      </c>
      <c r="V423" s="173" t="s">
        <v>566</v>
      </c>
      <c r="W423" s="298" t="s">
        <v>447</v>
      </c>
      <c r="X423" s="64" t="s">
        <v>521</v>
      </c>
      <c r="Y423" s="282" t="s">
        <v>1286</v>
      </c>
      <c r="Z423" s="282" t="s">
        <v>1592</v>
      </c>
      <c r="AA423" s="96"/>
      <c r="AB423" s="131" t="s">
        <v>225</v>
      </c>
      <c r="AC423" s="229" t="s">
        <v>1300</v>
      </c>
      <c r="AD423" s="72" t="s">
        <v>888</v>
      </c>
      <c r="AE423" s="302"/>
      <c r="AF423" s="194"/>
      <c r="AG423" s="194"/>
      <c r="AH423" s="261" t="s">
        <v>1302</v>
      </c>
      <c r="AI423" s="24"/>
      <c r="AJ423" s="24"/>
      <c r="AK423" s="24"/>
      <c r="AL423" s="24"/>
    </row>
    <row r="424" spans="1:38">
      <c r="A424" s="51">
        <v>415</v>
      </c>
      <c r="B424" s="81" t="str">
        <f t="shared" si="7"/>
        <v>019F</v>
      </c>
      <c r="C424" s="72" t="s">
        <v>1345</v>
      </c>
      <c r="D424" s="94" t="s">
        <v>104</v>
      </c>
      <c r="E424" s="314" t="s">
        <v>1233</v>
      </c>
      <c r="F424" s="169" t="s">
        <v>1048</v>
      </c>
      <c r="G424" s="169" t="s">
        <v>347</v>
      </c>
      <c r="H424" s="282" t="s">
        <v>637</v>
      </c>
      <c r="I424" s="79" t="s">
        <v>815</v>
      </c>
      <c r="J424" s="127" t="s">
        <v>1</v>
      </c>
      <c r="K424" s="127" t="s">
        <v>750</v>
      </c>
      <c r="L424" s="79" t="s">
        <v>500</v>
      </c>
      <c r="M424" s="55" t="s">
        <v>1618</v>
      </c>
      <c r="N424" s="282" t="s">
        <v>1215</v>
      </c>
      <c r="O424" s="238" t="s">
        <v>825</v>
      </c>
      <c r="P424" s="64" t="str">
        <f ca="1">IF(AND(OR(INDIRECT("K" &amp; ROW())="NAV-Premium",INDIRECT("K" &amp; ROW())="DA-Premium"),INDIRECT("M" &amp; ROW())="PARTITION_SCHEMA128__NavPiviJpn", INDIRECT("O" &amp; ROW())="JPN_SDB"),'SDB vs GN'!$B$41, IF(INDIRECT("H" &amp; ROW())="Chenc",'SDB vs GN'!$B$40, VLOOKUP(INDIRECT("O" &amp; ROW()),'SDB vs GN'!$A$16:$B$38,2,FALSE)))</f>
        <v>831_AUSKRJPN</v>
      </c>
      <c r="Q424" s="79" t="s">
        <v>396</v>
      </c>
      <c r="R424" s="64" t="s">
        <v>61</v>
      </c>
      <c r="S424" s="157" t="s">
        <v>10</v>
      </c>
      <c r="T424" s="64" t="s">
        <v>449</v>
      </c>
      <c r="U424" s="104" t="s">
        <v>816</v>
      </c>
      <c r="V424" s="172" t="s">
        <v>544</v>
      </c>
      <c r="W424" s="76" t="s">
        <v>447</v>
      </c>
      <c r="X424" s="64" t="s">
        <v>521</v>
      </c>
      <c r="Y424" s="282" t="s">
        <v>1286</v>
      </c>
      <c r="Z424" s="282" t="s">
        <v>1592</v>
      </c>
      <c r="AA424" s="299"/>
      <c r="AB424" s="300" t="s">
        <v>225</v>
      </c>
      <c r="AC424" s="301" t="s">
        <v>1304</v>
      </c>
      <c r="AD424" s="72" t="s">
        <v>808</v>
      </c>
      <c r="AE424" s="302"/>
      <c r="AF424" s="67"/>
      <c r="AG424" s="67"/>
      <c r="AH424" s="303" t="s">
        <v>1305</v>
      </c>
      <c r="AI424" s="24"/>
      <c r="AJ424" s="24"/>
      <c r="AK424" s="24"/>
      <c r="AL424" s="24"/>
    </row>
    <row r="425" spans="1:38" ht="66">
      <c r="A425" s="51">
        <v>416</v>
      </c>
      <c r="B425" s="81" t="str">
        <f t="shared" si="7"/>
        <v>01A0</v>
      </c>
      <c r="C425" s="79" t="s">
        <v>1323</v>
      </c>
      <c r="D425" s="94" t="s">
        <v>136</v>
      </c>
      <c r="E425" s="295" t="s">
        <v>1233</v>
      </c>
      <c r="F425" s="192" t="s">
        <v>1051</v>
      </c>
      <c r="G425" s="192" t="s">
        <v>348</v>
      </c>
      <c r="H425" s="282" t="s">
        <v>637</v>
      </c>
      <c r="I425" s="94" t="s">
        <v>4</v>
      </c>
      <c r="J425" s="127" t="s">
        <v>1</v>
      </c>
      <c r="K425" s="127" t="s">
        <v>751</v>
      </c>
      <c r="L425" s="79" t="s">
        <v>500</v>
      </c>
      <c r="M425" s="55" t="s">
        <v>1616</v>
      </c>
      <c r="N425" s="282" t="s">
        <v>1215</v>
      </c>
      <c r="O425" s="239" t="s">
        <v>53</v>
      </c>
      <c r="P425" s="64" t="str">
        <f ca="1">IF(AND(OR(INDIRECT("K" &amp; ROW())="NAV-Premium",INDIRECT("K" &amp; ROW())="DA-Premium"),INDIRECT("M" &amp; ROW())="PARTITION_SCHEMA128__NavPiviJpn", INDIRECT("O" &amp; ROW())="JPN_SDB"),'SDB vs GN'!$B$41, IF(INDIRECT("H" &amp; ROW())="Chenc",'SDB vs GN'!$B$40, VLOOKUP(INDIRECT("O" &amp; ROW()),'SDB vs GN'!$A$16:$B$38,2,FALSE)))</f>
        <v>No_Gracenote</v>
      </c>
      <c r="Q425" s="79" t="s">
        <v>396</v>
      </c>
      <c r="R425" s="64" t="s">
        <v>59</v>
      </c>
      <c r="S425" s="340" t="s">
        <v>10</v>
      </c>
      <c r="T425" s="64" t="s">
        <v>449</v>
      </c>
      <c r="U425" s="104" t="s">
        <v>816</v>
      </c>
      <c r="V425" s="173" t="s">
        <v>7</v>
      </c>
      <c r="W425" s="298" t="s">
        <v>447</v>
      </c>
      <c r="X425" s="64" t="s">
        <v>521</v>
      </c>
      <c r="Y425" s="282" t="s">
        <v>1286</v>
      </c>
      <c r="Z425" s="282" t="s">
        <v>1592</v>
      </c>
      <c r="AA425" s="299"/>
      <c r="AB425" s="300" t="s">
        <v>225</v>
      </c>
      <c r="AC425" s="307" t="s">
        <v>1832</v>
      </c>
      <c r="AD425" s="72" t="s">
        <v>808</v>
      </c>
      <c r="AE425" s="302"/>
      <c r="AF425" s="67"/>
      <c r="AG425" s="67"/>
      <c r="AH425" s="194" t="s">
        <v>1833</v>
      </c>
      <c r="AI425" s="24"/>
      <c r="AJ425" s="24"/>
      <c r="AK425" s="24"/>
      <c r="AL425" s="24"/>
    </row>
    <row r="426" spans="1:38" ht="66">
      <c r="A426" s="51">
        <v>417</v>
      </c>
      <c r="B426" s="81" t="str">
        <f t="shared" ref="B426:B432" si="8">DEC2HEX(A426,4)</f>
        <v>01A1</v>
      </c>
      <c r="C426" s="76" t="s">
        <v>1361</v>
      </c>
      <c r="D426" s="94" t="s">
        <v>104</v>
      </c>
      <c r="E426" s="314" t="s">
        <v>1233</v>
      </c>
      <c r="F426" s="178" t="s">
        <v>1044</v>
      </c>
      <c r="G426" s="178" t="s">
        <v>345</v>
      </c>
      <c r="H426" s="282" t="s">
        <v>637</v>
      </c>
      <c r="I426" s="79" t="s">
        <v>815</v>
      </c>
      <c r="J426" s="282" t="s">
        <v>0</v>
      </c>
      <c r="K426" s="282" t="s">
        <v>453</v>
      </c>
      <c r="L426" s="100" t="s">
        <v>1271</v>
      </c>
      <c r="M426" s="55" t="s">
        <v>254</v>
      </c>
      <c r="N426" s="282" t="s">
        <v>1215</v>
      </c>
      <c r="O426" s="238" t="s">
        <v>825</v>
      </c>
      <c r="P426" s="64" t="str">
        <f ca="1">IF(AND(OR(INDIRECT("K" &amp; ROW())="NAV-Premium",INDIRECT("K" &amp; ROW())="DA-Premium"),INDIRECT("M" &amp; ROW())="PARTITION_SCHEMA128__NavPiviJpn", INDIRECT("O" &amp; ROW())="JPN_SDB"),'SDB vs GN'!$B$41, IF(INDIRECT("H" &amp; ROW())="Chenc",'SDB vs GN'!$B$40, VLOOKUP(INDIRECT("O" &amp; ROW()),'SDB vs GN'!$A$16:$B$38,2,FALSE)))</f>
        <v>831_AUSKRJPN</v>
      </c>
      <c r="Q426" s="79" t="s">
        <v>396</v>
      </c>
      <c r="R426" s="67" t="s">
        <v>61</v>
      </c>
      <c r="S426" s="340" t="s">
        <v>10</v>
      </c>
      <c r="T426" s="64" t="s">
        <v>449</v>
      </c>
      <c r="U426" s="104" t="s">
        <v>816</v>
      </c>
      <c r="V426" s="172" t="s">
        <v>617</v>
      </c>
      <c r="W426" s="76" t="s">
        <v>447</v>
      </c>
      <c r="X426" s="64" t="s">
        <v>521</v>
      </c>
      <c r="Y426" s="282" t="s">
        <v>1286</v>
      </c>
      <c r="Z426" s="282" t="s">
        <v>1592</v>
      </c>
      <c r="AA426" s="299"/>
      <c r="AB426" s="300" t="s">
        <v>225</v>
      </c>
      <c r="AC426" s="301" t="s">
        <v>2255</v>
      </c>
      <c r="AD426" s="72" t="s">
        <v>808</v>
      </c>
      <c r="AE426" s="302"/>
      <c r="AF426" s="302"/>
      <c r="AG426" s="302"/>
      <c r="AH426" s="261" t="s">
        <v>2254</v>
      </c>
      <c r="AI426" s="24"/>
      <c r="AJ426" s="24"/>
      <c r="AK426" s="24"/>
      <c r="AL426" s="24"/>
    </row>
    <row r="427" spans="1:38" ht="52.8">
      <c r="A427" s="51">
        <v>418</v>
      </c>
      <c r="B427" s="81" t="str">
        <f t="shared" si="8"/>
        <v>01A2</v>
      </c>
      <c r="C427" s="76" t="s">
        <v>1362</v>
      </c>
      <c r="D427" s="94" t="s">
        <v>704</v>
      </c>
      <c r="E427" s="314" t="s">
        <v>1233</v>
      </c>
      <c r="F427" s="178" t="s">
        <v>1044</v>
      </c>
      <c r="G427" s="178" t="s">
        <v>345</v>
      </c>
      <c r="H427" s="282" t="s">
        <v>637</v>
      </c>
      <c r="I427" s="79" t="s">
        <v>815</v>
      </c>
      <c r="J427" s="282" t="s">
        <v>0</v>
      </c>
      <c r="K427" s="282" t="s">
        <v>452</v>
      </c>
      <c r="L427" s="100" t="s">
        <v>1271</v>
      </c>
      <c r="M427" s="55" t="s">
        <v>254</v>
      </c>
      <c r="N427" s="282" t="s">
        <v>1215</v>
      </c>
      <c r="O427" s="238" t="s">
        <v>825</v>
      </c>
      <c r="P427" s="64" t="str">
        <f ca="1">IF(AND(OR(INDIRECT("K" &amp; ROW())="NAV-Premium",INDIRECT("K" &amp; ROW())="DA-Premium"),INDIRECT("M" &amp; ROW())="PARTITION_SCHEMA128__NavPiviJpn", INDIRECT("O" &amp; ROW())="JPN_SDB"),'SDB vs GN'!$B$41, IF(INDIRECT("H" &amp; ROW())="Chenc",'SDB vs GN'!$B$40, VLOOKUP(INDIRECT("O" &amp; ROW()),'SDB vs GN'!$A$16:$B$38,2,FALSE)))</f>
        <v>831_AUSKRJPN</v>
      </c>
      <c r="Q427" s="79" t="s">
        <v>396</v>
      </c>
      <c r="R427" s="67" t="s">
        <v>61</v>
      </c>
      <c r="S427" s="340" t="s">
        <v>10</v>
      </c>
      <c r="T427" s="64" t="s">
        <v>449</v>
      </c>
      <c r="U427" s="104" t="s">
        <v>816</v>
      </c>
      <c r="V427" s="172" t="s">
        <v>612</v>
      </c>
      <c r="W427" s="76" t="s">
        <v>447</v>
      </c>
      <c r="X427" s="64" t="s">
        <v>521</v>
      </c>
      <c r="Y427" s="282" t="s">
        <v>1286</v>
      </c>
      <c r="Z427" s="282" t="s">
        <v>1592</v>
      </c>
      <c r="AA427" s="299"/>
      <c r="AB427" s="300" t="s">
        <v>225</v>
      </c>
      <c r="AC427" s="301" t="s">
        <v>1702</v>
      </c>
      <c r="AD427" s="72" t="s">
        <v>808</v>
      </c>
      <c r="AE427" s="302"/>
      <c r="AF427" s="302"/>
      <c r="AG427" s="302"/>
      <c r="AH427" s="303" t="s">
        <v>1703</v>
      </c>
      <c r="AI427" s="24"/>
      <c r="AJ427" s="24"/>
      <c r="AK427" s="24"/>
      <c r="AL427" s="24"/>
    </row>
    <row r="428" spans="1:38" ht="39.6">
      <c r="A428" s="51">
        <v>419</v>
      </c>
      <c r="B428" s="81" t="str">
        <f t="shared" si="8"/>
        <v>01A3</v>
      </c>
      <c r="C428" s="76" t="s">
        <v>1371</v>
      </c>
      <c r="D428" s="94" t="s">
        <v>704</v>
      </c>
      <c r="E428" s="314" t="s">
        <v>1233</v>
      </c>
      <c r="F428" s="178" t="s">
        <v>1044</v>
      </c>
      <c r="G428" s="178" t="s">
        <v>345</v>
      </c>
      <c r="H428" s="282" t="s">
        <v>637</v>
      </c>
      <c r="I428" s="295" t="s">
        <v>815</v>
      </c>
      <c r="J428" s="282" t="s">
        <v>0</v>
      </c>
      <c r="K428" s="55" t="s">
        <v>452</v>
      </c>
      <c r="L428" s="330" t="s">
        <v>499</v>
      </c>
      <c r="M428" s="55" t="s">
        <v>254</v>
      </c>
      <c r="N428" s="282" t="s">
        <v>1215</v>
      </c>
      <c r="O428" s="238" t="s">
        <v>825</v>
      </c>
      <c r="P428" s="64" t="str">
        <f ca="1">IF(AND(OR(INDIRECT("K" &amp; ROW())="NAV-Premium",INDIRECT("K" &amp; ROW())="DA-Premium"),INDIRECT("M" &amp; ROW())="PARTITION_SCHEMA128__NavPiviJpn", INDIRECT("O" &amp; ROW())="JPN_SDB"),'SDB vs GN'!$B$41, IF(INDIRECT("H" &amp; ROW())="Chenc",'SDB vs GN'!$B$40, VLOOKUP(INDIRECT("O" &amp; ROW()),'SDB vs GN'!$A$16:$B$38,2,FALSE)))</f>
        <v>831_AUSKRJPN</v>
      </c>
      <c r="Q428" s="79" t="s">
        <v>396</v>
      </c>
      <c r="R428" s="64" t="s">
        <v>59</v>
      </c>
      <c r="S428" s="340" t="s">
        <v>10</v>
      </c>
      <c r="T428" s="297" t="s">
        <v>449</v>
      </c>
      <c r="U428" s="104" t="s">
        <v>816</v>
      </c>
      <c r="V428" s="172" t="s">
        <v>1244</v>
      </c>
      <c r="W428" s="298" t="s">
        <v>447</v>
      </c>
      <c r="X428" s="64" t="s">
        <v>521</v>
      </c>
      <c r="Y428" s="282" t="s">
        <v>1286</v>
      </c>
      <c r="Z428" s="282" t="s">
        <v>1592</v>
      </c>
      <c r="AA428" s="299"/>
      <c r="AB428" s="300" t="s">
        <v>225</v>
      </c>
      <c r="AC428" s="229" t="s">
        <v>1597</v>
      </c>
      <c r="AD428" s="72" t="s">
        <v>808</v>
      </c>
      <c r="AE428" s="302"/>
      <c r="AF428" s="302"/>
      <c r="AG428" s="302"/>
      <c r="AH428" s="303" t="s">
        <v>1598</v>
      </c>
      <c r="AI428" s="24"/>
      <c r="AJ428" s="24"/>
      <c r="AK428" s="24"/>
      <c r="AL428" s="24"/>
    </row>
    <row r="429" spans="1:38" ht="79.2">
      <c r="A429" s="51">
        <v>420</v>
      </c>
      <c r="B429" s="81" t="str">
        <f t="shared" si="8"/>
        <v>01A4</v>
      </c>
      <c r="C429" s="76" t="s">
        <v>1372</v>
      </c>
      <c r="D429" s="94" t="s">
        <v>704</v>
      </c>
      <c r="E429" s="314" t="s">
        <v>1233</v>
      </c>
      <c r="F429" s="178" t="s">
        <v>1044</v>
      </c>
      <c r="G429" s="178" t="s">
        <v>345</v>
      </c>
      <c r="H429" s="282" t="s">
        <v>637</v>
      </c>
      <c r="I429" s="295" t="s">
        <v>815</v>
      </c>
      <c r="J429" s="282" t="s">
        <v>0</v>
      </c>
      <c r="K429" s="55" t="s">
        <v>452</v>
      </c>
      <c r="L429" s="330" t="s">
        <v>499</v>
      </c>
      <c r="M429" s="55" t="s">
        <v>254</v>
      </c>
      <c r="N429" s="282" t="s">
        <v>1215</v>
      </c>
      <c r="O429" s="238" t="s">
        <v>825</v>
      </c>
      <c r="P429" s="64" t="str">
        <f ca="1">IF(AND(OR(INDIRECT("K" &amp; ROW())="NAV-Premium",INDIRECT("K" &amp; ROW())="DA-Premium"),INDIRECT("M" &amp; ROW())="PARTITION_SCHEMA128__NavPiviJpn", INDIRECT("O" &amp; ROW())="JPN_SDB"),'SDB vs GN'!$B$41, IF(INDIRECT("H" &amp; ROW())="Chenc",'SDB vs GN'!$B$40, VLOOKUP(INDIRECT("O" &amp; ROW()),'SDB vs GN'!$A$16:$B$38,2,FALSE)))</f>
        <v>831_AUSKRJPN</v>
      </c>
      <c r="Q429" s="79" t="s">
        <v>396</v>
      </c>
      <c r="R429" s="64" t="s">
        <v>59</v>
      </c>
      <c r="S429" s="340" t="s">
        <v>10</v>
      </c>
      <c r="T429" s="297" t="s">
        <v>449</v>
      </c>
      <c r="U429" s="104" t="s">
        <v>816</v>
      </c>
      <c r="V429" s="172" t="s">
        <v>1368</v>
      </c>
      <c r="W429" s="298" t="s">
        <v>447</v>
      </c>
      <c r="X429" s="64" t="s">
        <v>521</v>
      </c>
      <c r="Y429" s="282" t="s">
        <v>1286</v>
      </c>
      <c r="Z429" s="282" t="s">
        <v>1592</v>
      </c>
      <c r="AA429" s="299"/>
      <c r="AB429" s="300" t="s">
        <v>225</v>
      </c>
      <c r="AC429" s="301" t="s">
        <v>2398</v>
      </c>
      <c r="AD429" s="72" t="s">
        <v>808</v>
      </c>
      <c r="AE429" s="302"/>
      <c r="AF429" s="302"/>
      <c r="AG429" s="302"/>
      <c r="AH429" s="194" t="s">
        <v>2397</v>
      </c>
      <c r="AI429" s="24"/>
      <c r="AJ429" s="24"/>
      <c r="AK429" s="24"/>
      <c r="AL429" s="24"/>
    </row>
    <row r="430" spans="1:38" ht="198">
      <c r="A430" s="51">
        <v>421</v>
      </c>
      <c r="B430" s="81" t="str">
        <f t="shared" si="8"/>
        <v>01A5</v>
      </c>
      <c r="C430" s="226" t="s">
        <v>1481</v>
      </c>
      <c r="D430" s="55" t="s">
        <v>704</v>
      </c>
      <c r="E430" s="282" t="s">
        <v>1233</v>
      </c>
      <c r="F430" s="178" t="s">
        <v>1044</v>
      </c>
      <c r="G430" s="178" t="s">
        <v>345</v>
      </c>
      <c r="H430" s="55" t="s">
        <v>637</v>
      </c>
      <c r="I430" s="155" t="s">
        <v>815</v>
      </c>
      <c r="J430" s="55" t="s">
        <v>0</v>
      </c>
      <c r="K430" s="55" t="s">
        <v>452</v>
      </c>
      <c r="L430" s="158" t="s">
        <v>499</v>
      </c>
      <c r="M430" s="55" t="s">
        <v>254</v>
      </c>
      <c r="N430" s="282" t="s">
        <v>1215</v>
      </c>
      <c r="O430" s="238" t="s">
        <v>826</v>
      </c>
      <c r="P430" s="64" t="str">
        <f ca="1">IF(AND(OR(INDIRECT("K" &amp; ROW())="NAV-Premium",INDIRECT("K" &amp; ROW())="DA-Premium"),INDIRECT("M" &amp; ROW())="PARTITION_SCHEMA128__NavPiviJpn", INDIRECT("O" &amp; ROW())="JPN_SDB"),'SDB vs GN'!$B$41, IF(INDIRECT("H" &amp; ROW())="Chenc",'SDB vs GN'!$B$40, VLOOKUP(INDIRECT("O" &amp; ROW()),'SDB vs GN'!$A$16:$B$38,2,FALSE)))</f>
        <v>731_EUR</v>
      </c>
      <c r="Q430" s="79" t="s">
        <v>396</v>
      </c>
      <c r="R430" s="135" t="s">
        <v>61</v>
      </c>
      <c r="S430" s="103" t="s">
        <v>10</v>
      </c>
      <c r="T430" s="64" t="s">
        <v>449</v>
      </c>
      <c r="U430" s="104" t="s">
        <v>816</v>
      </c>
      <c r="V430" s="172" t="s">
        <v>931</v>
      </c>
      <c r="W430" s="76" t="s">
        <v>447</v>
      </c>
      <c r="X430" s="64" t="s">
        <v>521</v>
      </c>
      <c r="Y430" s="282" t="s">
        <v>1286</v>
      </c>
      <c r="Z430" s="282" t="s">
        <v>1592</v>
      </c>
      <c r="AA430" s="96"/>
      <c r="AB430" s="131" t="s">
        <v>225</v>
      </c>
      <c r="AC430" s="226" t="s">
        <v>2529</v>
      </c>
      <c r="AD430" s="72" t="s">
        <v>808</v>
      </c>
      <c r="AE430" s="302"/>
      <c r="AF430" s="67"/>
      <c r="AG430" s="67"/>
      <c r="AH430" s="261" t="s">
        <v>2530</v>
      </c>
      <c r="AI430" s="24"/>
      <c r="AJ430" s="24"/>
      <c r="AK430" s="24"/>
      <c r="AL430" s="24"/>
    </row>
    <row r="431" spans="1:38" ht="39.6">
      <c r="A431" s="51">
        <v>422</v>
      </c>
      <c r="B431" s="81" t="str">
        <f t="shared" si="8"/>
        <v>01A6</v>
      </c>
      <c r="C431" s="135" t="s">
        <v>1378</v>
      </c>
      <c r="D431" s="79" t="s">
        <v>143</v>
      </c>
      <c r="E431" s="314" t="s">
        <v>1233</v>
      </c>
      <c r="F431" s="78" t="s">
        <v>1052</v>
      </c>
      <c r="G431" s="78" t="s">
        <v>761</v>
      </c>
      <c r="H431" s="282" t="s">
        <v>637</v>
      </c>
      <c r="I431" s="295" t="s">
        <v>815</v>
      </c>
      <c r="J431" s="127" t="s">
        <v>1</v>
      </c>
      <c r="K431" s="79" t="s">
        <v>749</v>
      </c>
      <c r="L431" s="64" t="s">
        <v>856</v>
      </c>
      <c r="M431" s="282" t="s">
        <v>1614</v>
      </c>
      <c r="N431" s="282" t="s">
        <v>1215</v>
      </c>
      <c r="O431" s="296" t="s">
        <v>84</v>
      </c>
      <c r="P431" s="64" t="str">
        <f ca="1">IF(AND(OR(INDIRECT("K" &amp; ROW())="NAV-Premium",INDIRECT("K" &amp; ROW())="DA-Premium"),INDIRECT("M" &amp; ROW())="PARTITION_SCHEMA128__NavPiviJpn", INDIRECT("O" &amp; ROW())="JPN_SDB"),'SDB vs GN'!$B$41, IF(INDIRECT("H" &amp; ROW())="Chenc",'SDB vs GN'!$B$40, VLOOKUP(INDIRECT("O" &amp; ROW()),'SDB vs GN'!$A$16:$B$38,2,FALSE)))</f>
        <v>727_NAM</v>
      </c>
      <c r="Q431" s="79" t="s">
        <v>396</v>
      </c>
      <c r="R431" s="64" t="s">
        <v>60</v>
      </c>
      <c r="S431" s="103" t="s">
        <v>10</v>
      </c>
      <c r="T431" s="295" t="s">
        <v>449</v>
      </c>
      <c r="U431" s="104" t="s">
        <v>12</v>
      </c>
      <c r="V431" s="68" t="s">
        <v>529</v>
      </c>
      <c r="W431" s="298" t="s">
        <v>447</v>
      </c>
      <c r="X431" s="64" t="s">
        <v>521</v>
      </c>
      <c r="Y431" s="282" t="s">
        <v>1286</v>
      </c>
      <c r="Z431" s="282" t="s">
        <v>1592</v>
      </c>
      <c r="AA431" s="299"/>
      <c r="AB431" s="300" t="s">
        <v>225</v>
      </c>
      <c r="AC431" s="226" t="s">
        <v>1522</v>
      </c>
      <c r="AD431" s="72" t="s">
        <v>888</v>
      </c>
      <c r="AE431" s="302"/>
      <c r="AF431" s="67"/>
      <c r="AG431" s="67"/>
      <c r="AH431" s="194" t="s">
        <v>1523</v>
      </c>
      <c r="AI431" s="24"/>
      <c r="AJ431" s="24"/>
      <c r="AK431" s="24"/>
      <c r="AL431" s="24"/>
    </row>
    <row r="432" spans="1:38" ht="409.6">
      <c r="A432" s="51">
        <v>423</v>
      </c>
      <c r="B432" s="81" t="str">
        <f t="shared" si="8"/>
        <v>01A7</v>
      </c>
      <c r="C432" s="226" t="s">
        <v>1447</v>
      </c>
      <c r="D432" s="55" t="s">
        <v>1013</v>
      </c>
      <c r="E432" s="282" t="s">
        <v>1233</v>
      </c>
      <c r="F432" s="251" t="s">
        <v>1561</v>
      </c>
      <c r="G432" s="251" t="s">
        <v>878</v>
      </c>
      <c r="H432" s="282" t="s">
        <v>637</v>
      </c>
      <c r="I432" s="295" t="s">
        <v>5</v>
      </c>
      <c r="J432" s="283" t="s">
        <v>0</v>
      </c>
      <c r="K432" s="282" t="s">
        <v>452</v>
      </c>
      <c r="L432" s="297" t="s">
        <v>1393</v>
      </c>
      <c r="M432" s="55" t="s">
        <v>236</v>
      </c>
      <c r="N432" s="282" t="s">
        <v>1215</v>
      </c>
      <c r="O432" s="238" t="s">
        <v>55</v>
      </c>
      <c r="P432" s="64" t="str">
        <f ca="1">IF(AND(OR(INDIRECT("K" &amp; ROW())="NAV-Premium",INDIRECT("K" &amp; ROW())="DA-Premium"),INDIRECT("M" &amp; ROW())="PARTITION_SCHEMA128__NavPiviJpn", INDIRECT("O" &amp; ROW())="JPN_SDB"),'SDB vs GN'!$B$41, IF(INDIRECT("H" &amp; ROW())="Chenc",'SDB vs GN'!$B$40, VLOOKUP(INDIRECT("O" &amp; ROW()),'SDB vs GN'!$A$16:$B$38,2,FALSE)))</f>
        <v>742_JPN_831_AUSKRJPN</v>
      </c>
      <c r="Q432" s="79" t="s">
        <v>396</v>
      </c>
      <c r="R432" s="64" t="s">
        <v>133</v>
      </c>
      <c r="S432" s="103" t="s">
        <v>10</v>
      </c>
      <c r="T432" s="295" t="s">
        <v>449</v>
      </c>
      <c r="U432" s="104" t="s">
        <v>816</v>
      </c>
      <c r="V432" s="174" t="s">
        <v>615</v>
      </c>
      <c r="W432" s="298" t="s">
        <v>447</v>
      </c>
      <c r="X432" s="64" t="s">
        <v>362</v>
      </c>
      <c r="Y432" s="282" t="s">
        <v>1286</v>
      </c>
      <c r="Z432" s="282" t="s">
        <v>1592</v>
      </c>
      <c r="AA432" s="299"/>
      <c r="AB432" s="300" t="s">
        <v>225</v>
      </c>
      <c r="AC432" s="224" t="s">
        <v>2863</v>
      </c>
      <c r="AD432" s="67" t="s">
        <v>889</v>
      </c>
      <c r="AE432" s="302"/>
      <c r="AF432" s="302"/>
      <c r="AG432" s="302"/>
      <c r="AH432" s="303" t="s">
        <v>2864</v>
      </c>
      <c r="AI432" s="24"/>
      <c r="AJ432" s="24"/>
      <c r="AK432" s="24"/>
      <c r="AL432" s="24"/>
    </row>
    <row r="433" spans="1:38" ht="409.6">
      <c r="A433" s="51">
        <v>424</v>
      </c>
      <c r="B433" s="81" t="str">
        <f t="shared" ref="B433:B447" si="9">DEC2HEX(A433,4)</f>
        <v>01A8</v>
      </c>
      <c r="C433" s="64" t="s">
        <v>1429</v>
      </c>
      <c r="D433" s="94" t="s">
        <v>136</v>
      </c>
      <c r="E433" s="295" t="s">
        <v>1233</v>
      </c>
      <c r="F433" s="355" t="s">
        <v>1054</v>
      </c>
      <c r="G433" s="355" t="s">
        <v>344</v>
      </c>
      <c r="H433" s="282" t="s">
        <v>637</v>
      </c>
      <c r="I433" s="94" t="s">
        <v>4</v>
      </c>
      <c r="J433" s="283" t="s">
        <v>0</v>
      </c>
      <c r="K433" s="282" t="s">
        <v>451</v>
      </c>
      <c r="L433" s="297" t="s">
        <v>1393</v>
      </c>
      <c r="M433" s="55" t="s">
        <v>255</v>
      </c>
      <c r="N433" s="282" t="s">
        <v>1215</v>
      </c>
      <c r="O433" s="296" t="s">
        <v>84</v>
      </c>
      <c r="P433" s="64" t="str">
        <f ca="1">IF(AND(OR(INDIRECT("K" &amp; ROW())="NAV-Premium",INDIRECT("K" &amp; ROW())="DA-Premium"),INDIRECT("M" &amp; ROW())="PARTITION_SCHEMA128__NavPiviJpn", INDIRECT("O" &amp; ROW())="JPN_SDB"),'SDB vs GN'!$B$41, IF(INDIRECT("H" &amp; ROW())="Chenc",'SDB vs GN'!$B$40, VLOOKUP(INDIRECT("O" &amp; ROW()),'SDB vs GN'!$A$16:$B$38,2,FALSE)))</f>
        <v>727_NAM</v>
      </c>
      <c r="Q433" s="79" t="s">
        <v>396</v>
      </c>
      <c r="R433" s="64" t="s">
        <v>59</v>
      </c>
      <c r="S433" s="103" t="s">
        <v>10</v>
      </c>
      <c r="T433" s="295" t="s">
        <v>450</v>
      </c>
      <c r="U433" s="104" t="s">
        <v>816</v>
      </c>
      <c r="V433" s="173" t="s">
        <v>7</v>
      </c>
      <c r="W433" s="76" t="s">
        <v>2184</v>
      </c>
      <c r="X433" s="64" t="s">
        <v>521</v>
      </c>
      <c r="Y433" s="282" t="s">
        <v>1286</v>
      </c>
      <c r="Z433" s="282" t="s">
        <v>1592</v>
      </c>
      <c r="AA433" s="299"/>
      <c r="AB433" s="300" t="s">
        <v>225</v>
      </c>
      <c r="AC433" s="224" t="s">
        <v>2578</v>
      </c>
      <c r="AD433" s="67" t="s">
        <v>889</v>
      </c>
      <c r="AE433" s="302"/>
      <c r="AF433" s="302"/>
      <c r="AG433" s="302"/>
      <c r="AH433" s="303" t="s">
        <v>2577</v>
      </c>
      <c r="AI433" s="24"/>
      <c r="AJ433" s="24"/>
      <c r="AK433" s="24"/>
      <c r="AL433" s="24"/>
    </row>
    <row r="434" spans="1:38" ht="409.6">
      <c r="A434" s="51">
        <v>425</v>
      </c>
      <c r="B434" s="81" t="str">
        <f t="shared" si="9"/>
        <v>01A9</v>
      </c>
      <c r="C434" s="64" t="s">
        <v>1631</v>
      </c>
      <c r="D434" s="55" t="s">
        <v>1013</v>
      </c>
      <c r="E434" s="314" t="s">
        <v>1233</v>
      </c>
      <c r="F434" s="354" t="s">
        <v>1055</v>
      </c>
      <c r="G434" s="354" t="s">
        <v>879</v>
      </c>
      <c r="H434" s="282" t="s">
        <v>637</v>
      </c>
      <c r="I434" s="295" t="s">
        <v>815</v>
      </c>
      <c r="J434" s="283" t="s">
        <v>0</v>
      </c>
      <c r="K434" s="282" t="s">
        <v>452</v>
      </c>
      <c r="L434" s="297" t="s">
        <v>1393</v>
      </c>
      <c r="M434" s="55" t="s">
        <v>236</v>
      </c>
      <c r="N434" s="282" t="s">
        <v>1215</v>
      </c>
      <c r="O434" s="296" t="s">
        <v>84</v>
      </c>
      <c r="P434" s="64" t="str">
        <f ca="1">IF(AND(OR(INDIRECT("K" &amp; ROW())="NAV-Premium",INDIRECT("K" &amp; ROW())="DA-Premium"),INDIRECT("M" &amp; ROW())="PARTITION_SCHEMA128__NavPiviJpn", INDIRECT("O" &amp; ROW())="JPN_SDB"),'SDB vs GN'!$B$41, IF(INDIRECT("H" &amp; ROW())="Chenc",'SDB vs GN'!$B$40, VLOOKUP(INDIRECT("O" &amp; ROW()),'SDB vs GN'!$A$16:$B$38,2,FALSE)))</f>
        <v>727_NAM</v>
      </c>
      <c r="Q434" s="79" t="s">
        <v>396</v>
      </c>
      <c r="R434" s="64" t="s">
        <v>60</v>
      </c>
      <c r="S434" s="103" t="s">
        <v>10</v>
      </c>
      <c r="T434" s="295" t="s">
        <v>450</v>
      </c>
      <c r="U434" s="104" t="s">
        <v>816</v>
      </c>
      <c r="V434" s="308" t="s">
        <v>1131</v>
      </c>
      <c r="W434" s="298" t="s">
        <v>447</v>
      </c>
      <c r="X434" s="64" t="s">
        <v>521</v>
      </c>
      <c r="Y434" s="282" t="s">
        <v>1286</v>
      </c>
      <c r="Z434" s="282" t="s">
        <v>1592</v>
      </c>
      <c r="AA434" s="299"/>
      <c r="AB434" s="300" t="s">
        <v>225</v>
      </c>
      <c r="AC434" s="301" t="s">
        <v>2640</v>
      </c>
      <c r="AD434" s="67" t="s">
        <v>889</v>
      </c>
      <c r="AE434" s="302"/>
      <c r="AF434" s="302"/>
      <c r="AG434" s="302"/>
      <c r="AH434" s="303" t="s">
        <v>2641</v>
      </c>
      <c r="AI434" s="24"/>
      <c r="AJ434" s="24"/>
      <c r="AK434" s="24"/>
      <c r="AL434" s="24"/>
    </row>
    <row r="435" spans="1:38">
      <c r="A435" s="51">
        <v>426</v>
      </c>
      <c r="B435" s="81" t="str">
        <f t="shared" si="9"/>
        <v>01AA</v>
      </c>
      <c r="C435" s="55" t="s">
        <v>1632</v>
      </c>
      <c r="D435" s="94" t="s">
        <v>136</v>
      </c>
      <c r="E435" s="295" t="s">
        <v>1233</v>
      </c>
      <c r="F435" s="355" t="s">
        <v>1054</v>
      </c>
      <c r="G435" s="355" t="s">
        <v>344</v>
      </c>
      <c r="H435" s="282" t="s">
        <v>637</v>
      </c>
      <c r="I435" s="94" t="s">
        <v>4</v>
      </c>
      <c r="J435" s="283" t="s">
        <v>0</v>
      </c>
      <c r="K435" s="282" t="s">
        <v>451</v>
      </c>
      <c r="L435" s="297" t="s">
        <v>1393</v>
      </c>
      <c r="M435" s="55" t="s">
        <v>1392</v>
      </c>
      <c r="N435" s="282" t="s">
        <v>1215</v>
      </c>
      <c r="O435" s="239" t="s">
        <v>54</v>
      </c>
      <c r="P435" s="64" t="str">
        <f ca="1">IF(AND(OR(INDIRECT("K" &amp; ROW())="NAV-Premium",INDIRECT("K" &amp; ROW())="DA-Premium"),INDIRECT("M" &amp; ROW())="PARTITION_SCHEMA128__NavPiviJpn", INDIRECT("O" &amp; ROW())="JPN_SDB"),'SDB vs GN'!$B$41, IF(INDIRECT("H" &amp; ROW())="Chenc",'SDB vs GN'!$B$40, VLOOKUP(INDIRECT("O" &amp; ROW()),'SDB vs GN'!$A$16:$B$38,2,FALSE)))</f>
        <v>731_EUR</v>
      </c>
      <c r="Q435" s="79" t="s">
        <v>396</v>
      </c>
      <c r="R435" s="64" t="s">
        <v>61</v>
      </c>
      <c r="S435" s="340" t="s">
        <v>10</v>
      </c>
      <c r="T435" s="297" t="s">
        <v>449</v>
      </c>
      <c r="U435" s="104" t="s">
        <v>816</v>
      </c>
      <c r="V435" s="173" t="s">
        <v>7</v>
      </c>
      <c r="W435" s="76" t="s">
        <v>2184</v>
      </c>
      <c r="X435" s="64" t="s">
        <v>521</v>
      </c>
      <c r="Y435" s="282" t="s">
        <v>1286</v>
      </c>
      <c r="Z435" s="282" t="s">
        <v>1592</v>
      </c>
      <c r="AA435" s="299"/>
      <c r="AB435" s="300" t="s">
        <v>225</v>
      </c>
      <c r="AC435" s="307" t="s">
        <v>1388</v>
      </c>
      <c r="AD435" s="67" t="s">
        <v>889</v>
      </c>
      <c r="AE435" s="302"/>
      <c r="AF435" s="302"/>
      <c r="AG435" s="302"/>
      <c r="AH435" s="303" t="s">
        <v>1390</v>
      </c>
      <c r="AI435" s="24"/>
      <c r="AJ435" s="24"/>
      <c r="AK435" s="24"/>
      <c r="AL435" s="24"/>
    </row>
    <row r="436" spans="1:38" ht="184.8">
      <c r="A436" s="51">
        <v>427</v>
      </c>
      <c r="B436" s="81" t="str">
        <f t="shared" si="9"/>
        <v>01AB</v>
      </c>
      <c r="C436" s="72" t="s">
        <v>1437</v>
      </c>
      <c r="D436" s="55" t="s">
        <v>1013</v>
      </c>
      <c r="E436" s="314" t="s">
        <v>1233</v>
      </c>
      <c r="F436" s="354" t="s">
        <v>1055</v>
      </c>
      <c r="G436" s="354" t="s">
        <v>879</v>
      </c>
      <c r="H436" s="282" t="s">
        <v>637</v>
      </c>
      <c r="I436" s="295" t="s">
        <v>815</v>
      </c>
      <c r="J436" s="283" t="s">
        <v>0</v>
      </c>
      <c r="K436" s="282" t="s">
        <v>452</v>
      </c>
      <c r="L436" s="297" t="s">
        <v>1393</v>
      </c>
      <c r="M436" s="55" t="s">
        <v>236</v>
      </c>
      <c r="N436" s="282" t="s">
        <v>1215</v>
      </c>
      <c r="O436" s="239" t="s">
        <v>54</v>
      </c>
      <c r="P436" s="64" t="str">
        <f ca="1">IF(AND(OR(INDIRECT("K" &amp; ROW())="NAV-Premium",INDIRECT("K" &amp; ROW())="DA-Premium"),INDIRECT("M" &amp; ROW())="PARTITION_SCHEMA128__NavPiviJpn", INDIRECT("O" &amp; ROW())="JPN_SDB"),'SDB vs GN'!$B$41, IF(INDIRECT("H" &amp; ROW())="Chenc",'SDB vs GN'!$B$40, VLOOKUP(INDIRECT("O" &amp; ROW()),'SDB vs GN'!$A$16:$B$38,2,FALSE)))</f>
        <v>731_EUR</v>
      </c>
      <c r="Q436" s="79" t="s">
        <v>396</v>
      </c>
      <c r="R436" s="64" t="s">
        <v>61</v>
      </c>
      <c r="S436" s="340" t="s">
        <v>10</v>
      </c>
      <c r="T436" s="297" t="s">
        <v>449</v>
      </c>
      <c r="U436" s="104" t="s">
        <v>816</v>
      </c>
      <c r="V436" s="172" t="s">
        <v>1132</v>
      </c>
      <c r="W436" s="298" t="s">
        <v>447</v>
      </c>
      <c r="X436" s="64" t="s">
        <v>521</v>
      </c>
      <c r="Y436" s="282" t="s">
        <v>1286</v>
      </c>
      <c r="Z436" s="282" t="s">
        <v>1592</v>
      </c>
      <c r="AA436" s="299"/>
      <c r="AB436" s="300" t="s">
        <v>225</v>
      </c>
      <c r="AC436" s="302" t="s">
        <v>2812</v>
      </c>
      <c r="AD436" s="67" t="s">
        <v>889</v>
      </c>
      <c r="AE436" s="302"/>
      <c r="AF436" s="302"/>
      <c r="AG436" s="302"/>
      <c r="AH436" s="303" t="s">
        <v>2811</v>
      </c>
      <c r="AI436" s="24"/>
      <c r="AJ436" s="24"/>
      <c r="AK436" s="24"/>
      <c r="AL436" s="24"/>
    </row>
    <row r="437" spans="1:38" ht="290.39999999999998">
      <c r="A437" s="51">
        <v>428</v>
      </c>
      <c r="B437" s="81" t="str">
        <f t="shared" si="9"/>
        <v>01AC</v>
      </c>
      <c r="C437" s="376" t="s">
        <v>1879</v>
      </c>
      <c r="D437" s="94" t="s">
        <v>136</v>
      </c>
      <c r="E437" s="314" t="s">
        <v>1233</v>
      </c>
      <c r="F437" s="355" t="s">
        <v>1054</v>
      </c>
      <c r="G437" s="355" t="s">
        <v>344</v>
      </c>
      <c r="H437" s="282" t="s">
        <v>637</v>
      </c>
      <c r="I437" s="94" t="s">
        <v>4</v>
      </c>
      <c r="J437" s="283" t="s">
        <v>0</v>
      </c>
      <c r="K437" s="282" t="s">
        <v>451</v>
      </c>
      <c r="L437" s="297" t="s">
        <v>1393</v>
      </c>
      <c r="M437" s="55" t="s">
        <v>255</v>
      </c>
      <c r="N437" s="282" t="s">
        <v>1215</v>
      </c>
      <c r="O437" s="239" t="s">
        <v>828</v>
      </c>
      <c r="P437" s="64" t="str">
        <f ca="1">IF(AND(OR(INDIRECT("K" &amp; ROW())="NAV-Premium",INDIRECT("K" &amp; ROW())="DA-Premium"),INDIRECT("M" &amp; ROW())="PARTITION_SCHEMA128__NavPiviJpn", INDIRECT("O" &amp; ROW())="JPN_SDB"),'SDB vs GN'!$B$41, IF(INDIRECT("H" &amp; ROW())="Chenc",'SDB vs GN'!$B$40, VLOOKUP(INDIRECT("O" &amp; ROW()),'SDB vs GN'!$A$16:$B$38,2,FALSE)))</f>
        <v>735_LA_831_AUSKRJPN</v>
      </c>
      <c r="Q437" s="79" t="s">
        <v>396</v>
      </c>
      <c r="R437" s="64" t="s">
        <v>59</v>
      </c>
      <c r="S437" s="340" t="s">
        <v>10</v>
      </c>
      <c r="T437" s="295" t="s">
        <v>449</v>
      </c>
      <c r="U437" s="104" t="s">
        <v>816</v>
      </c>
      <c r="V437" s="173" t="s">
        <v>7</v>
      </c>
      <c r="W437" s="76" t="s">
        <v>2184</v>
      </c>
      <c r="X437" s="64" t="s">
        <v>521</v>
      </c>
      <c r="Y437" s="282" t="s">
        <v>1286</v>
      </c>
      <c r="Z437" s="282" t="s">
        <v>1592</v>
      </c>
      <c r="AA437" s="299"/>
      <c r="AB437" s="300" t="s">
        <v>225</v>
      </c>
      <c r="AC437" s="301" t="s">
        <v>2834</v>
      </c>
      <c r="AD437" s="67" t="s">
        <v>889</v>
      </c>
      <c r="AE437" s="302"/>
      <c r="AF437" s="302"/>
      <c r="AG437" s="302"/>
      <c r="AH437" s="303" t="s">
        <v>2833</v>
      </c>
      <c r="AI437" s="24"/>
      <c r="AJ437" s="24"/>
      <c r="AK437" s="24"/>
      <c r="AL437" s="24"/>
    </row>
    <row r="438" spans="1:38" ht="158.4">
      <c r="A438" s="51">
        <v>429</v>
      </c>
      <c r="B438" s="81" t="str">
        <f t="shared" si="9"/>
        <v>01AD</v>
      </c>
      <c r="C438" s="329" t="s">
        <v>1636</v>
      </c>
      <c r="D438" s="55" t="s">
        <v>1013</v>
      </c>
      <c r="E438" s="314" t="s">
        <v>1233</v>
      </c>
      <c r="F438" s="354" t="s">
        <v>1055</v>
      </c>
      <c r="G438" s="354" t="s">
        <v>879</v>
      </c>
      <c r="H438" s="282" t="s">
        <v>637</v>
      </c>
      <c r="I438" s="295" t="s">
        <v>815</v>
      </c>
      <c r="J438" s="283" t="s">
        <v>0</v>
      </c>
      <c r="K438" s="282" t="s">
        <v>452</v>
      </c>
      <c r="L438" s="297" t="s">
        <v>1393</v>
      </c>
      <c r="M438" s="55" t="s">
        <v>1375</v>
      </c>
      <c r="N438" s="282" t="s">
        <v>1215</v>
      </c>
      <c r="O438" s="238" t="s">
        <v>97</v>
      </c>
      <c r="P438" s="64" t="str">
        <f ca="1">IF(AND(OR(INDIRECT("K" &amp; ROW())="NAV-Premium",INDIRECT("K" &amp; ROW())="DA-Premium"),INDIRECT("M" &amp; ROW())="PARTITION_SCHEMA128__NavPiviJpn", INDIRECT("O" &amp; ROW())="JPN_SDB"),'SDB vs GN'!$B$41, IF(INDIRECT("H" &amp; ROW())="Chenc",'SDB vs GN'!$B$40, VLOOKUP(INDIRECT("O" &amp; ROW()),'SDB vs GN'!$A$16:$B$38,2,FALSE)))</f>
        <v>734_CN_831_AUSKRJPN</v>
      </c>
      <c r="Q438" s="79" t="s">
        <v>396</v>
      </c>
      <c r="R438" s="64" t="s">
        <v>59</v>
      </c>
      <c r="S438" s="340" t="s">
        <v>10</v>
      </c>
      <c r="T438" s="295" t="s">
        <v>449</v>
      </c>
      <c r="U438" s="104" t="s">
        <v>816</v>
      </c>
      <c r="V438" s="172" t="s">
        <v>728</v>
      </c>
      <c r="W438" s="298" t="s">
        <v>447</v>
      </c>
      <c r="X438" s="64" t="s">
        <v>521</v>
      </c>
      <c r="Y438" s="282" t="s">
        <v>1286</v>
      </c>
      <c r="Z438" s="282" t="s">
        <v>1592</v>
      </c>
      <c r="AA438" s="299"/>
      <c r="AB438" s="300" t="s">
        <v>225</v>
      </c>
      <c r="AC438" s="301" t="s">
        <v>2830</v>
      </c>
      <c r="AD438" s="67" t="s">
        <v>889</v>
      </c>
      <c r="AE438" s="302"/>
      <c r="AF438" s="302"/>
      <c r="AG438" s="302"/>
      <c r="AH438" s="303" t="s">
        <v>2829</v>
      </c>
      <c r="AI438" s="24"/>
      <c r="AJ438" s="24"/>
      <c r="AK438" s="24"/>
      <c r="AL438" s="24"/>
    </row>
    <row r="439" spans="1:38" ht="237.6">
      <c r="A439" s="51">
        <v>430</v>
      </c>
      <c r="B439" s="81" t="str">
        <f t="shared" si="9"/>
        <v>01AE</v>
      </c>
      <c r="C439" s="76" t="s">
        <v>1633</v>
      </c>
      <c r="D439" s="94" t="s">
        <v>136</v>
      </c>
      <c r="E439" s="282" t="s">
        <v>1233</v>
      </c>
      <c r="F439" s="355" t="s">
        <v>1054</v>
      </c>
      <c r="G439" s="355" t="s">
        <v>344</v>
      </c>
      <c r="H439" s="282" t="s">
        <v>637</v>
      </c>
      <c r="I439" s="94" t="s">
        <v>4</v>
      </c>
      <c r="J439" s="283" t="s">
        <v>0</v>
      </c>
      <c r="K439" s="282" t="s">
        <v>451</v>
      </c>
      <c r="L439" s="297" t="s">
        <v>1393</v>
      </c>
      <c r="M439" s="55" t="s">
        <v>255</v>
      </c>
      <c r="N439" s="282" t="s">
        <v>1215</v>
      </c>
      <c r="O439" s="238" t="s">
        <v>827</v>
      </c>
      <c r="P439" s="64" t="str">
        <f ca="1">IF(AND(OR(INDIRECT("K" &amp; ROW())="NAV-Premium",INDIRECT("K" &amp; ROW())="DA-Premium"),INDIRECT("M" &amp; ROW())="PARTITION_SCHEMA128__NavPiviJpn", INDIRECT("O" &amp; ROW())="JPN_SDB"),'SDB vs GN'!$B$41, IF(INDIRECT("H" &amp; ROW())="Chenc",'SDB vs GN'!$B$40, VLOOKUP(INDIRECT("O" &amp; ROW()),'SDB vs GN'!$A$16:$B$38,2,FALSE)))</f>
        <v>734_CN_831_AUSKRJPN</v>
      </c>
      <c r="Q439" s="79" t="s">
        <v>396</v>
      </c>
      <c r="R439" s="64" t="s">
        <v>59</v>
      </c>
      <c r="S439" s="340" t="s">
        <v>10</v>
      </c>
      <c r="T439" s="297" t="s">
        <v>449</v>
      </c>
      <c r="U439" s="104" t="s">
        <v>816</v>
      </c>
      <c r="V439" s="173" t="s">
        <v>7</v>
      </c>
      <c r="W439" s="76" t="s">
        <v>2184</v>
      </c>
      <c r="X439" s="64" t="s">
        <v>521</v>
      </c>
      <c r="Y439" s="282" t="s">
        <v>1286</v>
      </c>
      <c r="Z439" s="282" t="s">
        <v>1592</v>
      </c>
      <c r="AA439" s="299"/>
      <c r="AB439" s="300" t="s">
        <v>225</v>
      </c>
      <c r="AC439" s="224" t="s">
        <v>2836</v>
      </c>
      <c r="AD439" s="67" t="s">
        <v>889</v>
      </c>
      <c r="AE439" s="302"/>
      <c r="AF439" s="302"/>
      <c r="AG439" s="302"/>
      <c r="AH439" s="303" t="s">
        <v>2835</v>
      </c>
      <c r="AI439" s="24"/>
      <c r="AJ439" s="24"/>
      <c r="AK439" s="24"/>
      <c r="AL439" s="24"/>
    </row>
    <row r="440" spans="1:38" ht="224.4">
      <c r="A440" s="51">
        <v>431</v>
      </c>
      <c r="B440" s="81" t="str">
        <f t="shared" si="9"/>
        <v>01AF</v>
      </c>
      <c r="C440" s="61" t="s">
        <v>1634</v>
      </c>
      <c r="D440" s="94" t="s">
        <v>136</v>
      </c>
      <c r="E440" s="295" t="s">
        <v>1233</v>
      </c>
      <c r="F440" s="355" t="s">
        <v>1054</v>
      </c>
      <c r="G440" s="355" t="s">
        <v>344</v>
      </c>
      <c r="H440" s="282" t="s">
        <v>637</v>
      </c>
      <c r="I440" s="94" t="s">
        <v>4</v>
      </c>
      <c r="J440" s="283" t="s">
        <v>0</v>
      </c>
      <c r="K440" s="282" t="s">
        <v>451</v>
      </c>
      <c r="L440" s="297" t="s">
        <v>1393</v>
      </c>
      <c r="M440" s="55" t="s">
        <v>255</v>
      </c>
      <c r="N440" s="282" t="s">
        <v>1215</v>
      </c>
      <c r="O440" s="238" t="s">
        <v>827</v>
      </c>
      <c r="P440" s="64" t="str">
        <f ca="1">IF(AND(OR(INDIRECT("K" &amp; ROW())="NAV-Premium",INDIRECT("K" &amp; ROW())="DA-Premium"),INDIRECT("M" &amp; ROW())="PARTITION_SCHEMA128__NavPiviJpn", INDIRECT("O" &amp; ROW())="JPN_SDB"),'SDB vs GN'!$B$41, IF(INDIRECT("H" &amp; ROW())="Chenc",'SDB vs GN'!$B$40, VLOOKUP(INDIRECT("O" &amp; ROW()),'SDB vs GN'!$A$16:$B$38,2,FALSE)))</f>
        <v>734_CN_831_AUSKRJPN</v>
      </c>
      <c r="Q440" s="79" t="s">
        <v>396</v>
      </c>
      <c r="R440" s="165" t="s">
        <v>61</v>
      </c>
      <c r="S440" s="340" t="s">
        <v>10</v>
      </c>
      <c r="T440" s="297" t="s">
        <v>449</v>
      </c>
      <c r="U440" s="104" t="s">
        <v>816</v>
      </c>
      <c r="V440" s="173" t="s">
        <v>7</v>
      </c>
      <c r="W440" s="76" t="s">
        <v>2184</v>
      </c>
      <c r="X440" s="64" t="s">
        <v>521</v>
      </c>
      <c r="Y440" s="282" t="s">
        <v>1286</v>
      </c>
      <c r="Z440" s="282" t="s">
        <v>1592</v>
      </c>
      <c r="AA440" s="299"/>
      <c r="AB440" s="300" t="s">
        <v>225</v>
      </c>
      <c r="AC440" s="301" t="s">
        <v>2583</v>
      </c>
      <c r="AD440" s="67" t="s">
        <v>889</v>
      </c>
      <c r="AE440" s="302"/>
      <c r="AF440" s="302"/>
      <c r="AG440" s="302"/>
      <c r="AH440" s="303" t="s">
        <v>2582</v>
      </c>
      <c r="AI440" s="24"/>
      <c r="AJ440" s="24"/>
      <c r="AK440" s="24"/>
      <c r="AL440" s="24"/>
    </row>
    <row r="441" spans="1:38" ht="237.6">
      <c r="A441" s="51">
        <v>432</v>
      </c>
      <c r="B441" s="81" t="str">
        <f t="shared" si="9"/>
        <v>01B0</v>
      </c>
      <c r="C441" s="229" t="s">
        <v>1635</v>
      </c>
      <c r="D441" s="94" t="s">
        <v>136</v>
      </c>
      <c r="E441" s="314" t="s">
        <v>1233</v>
      </c>
      <c r="F441" s="355" t="s">
        <v>1054</v>
      </c>
      <c r="G441" s="355" t="s">
        <v>344</v>
      </c>
      <c r="H441" s="282" t="s">
        <v>637</v>
      </c>
      <c r="I441" s="94" t="s">
        <v>4</v>
      </c>
      <c r="J441" s="283" t="s">
        <v>0</v>
      </c>
      <c r="K441" s="282" t="s">
        <v>451</v>
      </c>
      <c r="L441" s="297" t="s">
        <v>1393</v>
      </c>
      <c r="M441" s="55" t="s">
        <v>255</v>
      </c>
      <c r="N441" s="282" t="s">
        <v>1215</v>
      </c>
      <c r="O441" s="238" t="s">
        <v>828</v>
      </c>
      <c r="P441" s="64" t="str">
        <f ca="1">IF(AND(OR(INDIRECT("K" &amp; ROW())="NAV-Premium",INDIRECT("K" &amp; ROW())="DA-Premium"),INDIRECT("M" &amp; ROW())="PARTITION_SCHEMA128__NavPiviJpn", INDIRECT("O" &amp; ROW())="JPN_SDB"),'SDB vs GN'!$B$41, IF(INDIRECT("H" &amp; ROW())="Chenc",'SDB vs GN'!$B$40, VLOOKUP(INDIRECT("O" &amp; ROW()),'SDB vs GN'!$A$16:$B$38,2,FALSE)))</f>
        <v>735_LA_831_AUSKRJPN</v>
      </c>
      <c r="Q441" s="79" t="s">
        <v>396</v>
      </c>
      <c r="R441" s="165" t="s">
        <v>61</v>
      </c>
      <c r="S441" s="340" t="s">
        <v>10</v>
      </c>
      <c r="T441" s="297" t="s">
        <v>449</v>
      </c>
      <c r="U441" s="104" t="s">
        <v>816</v>
      </c>
      <c r="V441" s="173" t="s">
        <v>7</v>
      </c>
      <c r="W441" s="76" t="s">
        <v>2184</v>
      </c>
      <c r="X441" s="64" t="s">
        <v>521</v>
      </c>
      <c r="Y441" s="282" t="s">
        <v>1286</v>
      </c>
      <c r="Z441" s="282" t="s">
        <v>1592</v>
      </c>
      <c r="AA441" s="299"/>
      <c r="AB441" s="300" t="s">
        <v>225</v>
      </c>
      <c r="AC441" s="307" t="s">
        <v>2838</v>
      </c>
      <c r="AD441" s="67" t="s">
        <v>889</v>
      </c>
      <c r="AE441" s="302"/>
      <c r="AF441" s="302"/>
      <c r="AG441" s="302"/>
      <c r="AH441" s="303" t="s">
        <v>2837</v>
      </c>
      <c r="AI441" s="24"/>
      <c r="AJ441" s="24"/>
      <c r="AK441" s="24"/>
      <c r="AL441" s="24"/>
    </row>
    <row r="442" spans="1:38" ht="316.8">
      <c r="A442" s="51">
        <v>433</v>
      </c>
      <c r="B442" s="81" t="str">
        <f t="shared" si="9"/>
        <v>01B1</v>
      </c>
      <c r="C442" s="64" t="s">
        <v>1646</v>
      </c>
      <c r="D442" s="55" t="s">
        <v>1013</v>
      </c>
      <c r="E442" s="295" t="s">
        <v>1233</v>
      </c>
      <c r="F442" s="354" t="s">
        <v>1055</v>
      </c>
      <c r="G442" s="354" t="s">
        <v>879</v>
      </c>
      <c r="H442" s="282" t="s">
        <v>637</v>
      </c>
      <c r="I442" s="295" t="s">
        <v>815</v>
      </c>
      <c r="J442" s="283" t="s">
        <v>0</v>
      </c>
      <c r="K442" s="282" t="s">
        <v>452</v>
      </c>
      <c r="L442" s="297" t="s">
        <v>1393</v>
      </c>
      <c r="M442" s="55" t="s">
        <v>1375</v>
      </c>
      <c r="N442" s="282" t="s">
        <v>1215</v>
      </c>
      <c r="O442" s="238" t="s">
        <v>97</v>
      </c>
      <c r="P442" s="64" t="str">
        <f ca="1">IF(AND(OR(INDIRECT("K" &amp; ROW())="NAV-Premium",INDIRECT("K" &amp; ROW())="DA-Premium"),INDIRECT("M" &amp; ROW())="PARTITION_SCHEMA128__NavPiviJpn", INDIRECT("O" &amp; ROW())="JPN_SDB"),'SDB vs GN'!$B$41, IF(INDIRECT("H" &amp; ROW())="Chenc",'SDB vs GN'!$B$40, VLOOKUP(INDIRECT("O" &amp; ROW()),'SDB vs GN'!$A$16:$B$38,2,FALSE)))</f>
        <v>734_CN_831_AUSKRJPN</v>
      </c>
      <c r="Q442" s="79" t="s">
        <v>396</v>
      </c>
      <c r="R442" s="165" t="s">
        <v>61</v>
      </c>
      <c r="S442" s="340" t="s">
        <v>10</v>
      </c>
      <c r="T442" s="297" t="s">
        <v>449</v>
      </c>
      <c r="U442" s="104" t="s">
        <v>816</v>
      </c>
      <c r="V442" s="172" t="s">
        <v>728</v>
      </c>
      <c r="W442" s="298" t="s">
        <v>447</v>
      </c>
      <c r="X442" s="64" t="s">
        <v>521</v>
      </c>
      <c r="Y442" s="282" t="s">
        <v>1286</v>
      </c>
      <c r="Z442" s="282" t="s">
        <v>1592</v>
      </c>
      <c r="AA442" s="299"/>
      <c r="AB442" s="300" t="s">
        <v>225</v>
      </c>
      <c r="AC442" s="302" t="s">
        <v>2643</v>
      </c>
      <c r="AD442" s="67" t="s">
        <v>889</v>
      </c>
      <c r="AE442" s="302"/>
      <c r="AF442" s="302"/>
      <c r="AG442" s="302"/>
      <c r="AH442" s="303" t="s">
        <v>2642</v>
      </c>
      <c r="AI442" s="24"/>
      <c r="AJ442" s="24"/>
      <c r="AK442" s="24"/>
      <c r="AL442" s="24"/>
    </row>
    <row r="443" spans="1:38" ht="184.8">
      <c r="A443" s="51">
        <v>434</v>
      </c>
      <c r="B443" s="81" t="str">
        <f t="shared" si="9"/>
        <v>01B2</v>
      </c>
      <c r="C443" s="76" t="s">
        <v>1645</v>
      </c>
      <c r="D443" s="55" t="s">
        <v>1013</v>
      </c>
      <c r="E443" s="314" t="s">
        <v>1233</v>
      </c>
      <c r="F443" s="354" t="s">
        <v>1055</v>
      </c>
      <c r="G443" s="354" t="s">
        <v>879</v>
      </c>
      <c r="H443" s="282" t="s">
        <v>637</v>
      </c>
      <c r="I443" s="295" t="s">
        <v>815</v>
      </c>
      <c r="J443" s="283" t="s">
        <v>0</v>
      </c>
      <c r="K443" s="282" t="s">
        <v>452</v>
      </c>
      <c r="L443" s="297" t="s">
        <v>1393</v>
      </c>
      <c r="M443" s="55" t="s">
        <v>1375</v>
      </c>
      <c r="N443" s="282" t="s">
        <v>1215</v>
      </c>
      <c r="O443" s="238" t="s">
        <v>825</v>
      </c>
      <c r="P443" s="64" t="str">
        <f ca="1">IF(AND(OR(INDIRECT("K" &amp; ROW())="NAV-Premium",INDIRECT("K" &amp; ROW())="DA-Premium"),INDIRECT("M" &amp; ROW())="PARTITION_SCHEMA128__NavPiviJpn", INDIRECT("O" &amp; ROW())="JPN_SDB"),'SDB vs GN'!$B$41, IF(INDIRECT("H" &amp; ROW())="Chenc",'SDB vs GN'!$B$40, VLOOKUP(INDIRECT("O" &amp; ROW()),'SDB vs GN'!$A$16:$B$38,2,FALSE)))</f>
        <v>831_AUSKRJPN</v>
      </c>
      <c r="Q443" s="79" t="s">
        <v>396</v>
      </c>
      <c r="R443" s="165" t="s">
        <v>61</v>
      </c>
      <c r="S443" s="340" t="s">
        <v>10</v>
      </c>
      <c r="T443" s="297" t="s">
        <v>449</v>
      </c>
      <c r="U443" s="104" t="s">
        <v>816</v>
      </c>
      <c r="V443" s="173" t="s">
        <v>994</v>
      </c>
      <c r="W443" s="298" t="s">
        <v>447</v>
      </c>
      <c r="X443" s="64" t="s">
        <v>521</v>
      </c>
      <c r="Y443" s="282" t="s">
        <v>1286</v>
      </c>
      <c r="Z443" s="282" t="s">
        <v>1592</v>
      </c>
      <c r="AA443" s="299"/>
      <c r="AB443" s="300" t="s">
        <v>225</v>
      </c>
      <c r="AC443" s="301" t="s">
        <v>2820</v>
      </c>
      <c r="AD443" s="67" t="s">
        <v>889</v>
      </c>
      <c r="AE443" s="302"/>
      <c r="AF443" s="302"/>
      <c r="AG443" s="302"/>
      <c r="AH443" s="303" t="s">
        <v>2819</v>
      </c>
      <c r="AI443" s="24"/>
      <c r="AJ443" s="24"/>
      <c r="AK443" s="24"/>
      <c r="AL443" s="24"/>
    </row>
    <row r="444" spans="1:38" ht="105.6">
      <c r="A444" s="51">
        <v>435</v>
      </c>
      <c r="B444" s="81" t="str">
        <f t="shared" si="9"/>
        <v>01B3</v>
      </c>
      <c r="C444" s="61" t="s">
        <v>1644</v>
      </c>
      <c r="D444" s="55" t="s">
        <v>1013</v>
      </c>
      <c r="E444" s="314" t="s">
        <v>1233</v>
      </c>
      <c r="F444" s="354" t="s">
        <v>1055</v>
      </c>
      <c r="G444" s="354" t="s">
        <v>879</v>
      </c>
      <c r="H444" s="282" t="s">
        <v>637</v>
      </c>
      <c r="I444" s="295" t="s">
        <v>815</v>
      </c>
      <c r="J444" s="283" t="s">
        <v>0</v>
      </c>
      <c r="K444" s="282" t="s">
        <v>452</v>
      </c>
      <c r="L444" s="297" t="s">
        <v>1393</v>
      </c>
      <c r="M444" s="55" t="s">
        <v>1375</v>
      </c>
      <c r="N444" s="282" t="s">
        <v>1215</v>
      </c>
      <c r="O444" s="238" t="s">
        <v>73</v>
      </c>
      <c r="P444" s="64" t="str">
        <f ca="1">IF(AND(OR(INDIRECT("K" &amp; ROW())="NAV-Premium",INDIRECT("K" &amp; ROW())="DA-Premium"),INDIRECT("M" &amp; ROW())="PARTITION_SCHEMA128__NavPiviJpn", INDIRECT("O" &amp; ROW())="JPN_SDB"),'SDB vs GN'!$B$41, IF(INDIRECT("H" &amp; ROW())="Chenc",'SDB vs GN'!$B$40, VLOOKUP(INDIRECT("O" &amp; ROW()),'SDB vs GN'!$A$16:$B$38,2,FALSE)))</f>
        <v>731_EUR</v>
      </c>
      <c r="Q444" s="79" t="s">
        <v>396</v>
      </c>
      <c r="R444" s="64" t="s">
        <v>59</v>
      </c>
      <c r="S444" s="340" t="s">
        <v>10</v>
      </c>
      <c r="T444" s="295" t="s">
        <v>449</v>
      </c>
      <c r="U444" s="104" t="s">
        <v>816</v>
      </c>
      <c r="V444" s="172" t="s">
        <v>787</v>
      </c>
      <c r="W444" s="298" t="s">
        <v>447</v>
      </c>
      <c r="X444" s="64" t="s">
        <v>521</v>
      </c>
      <c r="Y444" s="282" t="s">
        <v>1286</v>
      </c>
      <c r="Z444" s="282" t="s">
        <v>1592</v>
      </c>
      <c r="AA444" s="299"/>
      <c r="AB444" s="300" t="s">
        <v>225</v>
      </c>
      <c r="AC444" s="301" t="s">
        <v>2265</v>
      </c>
      <c r="AD444" s="67" t="s">
        <v>889</v>
      </c>
      <c r="AE444" s="302"/>
      <c r="AF444" s="302"/>
      <c r="AG444" s="302"/>
      <c r="AH444" s="303" t="s">
        <v>2264</v>
      </c>
      <c r="AI444" s="24"/>
      <c r="AJ444" s="24"/>
      <c r="AK444" s="24"/>
      <c r="AL444" s="24"/>
    </row>
    <row r="445" spans="1:38" ht="184.8">
      <c r="A445" s="51">
        <v>436</v>
      </c>
      <c r="B445" s="81" t="str">
        <f t="shared" si="9"/>
        <v>01B4</v>
      </c>
      <c r="C445" s="229" t="s">
        <v>1643</v>
      </c>
      <c r="D445" s="55" t="s">
        <v>1013</v>
      </c>
      <c r="E445" s="282" t="s">
        <v>1233</v>
      </c>
      <c r="F445" s="354" t="s">
        <v>1055</v>
      </c>
      <c r="G445" s="354" t="s">
        <v>879</v>
      </c>
      <c r="H445" s="282" t="s">
        <v>637</v>
      </c>
      <c r="I445" s="295" t="s">
        <v>815</v>
      </c>
      <c r="J445" s="283" t="s">
        <v>0</v>
      </c>
      <c r="K445" s="282" t="s">
        <v>452</v>
      </c>
      <c r="L445" s="297" t="s">
        <v>1393</v>
      </c>
      <c r="M445" s="55" t="s">
        <v>1375</v>
      </c>
      <c r="N445" s="282" t="s">
        <v>1215</v>
      </c>
      <c r="O445" s="238" t="s">
        <v>126</v>
      </c>
      <c r="P445" s="64" t="str">
        <f ca="1">IF(AND(OR(INDIRECT("K" &amp; ROW())="NAV-Premium",INDIRECT("K" &amp; ROW())="DA-Premium"),INDIRECT("M" &amp; ROW())="PARTITION_SCHEMA128__NavPiviJpn", INDIRECT("O" &amp; ROW())="JPN_SDB"),'SDB vs GN'!$B$41, IF(INDIRECT("H" &amp; ROW())="Chenc",'SDB vs GN'!$B$40, VLOOKUP(INDIRECT("O" &amp; ROW()),'SDB vs GN'!$A$16:$B$38,2,FALSE)))</f>
        <v>735_LA</v>
      </c>
      <c r="Q445" s="79" t="s">
        <v>396</v>
      </c>
      <c r="R445" s="64" t="s">
        <v>59</v>
      </c>
      <c r="S445" s="340" t="s">
        <v>10</v>
      </c>
      <c r="T445" s="295" t="s">
        <v>449</v>
      </c>
      <c r="U445" s="104" t="s">
        <v>816</v>
      </c>
      <c r="V445" s="172" t="s">
        <v>930</v>
      </c>
      <c r="W445" s="298" t="s">
        <v>447</v>
      </c>
      <c r="X445" s="64" t="s">
        <v>521</v>
      </c>
      <c r="Y445" s="282" t="s">
        <v>1286</v>
      </c>
      <c r="Z445" s="282" t="s">
        <v>1592</v>
      </c>
      <c r="AA445" s="299"/>
      <c r="AB445" s="300" t="s">
        <v>225</v>
      </c>
      <c r="AC445" s="301" t="s">
        <v>2822</v>
      </c>
      <c r="AD445" s="67" t="s">
        <v>889</v>
      </c>
      <c r="AE445" s="302"/>
      <c r="AF445" s="302"/>
      <c r="AG445" s="302"/>
      <c r="AH445" s="303" t="s">
        <v>2821</v>
      </c>
      <c r="AI445" s="24"/>
      <c r="AJ445" s="24"/>
      <c r="AK445" s="24"/>
      <c r="AL445" s="24"/>
    </row>
    <row r="446" spans="1:38" ht="184.8">
      <c r="A446" s="51">
        <v>437</v>
      </c>
      <c r="B446" s="81" t="str">
        <f t="shared" si="9"/>
        <v>01B5</v>
      </c>
      <c r="C446" s="76" t="s">
        <v>1642</v>
      </c>
      <c r="D446" s="55" t="s">
        <v>1013</v>
      </c>
      <c r="E446" s="295" t="s">
        <v>1233</v>
      </c>
      <c r="F446" s="354" t="s">
        <v>1055</v>
      </c>
      <c r="G446" s="354" t="s">
        <v>879</v>
      </c>
      <c r="H446" s="282" t="s">
        <v>637</v>
      </c>
      <c r="I446" s="295" t="s">
        <v>815</v>
      </c>
      <c r="J446" s="283" t="s">
        <v>0</v>
      </c>
      <c r="K446" s="282" t="s">
        <v>452</v>
      </c>
      <c r="L446" s="297" t="s">
        <v>1393</v>
      </c>
      <c r="M446" s="55" t="s">
        <v>1375</v>
      </c>
      <c r="N446" s="282" t="s">
        <v>1215</v>
      </c>
      <c r="O446" s="238" t="s">
        <v>825</v>
      </c>
      <c r="P446" s="64" t="str">
        <f ca="1">IF(AND(OR(INDIRECT("K" &amp; ROW())="NAV-Premium",INDIRECT("K" &amp; ROW())="DA-Premium"),INDIRECT("M" &amp; ROW())="PARTITION_SCHEMA128__NavPiviJpn", INDIRECT("O" &amp; ROW())="JPN_SDB"),'SDB vs GN'!$B$41, IF(INDIRECT("H" &amp; ROW())="Chenc",'SDB vs GN'!$B$40, VLOOKUP(INDIRECT("O" &amp; ROW()),'SDB vs GN'!$A$16:$B$38,2,FALSE)))</f>
        <v>831_AUSKRJPN</v>
      </c>
      <c r="Q446" s="79" t="s">
        <v>396</v>
      </c>
      <c r="R446" s="64" t="s">
        <v>59</v>
      </c>
      <c r="S446" s="340" t="s">
        <v>10</v>
      </c>
      <c r="T446" s="297" t="s">
        <v>449</v>
      </c>
      <c r="U446" s="104" t="s">
        <v>816</v>
      </c>
      <c r="V446" s="172" t="s">
        <v>1244</v>
      </c>
      <c r="W446" s="298" t="s">
        <v>447</v>
      </c>
      <c r="X446" s="64" t="s">
        <v>521</v>
      </c>
      <c r="Y446" s="282" t="s">
        <v>1286</v>
      </c>
      <c r="Z446" s="282" t="s">
        <v>1592</v>
      </c>
      <c r="AA446" s="299"/>
      <c r="AB446" s="300" t="s">
        <v>225</v>
      </c>
      <c r="AC446" s="301" t="s">
        <v>2824</v>
      </c>
      <c r="AD446" s="67" t="s">
        <v>889</v>
      </c>
      <c r="AE446" s="302"/>
      <c r="AF446" s="302"/>
      <c r="AG446" s="302"/>
      <c r="AH446" s="303" t="s">
        <v>2823</v>
      </c>
      <c r="AI446" s="24"/>
      <c r="AJ446" s="24"/>
      <c r="AK446" s="24"/>
      <c r="AL446" s="24"/>
    </row>
    <row r="447" spans="1:38" ht="184.8">
      <c r="A447" s="51">
        <v>438</v>
      </c>
      <c r="B447" s="81" t="str">
        <f t="shared" si="9"/>
        <v>01B6</v>
      </c>
      <c r="C447" s="229" t="s">
        <v>1641</v>
      </c>
      <c r="D447" s="55" t="s">
        <v>1013</v>
      </c>
      <c r="E447" s="314" t="s">
        <v>1233</v>
      </c>
      <c r="F447" s="354" t="s">
        <v>1055</v>
      </c>
      <c r="G447" s="354" t="s">
        <v>879</v>
      </c>
      <c r="H447" s="282" t="s">
        <v>637</v>
      </c>
      <c r="I447" s="295" t="s">
        <v>815</v>
      </c>
      <c r="J447" s="283" t="s">
        <v>0</v>
      </c>
      <c r="K447" s="282" t="s">
        <v>452</v>
      </c>
      <c r="L447" s="297" t="s">
        <v>1393</v>
      </c>
      <c r="M447" s="55" t="s">
        <v>1375</v>
      </c>
      <c r="N447" s="282" t="s">
        <v>1215</v>
      </c>
      <c r="O447" s="238" t="s">
        <v>126</v>
      </c>
      <c r="P447" s="64" t="str">
        <f ca="1">IF(AND(OR(INDIRECT("K" &amp; ROW())="NAV-Premium",INDIRECT("K" &amp; ROW())="DA-Premium"),INDIRECT("M" &amp; ROW())="PARTITION_SCHEMA128__NavPiviJpn", INDIRECT("O" &amp; ROW())="JPN_SDB"),'SDB vs GN'!$B$41, IF(INDIRECT("H" &amp; ROW())="Chenc",'SDB vs GN'!$B$40, VLOOKUP(INDIRECT("O" &amp; ROW()),'SDB vs GN'!$A$16:$B$38,2,FALSE)))</f>
        <v>735_LA</v>
      </c>
      <c r="Q447" s="79" t="s">
        <v>396</v>
      </c>
      <c r="R447" s="64" t="s">
        <v>59</v>
      </c>
      <c r="S447" s="340" t="s">
        <v>10</v>
      </c>
      <c r="T447" s="295" t="s">
        <v>449</v>
      </c>
      <c r="U447" s="104" t="s">
        <v>816</v>
      </c>
      <c r="V447" s="172" t="s">
        <v>1133</v>
      </c>
      <c r="W447" s="298" t="s">
        <v>447</v>
      </c>
      <c r="X447" s="64" t="s">
        <v>521</v>
      </c>
      <c r="Y447" s="282" t="s">
        <v>1286</v>
      </c>
      <c r="Z447" s="282" t="s">
        <v>1592</v>
      </c>
      <c r="AA447" s="299"/>
      <c r="AB447" s="300" t="s">
        <v>225</v>
      </c>
      <c r="AC447" s="307" t="s">
        <v>2826</v>
      </c>
      <c r="AD447" s="67" t="s">
        <v>889</v>
      </c>
      <c r="AE447" s="302"/>
      <c r="AF447" s="302"/>
      <c r="AG447" s="302"/>
      <c r="AH447" s="303" t="s">
        <v>2825</v>
      </c>
      <c r="AI447" s="24"/>
      <c r="AJ447" s="24"/>
      <c r="AK447" s="24"/>
      <c r="AL447" s="24"/>
    </row>
    <row r="448" spans="1:38" ht="171.6">
      <c r="A448" s="51">
        <v>439</v>
      </c>
      <c r="B448" s="81" t="str">
        <f t="shared" ref="B448:B466" si="10">DEC2HEX(A448,4)</f>
        <v>01B7</v>
      </c>
      <c r="C448" s="64" t="s">
        <v>1640</v>
      </c>
      <c r="D448" s="55" t="s">
        <v>1013</v>
      </c>
      <c r="E448" s="314" t="s">
        <v>1233</v>
      </c>
      <c r="F448" s="354" t="s">
        <v>1055</v>
      </c>
      <c r="G448" s="354" t="s">
        <v>879</v>
      </c>
      <c r="H448" s="282" t="s">
        <v>637</v>
      </c>
      <c r="I448" s="295" t="s">
        <v>815</v>
      </c>
      <c r="J448" s="283" t="s">
        <v>0</v>
      </c>
      <c r="K448" s="282" t="s">
        <v>452</v>
      </c>
      <c r="L448" s="297" t="s">
        <v>1393</v>
      </c>
      <c r="M448" s="55" t="s">
        <v>1375</v>
      </c>
      <c r="N448" s="282" t="s">
        <v>1215</v>
      </c>
      <c r="O448" s="238" t="s">
        <v>826</v>
      </c>
      <c r="P448" s="64" t="str">
        <f ca="1">IF(AND(OR(INDIRECT("K" &amp; ROW())="NAV-Premium",INDIRECT("K" &amp; ROW())="DA-Premium"),INDIRECT("M" &amp; ROW())="PARTITION_SCHEMA128__NavPiviJpn", INDIRECT("O" &amp; ROW())="JPN_SDB"),'SDB vs GN'!$B$41, IF(INDIRECT("H" &amp; ROW())="Chenc",'SDB vs GN'!$B$40, VLOOKUP(INDIRECT("O" &amp; ROW()),'SDB vs GN'!$A$16:$B$38,2,FALSE)))</f>
        <v>731_EUR</v>
      </c>
      <c r="Q448" s="79" t="s">
        <v>396</v>
      </c>
      <c r="R448" s="64" t="s">
        <v>59</v>
      </c>
      <c r="S448" s="340" t="s">
        <v>10</v>
      </c>
      <c r="T448" s="297" t="s">
        <v>449</v>
      </c>
      <c r="U448" s="104" t="s">
        <v>816</v>
      </c>
      <c r="V448" s="172" t="s">
        <v>931</v>
      </c>
      <c r="W448" s="298" t="s">
        <v>447</v>
      </c>
      <c r="X448" s="64" t="s">
        <v>521</v>
      </c>
      <c r="Y448" s="282" t="s">
        <v>1286</v>
      </c>
      <c r="Z448" s="282" t="s">
        <v>1592</v>
      </c>
      <c r="AA448" s="299"/>
      <c r="AB448" s="300" t="s">
        <v>225</v>
      </c>
      <c r="AC448" s="302" t="s">
        <v>2581</v>
      </c>
      <c r="AD448" s="67" t="s">
        <v>889</v>
      </c>
      <c r="AE448" s="302"/>
      <c r="AF448" s="302"/>
      <c r="AG448" s="302"/>
      <c r="AH448" s="303" t="s">
        <v>2580</v>
      </c>
      <c r="AI448" s="24"/>
      <c r="AJ448" s="24"/>
      <c r="AK448" s="24"/>
      <c r="AL448" s="24"/>
    </row>
    <row r="449" spans="1:38">
      <c r="A449" s="51">
        <v>440</v>
      </c>
      <c r="B449" s="81" t="str">
        <f t="shared" si="10"/>
        <v>01B8</v>
      </c>
      <c r="C449" s="64" t="s">
        <v>1639</v>
      </c>
      <c r="D449" s="55" t="s">
        <v>1013</v>
      </c>
      <c r="E449" s="314" t="s">
        <v>1233</v>
      </c>
      <c r="F449" s="354" t="s">
        <v>1055</v>
      </c>
      <c r="G449" s="354" t="s">
        <v>879</v>
      </c>
      <c r="H449" s="282" t="s">
        <v>637</v>
      </c>
      <c r="I449" s="295" t="s">
        <v>815</v>
      </c>
      <c r="J449" s="283" t="s">
        <v>0</v>
      </c>
      <c r="K449" s="282" t="s">
        <v>452</v>
      </c>
      <c r="L449" s="297" t="s">
        <v>1393</v>
      </c>
      <c r="M449" s="55" t="s">
        <v>1375</v>
      </c>
      <c r="N449" s="282" t="s">
        <v>1215</v>
      </c>
      <c r="O449" s="239" t="s">
        <v>54</v>
      </c>
      <c r="P449" s="64" t="str">
        <f ca="1">IF(AND(OR(INDIRECT("K" &amp; ROW())="NAV-Premium",INDIRECT("K" &amp; ROW())="DA-Premium"),INDIRECT("M" &amp; ROW())="PARTITION_SCHEMA128__NavPiviJpn", INDIRECT("O" &amp; ROW())="JPN_SDB"),'SDB vs GN'!$B$41, IF(INDIRECT("H" &amp; ROW())="Chenc",'SDB vs GN'!$B$40, VLOOKUP(INDIRECT("O" &amp; ROW()),'SDB vs GN'!$A$16:$B$38,2,FALSE)))</f>
        <v>731_EUR</v>
      </c>
      <c r="Q449" s="79" t="s">
        <v>396</v>
      </c>
      <c r="R449" s="64" t="s">
        <v>59</v>
      </c>
      <c r="S449" s="340" t="s">
        <v>10</v>
      </c>
      <c r="T449" s="297" t="s">
        <v>449</v>
      </c>
      <c r="U449" s="104" t="s">
        <v>816</v>
      </c>
      <c r="V449" s="172" t="s">
        <v>872</v>
      </c>
      <c r="W449" s="298" t="s">
        <v>447</v>
      </c>
      <c r="X449" s="64" t="s">
        <v>521</v>
      </c>
      <c r="Y449" s="282" t="s">
        <v>1286</v>
      </c>
      <c r="Z449" s="282" t="s">
        <v>1592</v>
      </c>
      <c r="AA449" s="299"/>
      <c r="AB449" s="300" t="s">
        <v>225</v>
      </c>
      <c r="AC449" s="301" t="s">
        <v>1389</v>
      </c>
      <c r="AD449" s="67" t="s">
        <v>889</v>
      </c>
      <c r="AE449" s="302"/>
      <c r="AF449" s="302"/>
      <c r="AG449" s="302"/>
      <c r="AH449" s="303" t="s">
        <v>1391</v>
      </c>
      <c r="AI449" s="24"/>
      <c r="AJ449" s="24"/>
      <c r="AK449" s="24"/>
      <c r="AL449" s="24"/>
    </row>
    <row r="450" spans="1:38" ht="198">
      <c r="A450" s="51">
        <v>441</v>
      </c>
      <c r="B450" s="81" t="str">
        <f t="shared" si="10"/>
        <v>01B9</v>
      </c>
      <c r="C450" s="64" t="s">
        <v>1638</v>
      </c>
      <c r="D450" s="55" t="s">
        <v>1013</v>
      </c>
      <c r="E450" s="314" t="s">
        <v>1233</v>
      </c>
      <c r="F450" s="354" t="s">
        <v>1055</v>
      </c>
      <c r="G450" s="354" t="s">
        <v>879</v>
      </c>
      <c r="H450" s="282" t="s">
        <v>637</v>
      </c>
      <c r="I450" s="295" t="s">
        <v>815</v>
      </c>
      <c r="J450" s="283" t="s">
        <v>0</v>
      </c>
      <c r="K450" s="282" t="s">
        <v>452</v>
      </c>
      <c r="L450" s="297" t="s">
        <v>1393</v>
      </c>
      <c r="M450" s="55" t="s">
        <v>236</v>
      </c>
      <c r="N450" s="282" t="s">
        <v>1215</v>
      </c>
      <c r="O450" s="296" t="s">
        <v>84</v>
      </c>
      <c r="P450" s="64" t="str">
        <f ca="1">IF(AND(OR(INDIRECT("K" &amp; ROW())="NAV-Premium",INDIRECT("K" &amp; ROW())="DA-Premium"),INDIRECT("M" &amp; ROW())="PARTITION_SCHEMA128__NavPiviJpn", INDIRECT("O" &amp; ROW())="JPN_SDB"),'SDB vs GN'!$B$41, IF(INDIRECT("H" &amp; ROW())="Chenc",'SDB vs GN'!$B$40, VLOOKUP(INDIRECT("O" &amp; ROW()),'SDB vs GN'!$A$16:$B$38,2,FALSE)))</f>
        <v>727_NAM</v>
      </c>
      <c r="Q450" s="79" t="s">
        <v>396</v>
      </c>
      <c r="R450" s="64" t="s">
        <v>60</v>
      </c>
      <c r="S450" s="340" t="s">
        <v>10</v>
      </c>
      <c r="T450" s="295" t="s">
        <v>449</v>
      </c>
      <c r="U450" s="104" t="s">
        <v>816</v>
      </c>
      <c r="V450" s="308" t="s">
        <v>1131</v>
      </c>
      <c r="W450" s="298" t="s">
        <v>447</v>
      </c>
      <c r="X450" s="64" t="s">
        <v>521</v>
      </c>
      <c r="Y450" s="282" t="s">
        <v>1286</v>
      </c>
      <c r="Z450" s="282" t="s">
        <v>1592</v>
      </c>
      <c r="AA450" s="299"/>
      <c r="AB450" s="300" t="s">
        <v>225</v>
      </c>
      <c r="AC450" s="301" t="s">
        <v>2816</v>
      </c>
      <c r="AD450" s="67" t="s">
        <v>889</v>
      </c>
      <c r="AE450" s="302"/>
      <c r="AF450" s="302"/>
      <c r="AG450" s="302"/>
      <c r="AH450" s="303" t="s">
        <v>2815</v>
      </c>
      <c r="AI450" s="24"/>
      <c r="AJ450" s="24"/>
      <c r="AK450" s="24"/>
      <c r="AL450" s="24"/>
    </row>
    <row r="451" spans="1:38" ht="66">
      <c r="A451" s="51">
        <v>442</v>
      </c>
      <c r="B451" s="81" t="str">
        <f t="shared" si="10"/>
        <v>01BA</v>
      </c>
      <c r="C451" s="61" t="s">
        <v>1637</v>
      </c>
      <c r="D451" s="55" t="s">
        <v>1013</v>
      </c>
      <c r="E451" s="282" t="s">
        <v>1233</v>
      </c>
      <c r="F451" s="354" t="s">
        <v>1055</v>
      </c>
      <c r="G451" s="354" t="s">
        <v>879</v>
      </c>
      <c r="H451" s="282" t="s">
        <v>637</v>
      </c>
      <c r="I451" s="295" t="s">
        <v>815</v>
      </c>
      <c r="J451" s="283" t="s">
        <v>0</v>
      </c>
      <c r="K451" s="282" t="s">
        <v>452</v>
      </c>
      <c r="L451" s="297" t="s">
        <v>1393</v>
      </c>
      <c r="M451" s="55" t="s">
        <v>1375</v>
      </c>
      <c r="N451" s="282" t="s">
        <v>1215</v>
      </c>
      <c r="O451" s="238" t="s">
        <v>97</v>
      </c>
      <c r="P451" s="64" t="str">
        <f ca="1">IF(AND(OR(INDIRECT("K" &amp; ROW())="NAV-Premium",INDIRECT("K" &amp; ROW())="DA-Premium"),INDIRECT("M" &amp; ROW())="PARTITION_SCHEMA128__NavPiviJpn", INDIRECT("O" &amp; ROW())="JPN_SDB"),'SDB vs GN'!$B$41, IF(INDIRECT("H" &amp; ROW())="Chenc",'SDB vs GN'!$B$40, VLOOKUP(INDIRECT("O" &amp; ROW()),'SDB vs GN'!$A$16:$B$38,2,FALSE)))</f>
        <v>734_CN_831_AUSKRJPN</v>
      </c>
      <c r="Q451" s="79" t="s">
        <v>396</v>
      </c>
      <c r="R451" s="64" t="s">
        <v>59</v>
      </c>
      <c r="S451" s="340" t="s">
        <v>10</v>
      </c>
      <c r="T451" s="295" t="s">
        <v>449</v>
      </c>
      <c r="U451" s="104" t="s">
        <v>816</v>
      </c>
      <c r="V451" s="172" t="s">
        <v>786</v>
      </c>
      <c r="W451" s="298" t="s">
        <v>447</v>
      </c>
      <c r="X451" s="64" t="s">
        <v>521</v>
      </c>
      <c r="Y451" s="282" t="s">
        <v>1286</v>
      </c>
      <c r="Z451" s="282" t="s">
        <v>1592</v>
      </c>
      <c r="AA451" s="299"/>
      <c r="AB451" s="300" t="s">
        <v>225</v>
      </c>
      <c r="AC451" s="301" t="s">
        <v>1976</v>
      </c>
      <c r="AD451" s="67" t="s">
        <v>889</v>
      </c>
      <c r="AE451" s="302"/>
      <c r="AF451" s="302"/>
      <c r="AG451" s="302"/>
      <c r="AH451" s="303" t="s">
        <v>1975</v>
      </c>
      <c r="AI451" s="24"/>
      <c r="AJ451" s="24"/>
      <c r="AK451" s="24"/>
      <c r="AL451" s="24"/>
    </row>
    <row r="452" spans="1:38" ht="39.6">
      <c r="A452" s="51">
        <v>443</v>
      </c>
      <c r="B452" s="81" t="str">
        <f t="shared" si="10"/>
        <v>01BB</v>
      </c>
      <c r="C452" s="67" t="s">
        <v>1181</v>
      </c>
      <c r="D452" s="94" t="s">
        <v>136</v>
      </c>
      <c r="E452" s="282" t="s">
        <v>1233</v>
      </c>
      <c r="F452" s="192" t="s">
        <v>1085</v>
      </c>
      <c r="G452" s="192" t="s">
        <v>348</v>
      </c>
      <c r="H452" s="55" t="s">
        <v>637</v>
      </c>
      <c r="I452" s="94" t="s">
        <v>4</v>
      </c>
      <c r="J452" s="127" t="s">
        <v>1</v>
      </c>
      <c r="K452" s="282" t="s">
        <v>751</v>
      </c>
      <c r="L452" s="64" t="s">
        <v>856</v>
      </c>
      <c r="M452" s="55" t="s">
        <v>1610</v>
      </c>
      <c r="N452" s="282" t="s">
        <v>1215</v>
      </c>
      <c r="O452" s="239" t="s">
        <v>53</v>
      </c>
      <c r="P452" s="64" t="str">
        <f ca="1">IF(AND(OR(INDIRECT("K" &amp; ROW())="NAV-Premium",INDIRECT("K" &amp; ROW())="DA-Premium"),INDIRECT("M" &amp; ROW())="PARTITION_SCHEMA128__NavPiviJpn", INDIRECT("O" &amp; ROW())="JPN_SDB"),'SDB vs GN'!$B$41, IF(INDIRECT("H" &amp; ROW())="Chenc",'SDB vs GN'!$B$40, VLOOKUP(INDIRECT("O" &amp; ROW()),'SDB vs GN'!$A$16:$B$38,2,FALSE)))</f>
        <v>No_Gracenote</v>
      </c>
      <c r="Q452" s="79" t="s">
        <v>396</v>
      </c>
      <c r="R452" s="64" t="s">
        <v>59</v>
      </c>
      <c r="S452" s="103" t="s">
        <v>10</v>
      </c>
      <c r="T452" s="64" t="s">
        <v>449</v>
      </c>
      <c r="U452" s="104" t="s">
        <v>816</v>
      </c>
      <c r="V452" s="172" t="s">
        <v>7</v>
      </c>
      <c r="W452" s="76" t="s">
        <v>447</v>
      </c>
      <c r="X452" s="64" t="s">
        <v>521</v>
      </c>
      <c r="Y452" s="282" t="s">
        <v>1286</v>
      </c>
      <c r="Z452" s="282" t="s">
        <v>1592</v>
      </c>
      <c r="AA452" s="96"/>
      <c r="AB452" s="131" t="s">
        <v>225</v>
      </c>
      <c r="AC452" s="301" t="s">
        <v>1797</v>
      </c>
      <c r="AD452" s="72" t="s">
        <v>888</v>
      </c>
      <c r="AE452" s="302"/>
      <c r="AF452" s="67"/>
      <c r="AG452" s="67"/>
      <c r="AH452" s="194" t="s">
        <v>1798</v>
      </c>
      <c r="AI452" s="24"/>
      <c r="AJ452" s="24"/>
      <c r="AK452" s="24"/>
      <c r="AL452" s="24"/>
    </row>
    <row r="453" spans="1:38" ht="79.2">
      <c r="A453" s="51">
        <v>444</v>
      </c>
      <c r="B453" s="81" t="str">
        <f t="shared" si="10"/>
        <v>01BC</v>
      </c>
      <c r="C453" s="226" t="s">
        <v>1482</v>
      </c>
      <c r="D453" s="94" t="s">
        <v>704</v>
      </c>
      <c r="E453" s="314" t="s">
        <v>1233</v>
      </c>
      <c r="F453" s="178" t="s">
        <v>1044</v>
      </c>
      <c r="G453" s="178" t="s">
        <v>345</v>
      </c>
      <c r="H453" s="282" t="s">
        <v>637</v>
      </c>
      <c r="I453" s="295" t="s">
        <v>815</v>
      </c>
      <c r="J453" s="282" t="s">
        <v>0</v>
      </c>
      <c r="K453" s="55" t="s">
        <v>452</v>
      </c>
      <c r="L453" s="158" t="s">
        <v>499</v>
      </c>
      <c r="M453" s="55" t="s">
        <v>254</v>
      </c>
      <c r="N453" s="282" t="s">
        <v>1215</v>
      </c>
      <c r="O453" s="238" t="s">
        <v>126</v>
      </c>
      <c r="P453" s="64" t="str">
        <f ca="1">IF(AND(OR(INDIRECT("K" &amp; ROW())="NAV-Premium",INDIRECT("K" &amp; ROW())="DA-Premium"),INDIRECT("M" &amp; ROW())="PARTITION_SCHEMA128__NavPiviJpn", INDIRECT("O" &amp; ROW())="JPN_SDB"),'SDB vs GN'!$B$41, IF(INDIRECT("H" &amp; ROW())="Chenc",'SDB vs GN'!$B$40, VLOOKUP(INDIRECT("O" &amp; ROW()),'SDB vs GN'!$A$16:$B$38,2,FALSE)))</f>
        <v>735_LA</v>
      </c>
      <c r="Q453" s="79" t="s">
        <v>396</v>
      </c>
      <c r="R453" s="64" t="s">
        <v>61</v>
      </c>
      <c r="S453" s="103" t="s">
        <v>10</v>
      </c>
      <c r="T453" s="295" t="s">
        <v>449</v>
      </c>
      <c r="U453" s="104" t="s">
        <v>816</v>
      </c>
      <c r="V453" s="172" t="s">
        <v>930</v>
      </c>
      <c r="W453" s="298" t="s">
        <v>447</v>
      </c>
      <c r="X453" s="64" t="s">
        <v>521</v>
      </c>
      <c r="Y453" s="282" t="s">
        <v>1286</v>
      </c>
      <c r="Z453" s="282" t="s">
        <v>1592</v>
      </c>
      <c r="AA453" s="299"/>
      <c r="AB453" s="300" t="s">
        <v>225</v>
      </c>
      <c r="AC453" s="307" t="s">
        <v>1792</v>
      </c>
      <c r="AD453" s="72" t="s">
        <v>808</v>
      </c>
      <c r="AE453" s="302"/>
      <c r="AF453" s="302"/>
      <c r="AG453" s="302"/>
      <c r="AH453" s="303" t="s">
        <v>1793</v>
      </c>
      <c r="AI453" s="24"/>
      <c r="AJ453" s="24"/>
      <c r="AK453" s="24"/>
      <c r="AL453" s="24"/>
    </row>
    <row r="454" spans="1:38" ht="92.4">
      <c r="A454" s="51">
        <v>445</v>
      </c>
      <c r="B454" s="81" t="str">
        <f t="shared" si="10"/>
        <v>01BD</v>
      </c>
      <c r="C454" s="76" t="s">
        <v>1483</v>
      </c>
      <c r="D454" s="94" t="s">
        <v>704</v>
      </c>
      <c r="E454" s="314" t="s">
        <v>1233</v>
      </c>
      <c r="F454" s="178" t="s">
        <v>1044</v>
      </c>
      <c r="G454" s="178" t="s">
        <v>345</v>
      </c>
      <c r="H454" s="282" t="s">
        <v>637</v>
      </c>
      <c r="I454" s="295" t="s">
        <v>815</v>
      </c>
      <c r="J454" s="282" t="s">
        <v>0</v>
      </c>
      <c r="K454" s="55" t="s">
        <v>452</v>
      </c>
      <c r="L454" s="158" t="s">
        <v>499</v>
      </c>
      <c r="M454" s="55" t="s">
        <v>254</v>
      </c>
      <c r="N454" s="282" t="s">
        <v>1215</v>
      </c>
      <c r="O454" s="238" t="s">
        <v>825</v>
      </c>
      <c r="P454" s="64" t="str">
        <f ca="1">IF(AND(OR(INDIRECT("K" &amp; ROW())="NAV-Premium",INDIRECT("K" &amp; ROW())="DA-Premium"),INDIRECT("M" &amp; ROW())="PARTITION_SCHEMA128__NavPiviJpn", INDIRECT("O" &amp; ROW())="JPN_SDB"),'SDB vs GN'!$B$41, IF(INDIRECT("H" &amp; ROW())="Chenc",'SDB vs GN'!$B$40, VLOOKUP(INDIRECT("O" &amp; ROW()),'SDB vs GN'!$A$16:$B$38,2,FALSE)))</f>
        <v>831_AUSKRJPN</v>
      </c>
      <c r="Q454" s="79" t="s">
        <v>396</v>
      </c>
      <c r="R454" s="64" t="s">
        <v>61</v>
      </c>
      <c r="S454" s="340" t="s">
        <v>10</v>
      </c>
      <c r="T454" s="295" t="s">
        <v>449</v>
      </c>
      <c r="U454" s="104" t="s">
        <v>816</v>
      </c>
      <c r="V454" s="172" t="s">
        <v>1244</v>
      </c>
      <c r="W454" s="298" t="s">
        <v>447</v>
      </c>
      <c r="X454" s="64" t="s">
        <v>521</v>
      </c>
      <c r="Y454" s="282" t="s">
        <v>1286</v>
      </c>
      <c r="Z454" s="282" t="s">
        <v>1592</v>
      </c>
      <c r="AA454" s="299"/>
      <c r="AB454" s="300" t="s">
        <v>225</v>
      </c>
      <c r="AC454" s="302" t="s">
        <v>2133</v>
      </c>
      <c r="AD454" s="72" t="s">
        <v>808</v>
      </c>
      <c r="AE454" s="302"/>
      <c r="AF454" s="302"/>
      <c r="AG454" s="302"/>
      <c r="AH454" s="303" t="s">
        <v>2134</v>
      </c>
      <c r="AI454" s="24"/>
      <c r="AJ454" s="24"/>
      <c r="AK454" s="24"/>
      <c r="AL454" s="24"/>
    </row>
    <row r="455" spans="1:38" ht="52.8">
      <c r="A455" s="51">
        <v>446</v>
      </c>
      <c r="B455" s="81" t="str">
        <f t="shared" si="10"/>
        <v>01BE</v>
      </c>
      <c r="C455" s="102" t="s">
        <v>1484</v>
      </c>
      <c r="D455" s="94" t="s">
        <v>136</v>
      </c>
      <c r="E455" s="314" t="s">
        <v>1233</v>
      </c>
      <c r="F455" s="177" t="s">
        <v>1046</v>
      </c>
      <c r="G455" s="177" t="s">
        <v>344</v>
      </c>
      <c r="H455" s="282" t="s">
        <v>637</v>
      </c>
      <c r="I455" s="94" t="s">
        <v>4</v>
      </c>
      <c r="J455" s="282" t="s">
        <v>0</v>
      </c>
      <c r="K455" s="282" t="s">
        <v>451</v>
      </c>
      <c r="L455" s="158" t="s">
        <v>499</v>
      </c>
      <c r="M455" s="55" t="s">
        <v>255</v>
      </c>
      <c r="N455" s="282" t="s">
        <v>1215</v>
      </c>
      <c r="O455" s="238" t="s">
        <v>827</v>
      </c>
      <c r="P455" s="64" t="str">
        <f ca="1">IF(AND(OR(INDIRECT("K" &amp; ROW())="NAV-Premium",INDIRECT("K" &amp; ROW())="DA-Premium"),INDIRECT("M" &amp; ROW())="PARTITION_SCHEMA128__NavPiviJpn", INDIRECT("O" &amp; ROW())="JPN_SDB"),'SDB vs GN'!$B$41, IF(INDIRECT("H" &amp; ROW())="Chenc",'SDB vs GN'!$B$40, VLOOKUP(INDIRECT("O" &amp; ROW()),'SDB vs GN'!$A$16:$B$38,2,FALSE)))</f>
        <v>734_CN_831_AUSKRJPN</v>
      </c>
      <c r="Q455" s="79" t="s">
        <v>396</v>
      </c>
      <c r="R455" s="64" t="s">
        <v>61</v>
      </c>
      <c r="S455" s="340" t="s">
        <v>10</v>
      </c>
      <c r="T455" s="295" t="s">
        <v>449</v>
      </c>
      <c r="U455" s="104" t="s">
        <v>816</v>
      </c>
      <c r="V455" s="173" t="s">
        <v>7</v>
      </c>
      <c r="W455" s="76" t="s">
        <v>2184</v>
      </c>
      <c r="X455" s="64" t="s">
        <v>521</v>
      </c>
      <c r="Y455" s="282" t="s">
        <v>1286</v>
      </c>
      <c r="Z455" s="282" t="s">
        <v>1592</v>
      </c>
      <c r="AA455" s="299"/>
      <c r="AB455" s="300" t="s">
        <v>225</v>
      </c>
      <c r="AC455" s="301" t="s">
        <v>2151</v>
      </c>
      <c r="AD455" s="72" t="s">
        <v>808</v>
      </c>
      <c r="AE455" s="302"/>
      <c r="AF455" s="302"/>
      <c r="AG455" s="302"/>
      <c r="AH455" s="194" t="s">
        <v>2152</v>
      </c>
      <c r="AI455" s="24"/>
      <c r="AJ455" s="24"/>
      <c r="AK455" s="24"/>
      <c r="AL455" s="24"/>
    </row>
    <row r="456" spans="1:38" ht="250.8">
      <c r="A456" s="51">
        <v>447</v>
      </c>
      <c r="B456" s="81" t="str">
        <f t="shared" si="10"/>
        <v>01BF</v>
      </c>
      <c r="C456" s="328" t="s">
        <v>1894</v>
      </c>
      <c r="D456" s="94" t="s">
        <v>136</v>
      </c>
      <c r="E456" s="314" t="s">
        <v>1233</v>
      </c>
      <c r="F456" s="327" t="s">
        <v>1054</v>
      </c>
      <c r="G456" s="327" t="s">
        <v>344</v>
      </c>
      <c r="H456" s="282" t="s">
        <v>637</v>
      </c>
      <c r="I456" s="94" t="s">
        <v>4</v>
      </c>
      <c r="J456" s="282" t="s">
        <v>0</v>
      </c>
      <c r="K456" s="282" t="s">
        <v>451</v>
      </c>
      <c r="L456" s="297" t="s">
        <v>857</v>
      </c>
      <c r="M456" s="55" t="s">
        <v>255</v>
      </c>
      <c r="N456" s="282" t="s">
        <v>1215</v>
      </c>
      <c r="O456" s="237" t="s">
        <v>781</v>
      </c>
      <c r="P456" s="64" t="str">
        <f ca="1">IF(AND(OR(INDIRECT("K" &amp; ROW())="NAV-Premium",INDIRECT("K" &amp; ROW())="DA-Premium"),INDIRECT("M" &amp; ROW())="PARTITION_SCHEMA128__NavPiviJpn", INDIRECT("O" &amp; ROW())="JPN_SDB"),'SDB vs GN'!$B$41, IF(INDIRECT("H" &amp; ROW())="Chenc",'SDB vs GN'!$B$40, VLOOKUP(INDIRECT("O" &amp; ROW()),'SDB vs GN'!$A$16:$B$38,2,FALSE)))</f>
        <v>731_EUR</v>
      </c>
      <c r="Q456" s="79" t="s">
        <v>396</v>
      </c>
      <c r="R456" s="165" t="s">
        <v>61</v>
      </c>
      <c r="S456" s="340" t="s">
        <v>10</v>
      </c>
      <c r="T456" s="295" t="s">
        <v>449</v>
      </c>
      <c r="U456" s="104" t="s">
        <v>816</v>
      </c>
      <c r="V456" s="172" t="s">
        <v>7</v>
      </c>
      <c r="W456" s="76" t="s">
        <v>2184</v>
      </c>
      <c r="X456" s="64" t="s">
        <v>521</v>
      </c>
      <c r="Y456" s="282" t="s">
        <v>1286</v>
      </c>
      <c r="Z456" s="282" t="s">
        <v>1592</v>
      </c>
      <c r="AA456" s="299"/>
      <c r="AB456" s="300" t="s">
        <v>225</v>
      </c>
      <c r="AC456" s="301" t="s">
        <v>2533</v>
      </c>
      <c r="AD456" s="72" t="s">
        <v>808</v>
      </c>
      <c r="AE456" s="302"/>
      <c r="AF456" s="194"/>
      <c r="AG456" s="194"/>
      <c r="AH456" s="302" t="s">
        <v>2534</v>
      </c>
      <c r="AI456" s="24"/>
      <c r="AJ456" s="24"/>
      <c r="AK456" s="24"/>
      <c r="AL456" s="24"/>
    </row>
    <row r="457" spans="1:38" ht="39.6">
      <c r="A457" s="51">
        <v>448</v>
      </c>
      <c r="B457" s="81" t="str">
        <f t="shared" si="10"/>
        <v>01C0</v>
      </c>
      <c r="C457" s="229" t="s">
        <v>1893</v>
      </c>
      <c r="D457" s="55" t="s">
        <v>1013</v>
      </c>
      <c r="E457" s="314" t="s">
        <v>1233</v>
      </c>
      <c r="F457" s="267" t="s">
        <v>1055</v>
      </c>
      <c r="G457" s="252" t="s">
        <v>879</v>
      </c>
      <c r="H457" s="282" t="s">
        <v>637</v>
      </c>
      <c r="I457" s="295" t="s">
        <v>815</v>
      </c>
      <c r="J457" s="282" t="s">
        <v>0</v>
      </c>
      <c r="K457" s="55" t="s">
        <v>452</v>
      </c>
      <c r="L457" s="297" t="s">
        <v>857</v>
      </c>
      <c r="M457" s="55" t="s">
        <v>236</v>
      </c>
      <c r="N457" s="282" t="s">
        <v>1215</v>
      </c>
      <c r="O457" s="239" t="s">
        <v>54</v>
      </c>
      <c r="P457" s="64" t="str">
        <f ca="1">IF(AND(OR(INDIRECT("K" &amp; ROW())="NAV-Premium",INDIRECT("K" &amp; ROW())="DA-Premium"),INDIRECT("M" &amp; ROW())="PARTITION_SCHEMA128__NavPiviJpn", INDIRECT("O" &amp; ROW())="JPN_SDB"),'SDB vs GN'!$B$41, IF(INDIRECT("H" &amp; ROW())="Chenc",'SDB vs GN'!$B$40, VLOOKUP(INDIRECT("O" &amp; ROW()),'SDB vs GN'!$A$16:$B$38,2,FALSE)))</f>
        <v>731_EUR</v>
      </c>
      <c r="Q457" s="79" t="s">
        <v>396</v>
      </c>
      <c r="R457" s="64" t="s">
        <v>59</v>
      </c>
      <c r="S457" s="340" t="s">
        <v>10</v>
      </c>
      <c r="T457" s="295" t="s">
        <v>449</v>
      </c>
      <c r="U457" s="104" t="s">
        <v>816</v>
      </c>
      <c r="V457" s="172" t="s">
        <v>872</v>
      </c>
      <c r="W457" s="298" t="s">
        <v>447</v>
      </c>
      <c r="X457" s="64" t="s">
        <v>521</v>
      </c>
      <c r="Y457" s="282" t="s">
        <v>1286</v>
      </c>
      <c r="Z457" s="282" t="s">
        <v>1592</v>
      </c>
      <c r="AA457" s="299"/>
      <c r="AB457" s="300" t="s">
        <v>225</v>
      </c>
      <c r="AC457" s="301" t="s">
        <v>1881</v>
      </c>
      <c r="AD457" s="67" t="s">
        <v>888</v>
      </c>
      <c r="AE457" s="302"/>
      <c r="AF457" s="194"/>
      <c r="AG457" s="194"/>
      <c r="AH457" s="302" t="s">
        <v>1882</v>
      </c>
      <c r="AI457" s="24"/>
      <c r="AJ457" s="24"/>
      <c r="AK457" s="24"/>
      <c r="AL457" s="24"/>
    </row>
    <row r="458" spans="1:38" ht="79.2">
      <c r="A458" s="51">
        <v>449</v>
      </c>
      <c r="B458" s="81" t="str">
        <f t="shared" si="10"/>
        <v>01C1</v>
      </c>
      <c r="C458" s="229" t="s">
        <v>1888</v>
      </c>
      <c r="D458" s="55" t="s">
        <v>1013</v>
      </c>
      <c r="E458" s="282" t="s">
        <v>1233</v>
      </c>
      <c r="F458" s="267" t="s">
        <v>1055</v>
      </c>
      <c r="G458" s="252" t="s">
        <v>879</v>
      </c>
      <c r="H458" s="282" t="s">
        <v>637</v>
      </c>
      <c r="I458" s="295" t="s">
        <v>815</v>
      </c>
      <c r="J458" s="282" t="s">
        <v>0</v>
      </c>
      <c r="K458" s="55" t="s">
        <v>452</v>
      </c>
      <c r="L458" s="297" t="s">
        <v>857</v>
      </c>
      <c r="M458" s="55" t="s">
        <v>1375</v>
      </c>
      <c r="N458" s="282" t="s">
        <v>1215</v>
      </c>
      <c r="O458" s="238" t="s">
        <v>826</v>
      </c>
      <c r="P458" s="64" t="str">
        <f ca="1">IF(AND(OR(INDIRECT("K" &amp; ROW())="NAV-Premium",INDIRECT("K" &amp; ROW())="DA-Premium"),INDIRECT("M" &amp; ROW())="PARTITION_SCHEMA128__NavPiviJpn", INDIRECT("O" &amp; ROW())="JPN_SDB"),'SDB vs GN'!$B$41, IF(INDIRECT("H" &amp; ROW())="Chenc",'SDB vs GN'!$B$40, VLOOKUP(INDIRECT("O" &amp; ROW()),'SDB vs GN'!$A$16:$B$38,2,FALSE)))</f>
        <v>731_EUR</v>
      </c>
      <c r="Q458" s="79" t="s">
        <v>396</v>
      </c>
      <c r="R458" s="64" t="s">
        <v>59</v>
      </c>
      <c r="S458" s="340" t="s">
        <v>10</v>
      </c>
      <c r="T458" s="295" t="s">
        <v>449</v>
      </c>
      <c r="U458" s="104" t="s">
        <v>816</v>
      </c>
      <c r="V458" s="172" t="s">
        <v>931</v>
      </c>
      <c r="W458" s="298" t="s">
        <v>447</v>
      </c>
      <c r="X458" s="64" t="s">
        <v>521</v>
      </c>
      <c r="Y458" s="282" t="s">
        <v>1286</v>
      </c>
      <c r="Z458" s="282" t="s">
        <v>1592</v>
      </c>
      <c r="AA458" s="299"/>
      <c r="AB458" s="300" t="s">
        <v>225</v>
      </c>
      <c r="AC458" s="301" t="s">
        <v>2418</v>
      </c>
      <c r="AD458" s="67" t="s">
        <v>888</v>
      </c>
      <c r="AE458" s="302"/>
      <c r="AF458" s="194"/>
      <c r="AG458" s="194"/>
      <c r="AH458" s="303" t="s">
        <v>2421</v>
      </c>
      <c r="AI458" s="24"/>
      <c r="AJ458" s="24"/>
      <c r="AK458" s="24"/>
      <c r="AL458" s="24"/>
    </row>
    <row r="459" spans="1:38" ht="79.2">
      <c r="A459" s="51">
        <v>450</v>
      </c>
      <c r="B459" s="81" t="str">
        <f t="shared" si="10"/>
        <v>01C2</v>
      </c>
      <c r="C459" s="229" t="s">
        <v>1889</v>
      </c>
      <c r="D459" s="55" t="s">
        <v>1013</v>
      </c>
      <c r="E459" s="282" t="s">
        <v>1233</v>
      </c>
      <c r="F459" s="267" t="s">
        <v>1055</v>
      </c>
      <c r="G459" s="252" t="s">
        <v>879</v>
      </c>
      <c r="H459" s="282" t="s">
        <v>637</v>
      </c>
      <c r="I459" s="295" t="s">
        <v>815</v>
      </c>
      <c r="J459" s="282" t="s">
        <v>0</v>
      </c>
      <c r="K459" s="55" t="s">
        <v>452</v>
      </c>
      <c r="L459" s="297" t="s">
        <v>857</v>
      </c>
      <c r="M459" s="55" t="s">
        <v>1375</v>
      </c>
      <c r="N459" s="282" t="s">
        <v>1215</v>
      </c>
      <c r="O459" s="238" t="s">
        <v>825</v>
      </c>
      <c r="P459" s="64" t="str">
        <f ca="1">IF(AND(OR(INDIRECT("K" &amp; ROW())="NAV-Premium",INDIRECT("K" &amp; ROW())="DA-Premium"),INDIRECT("M" &amp; ROW())="PARTITION_SCHEMA128__NavPiviJpn", INDIRECT("O" &amp; ROW())="JPN_SDB"),'SDB vs GN'!$B$41, IF(INDIRECT("H" &amp; ROW())="Chenc",'SDB vs GN'!$B$40, VLOOKUP(INDIRECT("O" &amp; ROW()),'SDB vs GN'!$A$16:$B$38,2,FALSE)))</f>
        <v>831_AUSKRJPN</v>
      </c>
      <c r="Q459" s="79" t="s">
        <v>396</v>
      </c>
      <c r="R459" s="64" t="s">
        <v>59</v>
      </c>
      <c r="S459" s="103" t="s">
        <v>10</v>
      </c>
      <c r="T459" s="295" t="s">
        <v>449</v>
      </c>
      <c r="U459" s="104" t="s">
        <v>816</v>
      </c>
      <c r="V459" s="172" t="s">
        <v>1368</v>
      </c>
      <c r="W459" s="298" t="s">
        <v>447</v>
      </c>
      <c r="X459" s="64" t="s">
        <v>521</v>
      </c>
      <c r="Y459" s="282" t="s">
        <v>1286</v>
      </c>
      <c r="Z459" s="282" t="s">
        <v>1592</v>
      </c>
      <c r="AA459" s="299"/>
      <c r="AB459" s="300" t="s">
        <v>225</v>
      </c>
      <c r="AC459" s="301" t="s">
        <v>2416</v>
      </c>
      <c r="AD459" s="67" t="s">
        <v>888</v>
      </c>
      <c r="AE459" s="302"/>
      <c r="AF459" s="194"/>
      <c r="AG459" s="194"/>
      <c r="AH459" s="302" t="s">
        <v>2422</v>
      </c>
      <c r="AI459" s="24"/>
      <c r="AJ459" s="24"/>
      <c r="AK459" s="24"/>
      <c r="AL459" s="24"/>
    </row>
    <row r="460" spans="1:38" ht="409.6">
      <c r="A460" s="51">
        <v>451</v>
      </c>
      <c r="B460" s="81" t="str">
        <f t="shared" si="10"/>
        <v>01C3</v>
      </c>
      <c r="C460" s="328" t="s">
        <v>1892</v>
      </c>
      <c r="D460" s="94" t="s">
        <v>136</v>
      </c>
      <c r="E460" s="314" t="s">
        <v>1233</v>
      </c>
      <c r="F460" s="327" t="s">
        <v>1054</v>
      </c>
      <c r="G460" s="327" t="s">
        <v>344</v>
      </c>
      <c r="H460" s="282" t="s">
        <v>637</v>
      </c>
      <c r="I460" s="94" t="s">
        <v>4</v>
      </c>
      <c r="J460" s="282" t="s">
        <v>0</v>
      </c>
      <c r="K460" s="282" t="s">
        <v>451</v>
      </c>
      <c r="L460" s="297" t="s">
        <v>857</v>
      </c>
      <c r="M460" s="55" t="s">
        <v>255</v>
      </c>
      <c r="N460" s="282" t="s">
        <v>1215</v>
      </c>
      <c r="O460" s="238" t="s">
        <v>827</v>
      </c>
      <c r="P460" s="64" t="str">
        <f ca="1">IF(AND(OR(INDIRECT("K" &amp; ROW())="NAV-Premium",INDIRECT("K" &amp; ROW())="DA-Premium"),INDIRECT("M" &amp; ROW())="PARTITION_SCHEMA128__NavPiviJpn", INDIRECT("O" &amp; ROW())="JPN_SDB"),'SDB vs GN'!$B$41, IF(INDIRECT("H" &amp; ROW())="Chenc",'SDB vs GN'!$B$40, VLOOKUP(INDIRECT("O" &amp; ROW()),'SDB vs GN'!$A$16:$B$38,2,FALSE)))</f>
        <v>734_CN_831_AUSKRJPN</v>
      </c>
      <c r="Q460" s="79" t="s">
        <v>396</v>
      </c>
      <c r="R460" s="165" t="s">
        <v>61</v>
      </c>
      <c r="S460" s="340" t="s">
        <v>10</v>
      </c>
      <c r="T460" s="295" t="s">
        <v>449</v>
      </c>
      <c r="U460" s="104" t="s">
        <v>816</v>
      </c>
      <c r="V460" s="172" t="s">
        <v>7</v>
      </c>
      <c r="W460" s="76" t="s">
        <v>2184</v>
      </c>
      <c r="X460" s="64" t="s">
        <v>521</v>
      </c>
      <c r="Y460" s="282" t="s">
        <v>1286</v>
      </c>
      <c r="Z460" s="282" t="s">
        <v>1592</v>
      </c>
      <c r="AA460" s="299"/>
      <c r="AB460" s="300" t="s">
        <v>225</v>
      </c>
      <c r="AC460" s="301" t="s">
        <v>2554</v>
      </c>
      <c r="AD460" s="72" t="s">
        <v>808</v>
      </c>
      <c r="AE460" s="302" t="s">
        <v>2498</v>
      </c>
      <c r="AF460" s="194"/>
      <c r="AG460" s="194"/>
      <c r="AH460" s="302" t="s">
        <v>2555</v>
      </c>
      <c r="AI460" s="24"/>
      <c r="AJ460" s="24"/>
      <c r="AK460" s="24"/>
      <c r="AL460" s="24"/>
    </row>
    <row r="461" spans="1:38" ht="118.8">
      <c r="A461" s="51">
        <v>452</v>
      </c>
      <c r="B461" s="356" t="str">
        <f t="shared" si="10"/>
        <v>01C4</v>
      </c>
      <c r="C461" s="329" t="s">
        <v>1887</v>
      </c>
      <c r="D461" s="55" t="s">
        <v>1013</v>
      </c>
      <c r="E461" s="282" t="s">
        <v>1233</v>
      </c>
      <c r="F461" s="267" t="s">
        <v>1055</v>
      </c>
      <c r="G461" s="267" t="s">
        <v>879</v>
      </c>
      <c r="H461" s="282" t="s">
        <v>637</v>
      </c>
      <c r="I461" s="295" t="s">
        <v>815</v>
      </c>
      <c r="J461" s="55" t="s">
        <v>0</v>
      </c>
      <c r="K461" s="55" t="s">
        <v>452</v>
      </c>
      <c r="L461" s="297" t="s">
        <v>857</v>
      </c>
      <c r="M461" s="55" t="s">
        <v>1375</v>
      </c>
      <c r="N461" s="282" t="s">
        <v>1215</v>
      </c>
      <c r="O461" s="238" t="s">
        <v>97</v>
      </c>
      <c r="P461" s="64" t="str">
        <f ca="1">IF(AND(OR(INDIRECT("K" &amp; ROW())="NAV-Premium",INDIRECT("K" &amp; ROW())="DA-Premium"),INDIRECT("M" &amp; ROW())="PARTITION_SCHEMA128__NavPiviJpn", INDIRECT("O" &amp; ROW())="JPN_SDB"),'SDB vs GN'!$B$41, IF(INDIRECT("H" &amp; ROW())="Chenc",'SDB vs GN'!$B$40, VLOOKUP(INDIRECT("O" &amp; ROW()),'SDB vs GN'!$A$16:$B$38,2,FALSE)))</f>
        <v>734_CN_831_AUSKRJPN</v>
      </c>
      <c r="Q461" s="79" t="s">
        <v>396</v>
      </c>
      <c r="R461" s="64" t="s">
        <v>59</v>
      </c>
      <c r="S461" s="340" t="s">
        <v>10</v>
      </c>
      <c r="T461" s="295" t="s">
        <v>449</v>
      </c>
      <c r="U461" s="104" t="s">
        <v>816</v>
      </c>
      <c r="V461" s="172" t="s">
        <v>1115</v>
      </c>
      <c r="W461" s="298" t="s">
        <v>447</v>
      </c>
      <c r="X461" s="64" t="s">
        <v>521</v>
      </c>
      <c r="Y461" s="282" t="s">
        <v>1286</v>
      </c>
      <c r="Z461" s="282" t="s">
        <v>1592</v>
      </c>
      <c r="AA461" s="299"/>
      <c r="AB461" s="300" t="s">
        <v>225</v>
      </c>
      <c r="AC461" s="301" t="s">
        <v>2543</v>
      </c>
      <c r="AD461" s="67" t="s">
        <v>888</v>
      </c>
      <c r="AE461" s="302"/>
      <c r="AF461" s="302"/>
      <c r="AG461" s="302"/>
      <c r="AH461" s="303" t="s">
        <v>2542</v>
      </c>
      <c r="AI461" s="24"/>
      <c r="AJ461" s="24"/>
      <c r="AK461" s="24"/>
      <c r="AL461" s="24"/>
    </row>
    <row r="462" spans="1:38">
      <c r="A462" s="51">
        <v>453</v>
      </c>
      <c r="B462" s="81" t="str">
        <f t="shared" si="10"/>
        <v>01C5</v>
      </c>
      <c r="C462" s="67" t="s">
        <v>1254</v>
      </c>
      <c r="D462" s="94" t="s">
        <v>136</v>
      </c>
      <c r="E462" s="282" t="s">
        <v>1233</v>
      </c>
      <c r="F462" s="192" t="s">
        <v>1085</v>
      </c>
      <c r="G462" s="192" t="s">
        <v>348</v>
      </c>
      <c r="H462" s="282" t="s">
        <v>637</v>
      </c>
      <c r="I462" s="94" t="s">
        <v>4</v>
      </c>
      <c r="J462" s="127" t="s">
        <v>1</v>
      </c>
      <c r="K462" s="282" t="s">
        <v>751</v>
      </c>
      <c r="L462" s="64" t="s">
        <v>856</v>
      </c>
      <c r="M462" s="55" t="s">
        <v>1610</v>
      </c>
      <c r="N462" s="282" t="s">
        <v>1215</v>
      </c>
      <c r="O462" s="239" t="s">
        <v>53</v>
      </c>
      <c r="P462" s="64" t="str">
        <f ca="1">IF(AND(OR(INDIRECT("K" &amp; ROW())="NAV-Premium",INDIRECT("K" &amp; ROW())="DA-Premium"),INDIRECT("M" &amp; ROW())="PARTITION_SCHEMA128__NavPiviJpn", INDIRECT("O" &amp; ROW())="JPN_SDB"),'SDB vs GN'!$B$41, IF(INDIRECT("H" &amp; ROW())="Chenc",'SDB vs GN'!$B$40, VLOOKUP(INDIRECT("O" &amp; ROW()),'SDB vs GN'!$A$16:$B$38,2,FALSE)))</f>
        <v>No_Gracenote</v>
      </c>
      <c r="Q462" s="79" t="s">
        <v>396</v>
      </c>
      <c r="R462" s="165" t="s">
        <v>61</v>
      </c>
      <c r="S462" s="103" t="s">
        <v>10</v>
      </c>
      <c r="T462" s="64" t="s">
        <v>449</v>
      </c>
      <c r="U462" s="104" t="s">
        <v>816</v>
      </c>
      <c r="V462" s="173" t="s">
        <v>7</v>
      </c>
      <c r="W462" s="298" t="s">
        <v>447</v>
      </c>
      <c r="X462" s="64" t="s">
        <v>521</v>
      </c>
      <c r="Y462" s="282" t="s">
        <v>1286</v>
      </c>
      <c r="Z462" s="282" t="s">
        <v>1592</v>
      </c>
      <c r="AA462" s="299"/>
      <c r="AB462" s="300" t="s">
        <v>225</v>
      </c>
      <c r="AC462" s="301" t="s">
        <v>1527</v>
      </c>
      <c r="AD462" s="72" t="s">
        <v>888</v>
      </c>
      <c r="AE462" s="302"/>
      <c r="AF462" s="302"/>
      <c r="AG462" s="302"/>
      <c r="AH462" s="302" t="s">
        <v>1529</v>
      </c>
      <c r="AI462" s="24"/>
      <c r="AJ462" s="24"/>
      <c r="AK462" s="24"/>
      <c r="AL462" s="24"/>
    </row>
    <row r="463" spans="1:38">
      <c r="A463" s="51">
        <v>454</v>
      </c>
      <c r="B463" s="81" t="str">
        <f t="shared" si="10"/>
        <v>01C6</v>
      </c>
      <c r="C463" s="67" t="s">
        <v>1555</v>
      </c>
      <c r="D463" s="94" t="s">
        <v>104</v>
      </c>
      <c r="E463" s="282" t="s">
        <v>1233</v>
      </c>
      <c r="F463" s="169" t="s">
        <v>1056</v>
      </c>
      <c r="G463" s="169" t="s">
        <v>347</v>
      </c>
      <c r="H463" s="282" t="s">
        <v>637</v>
      </c>
      <c r="I463" s="295" t="s">
        <v>815</v>
      </c>
      <c r="J463" s="127" t="s">
        <v>1</v>
      </c>
      <c r="K463" s="55" t="s">
        <v>750</v>
      </c>
      <c r="L463" s="64" t="s">
        <v>856</v>
      </c>
      <c r="M463" s="55" t="s">
        <v>1612</v>
      </c>
      <c r="N463" s="282" t="s">
        <v>1215</v>
      </c>
      <c r="O463" s="238" t="s">
        <v>826</v>
      </c>
      <c r="P463" s="64" t="str">
        <f ca="1">IF(AND(OR(INDIRECT("K" &amp; ROW())="NAV-Premium",INDIRECT("K" &amp; ROW())="DA-Premium"),INDIRECT("M" &amp; ROW())="PARTITION_SCHEMA128__NavPiviJpn", INDIRECT("O" &amp; ROW())="JPN_SDB"),'SDB vs GN'!$B$41, IF(INDIRECT("H" &amp; ROW())="Chenc",'SDB vs GN'!$B$40, VLOOKUP(INDIRECT("O" &amp; ROW()),'SDB vs GN'!$A$16:$B$38,2,FALSE)))</f>
        <v>731_EUR</v>
      </c>
      <c r="Q463" s="79" t="s">
        <v>396</v>
      </c>
      <c r="R463" s="64" t="s">
        <v>59</v>
      </c>
      <c r="S463" s="103" t="s">
        <v>10</v>
      </c>
      <c r="T463" s="64" t="s">
        <v>449</v>
      </c>
      <c r="U463" s="104" t="s">
        <v>816</v>
      </c>
      <c r="V463" s="326" t="s">
        <v>912</v>
      </c>
      <c r="W463" s="298" t="s">
        <v>447</v>
      </c>
      <c r="X463" s="64" t="s">
        <v>521</v>
      </c>
      <c r="Y463" s="282" t="s">
        <v>1286</v>
      </c>
      <c r="Z463" s="282" t="s">
        <v>1592</v>
      </c>
      <c r="AA463" s="299"/>
      <c r="AB463" s="300" t="s">
        <v>225</v>
      </c>
      <c r="AC463" s="301" t="s">
        <v>1528</v>
      </c>
      <c r="AD463" s="72" t="s">
        <v>888</v>
      </c>
      <c r="AE463" s="302"/>
      <c r="AF463" s="67"/>
      <c r="AG463" s="67"/>
      <c r="AH463" s="302" t="s">
        <v>1530</v>
      </c>
      <c r="AI463" s="24"/>
      <c r="AJ463" s="24"/>
      <c r="AK463" s="24"/>
      <c r="AL463" s="24"/>
    </row>
    <row r="464" spans="1:38" ht="132">
      <c r="A464" s="51">
        <v>455</v>
      </c>
      <c r="B464" s="81" t="str">
        <f t="shared" si="10"/>
        <v>01C7</v>
      </c>
      <c r="C464" s="170" t="s">
        <v>1558</v>
      </c>
      <c r="D464" s="61" t="s">
        <v>476</v>
      </c>
      <c r="E464" s="323" t="s">
        <v>1233</v>
      </c>
      <c r="F464" s="115" t="s">
        <v>1049</v>
      </c>
      <c r="G464" s="115" t="s">
        <v>346</v>
      </c>
      <c r="H464" s="55" t="s">
        <v>637</v>
      </c>
      <c r="I464" s="155" t="s">
        <v>815</v>
      </c>
      <c r="J464" s="55" t="s">
        <v>0</v>
      </c>
      <c r="K464" s="61" t="s">
        <v>454</v>
      </c>
      <c r="L464" s="100" t="s">
        <v>1317</v>
      </c>
      <c r="M464" s="55" t="s">
        <v>236</v>
      </c>
      <c r="N464" s="282" t="s">
        <v>1215</v>
      </c>
      <c r="O464" s="238" t="s">
        <v>825</v>
      </c>
      <c r="P464" s="64" t="str">
        <f ca="1">IF(AND(OR(INDIRECT("K" &amp; ROW())="NAV-Premium",INDIRECT("K" &amp; ROW())="DA-Premium"),INDIRECT("M" &amp; ROW())="PARTITION_SCHEMA128__NavPiviJpn", INDIRECT("O" &amp; ROW())="JPN_SDB"),'SDB vs GN'!$B$41, IF(INDIRECT("H" &amp; ROW())="Chenc",'SDB vs GN'!$B$40, VLOOKUP(INDIRECT("O" &amp; ROW()),'SDB vs GN'!$A$16:$B$38,2,FALSE)))</f>
        <v>831_AUSKRJPN</v>
      </c>
      <c r="Q464" s="64" t="s">
        <v>952</v>
      </c>
      <c r="R464" s="135" t="s">
        <v>61</v>
      </c>
      <c r="S464" s="103" t="s">
        <v>10</v>
      </c>
      <c r="T464" s="64" t="s">
        <v>449</v>
      </c>
      <c r="U464" s="104" t="s">
        <v>816</v>
      </c>
      <c r="V464" s="174" t="s">
        <v>599</v>
      </c>
      <c r="W464" s="76" t="s">
        <v>447</v>
      </c>
      <c r="X464" s="64" t="s">
        <v>521</v>
      </c>
      <c r="Y464" s="282" t="s">
        <v>1286</v>
      </c>
      <c r="Z464" s="282" t="s">
        <v>1592</v>
      </c>
      <c r="AA464" s="96"/>
      <c r="AB464" s="131" t="s">
        <v>225</v>
      </c>
      <c r="AC464" s="226" t="s">
        <v>2546</v>
      </c>
      <c r="AD464" s="72" t="s">
        <v>888</v>
      </c>
      <c r="AE464" s="302"/>
      <c r="AF464" s="67"/>
      <c r="AG464" s="67"/>
      <c r="AH464" s="261" t="s">
        <v>2547</v>
      </c>
      <c r="AI464" s="24"/>
      <c r="AJ464" s="24"/>
      <c r="AK464" s="24"/>
    </row>
    <row r="465" spans="1:38" ht="92.4">
      <c r="A465" s="51">
        <v>456</v>
      </c>
      <c r="B465" s="81" t="str">
        <f t="shared" si="10"/>
        <v>01C8</v>
      </c>
      <c r="C465" s="55" t="s">
        <v>1559</v>
      </c>
      <c r="D465" s="61" t="s">
        <v>475</v>
      </c>
      <c r="E465" s="323" t="s">
        <v>1233</v>
      </c>
      <c r="F465" s="167" t="s">
        <v>1053</v>
      </c>
      <c r="G465" s="167" t="s">
        <v>479</v>
      </c>
      <c r="H465" s="55" t="s">
        <v>637</v>
      </c>
      <c r="I465" s="94" t="s">
        <v>4</v>
      </c>
      <c r="J465" s="55" t="s">
        <v>0</v>
      </c>
      <c r="K465" s="61" t="s">
        <v>478</v>
      </c>
      <c r="L465" s="100" t="s">
        <v>1317</v>
      </c>
      <c r="M465" s="55" t="s">
        <v>1027</v>
      </c>
      <c r="N465" s="282" t="s">
        <v>1215</v>
      </c>
      <c r="O465" s="239" t="s">
        <v>828</v>
      </c>
      <c r="P465" s="64" t="str">
        <f ca="1">IF(AND(OR(INDIRECT("K" &amp; ROW())="NAV-Premium",INDIRECT("K" &amp; ROW())="DA-Premium"),INDIRECT("M" &amp; ROW())="PARTITION_SCHEMA128__NavPiviJpn", INDIRECT("O" &amp; ROW())="JPN_SDB"),'SDB vs GN'!$B$41, IF(INDIRECT("H" &amp; ROW())="Chenc",'SDB vs GN'!$B$40, VLOOKUP(INDIRECT("O" &amp; ROW()),'SDB vs GN'!$A$16:$B$38,2,FALSE)))</f>
        <v>735_LA_831_AUSKRJPN</v>
      </c>
      <c r="Q465" s="64" t="s">
        <v>952</v>
      </c>
      <c r="R465" s="135" t="s">
        <v>61</v>
      </c>
      <c r="S465" s="103" t="s">
        <v>10</v>
      </c>
      <c r="T465" s="64" t="s">
        <v>449</v>
      </c>
      <c r="U465" s="104" t="s">
        <v>816</v>
      </c>
      <c r="V465" s="173" t="s">
        <v>7</v>
      </c>
      <c r="W465" s="76" t="s">
        <v>447</v>
      </c>
      <c r="X465" s="64" t="s">
        <v>521</v>
      </c>
      <c r="Y465" s="282" t="s">
        <v>1286</v>
      </c>
      <c r="Z465" s="282" t="s">
        <v>1592</v>
      </c>
      <c r="AA465" s="96"/>
      <c r="AB465" s="131" t="s">
        <v>225</v>
      </c>
      <c r="AC465" s="226" t="s">
        <v>2298</v>
      </c>
      <c r="AD465" s="72" t="s">
        <v>888</v>
      </c>
      <c r="AE465" s="302"/>
      <c r="AF465" s="67"/>
      <c r="AG465" s="67"/>
      <c r="AH465" s="261" t="s">
        <v>2297</v>
      </c>
      <c r="AI465" s="24"/>
      <c r="AJ465" s="24"/>
      <c r="AK465" s="24"/>
    </row>
    <row r="466" spans="1:38" ht="79.2">
      <c r="A466" s="51">
        <v>457</v>
      </c>
      <c r="B466" s="81" t="str">
        <f t="shared" si="10"/>
        <v>01C9</v>
      </c>
      <c r="C466" s="79" t="s">
        <v>1562</v>
      </c>
      <c r="D466" s="94" t="s">
        <v>136</v>
      </c>
      <c r="E466" s="314" t="s">
        <v>1233</v>
      </c>
      <c r="F466" s="177" t="s">
        <v>1046</v>
      </c>
      <c r="G466" s="177" t="s">
        <v>344</v>
      </c>
      <c r="H466" s="55" t="s">
        <v>637</v>
      </c>
      <c r="I466" s="94" t="s">
        <v>4</v>
      </c>
      <c r="J466" s="55" t="s">
        <v>0</v>
      </c>
      <c r="K466" s="127" t="s">
        <v>451</v>
      </c>
      <c r="L466" s="94" t="s">
        <v>499</v>
      </c>
      <c r="M466" s="55" t="s">
        <v>255</v>
      </c>
      <c r="N466" s="282" t="s">
        <v>1215</v>
      </c>
      <c r="O466" s="237" t="s">
        <v>781</v>
      </c>
      <c r="P466" s="64" t="str">
        <f ca="1">IF(AND(OR(INDIRECT("K" &amp; ROW())="NAV-Premium",INDIRECT("K" &amp; ROW())="DA-Premium"),INDIRECT("M" &amp; ROW())="PARTITION_SCHEMA128__NavPiviJpn", INDIRECT("O" &amp; ROW())="JPN_SDB"),'SDB vs GN'!$B$41, IF(INDIRECT("H" &amp; ROW())="Chenc",'SDB vs GN'!$B$40, VLOOKUP(INDIRECT("O" &amp; ROW()),'SDB vs GN'!$A$16:$B$38,2,FALSE)))</f>
        <v>731_EUR</v>
      </c>
      <c r="Q466" s="79" t="s">
        <v>396</v>
      </c>
      <c r="R466" s="64" t="s">
        <v>59</v>
      </c>
      <c r="S466" s="157" t="s">
        <v>10</v>
      </c>
      <c r="T466" s="79" t="s">
        <v>449</v>
      </c>
      <c r="U466" s="104" t="s">
        <v>816</v>
      </c>
      <c r="V466" s="172" t="s">
        <v>7</v>
      </c>
      <c r="W466" s="76" t="s">
        <v>2184</v>
      </c>
      <c r="X466" s="64" t="s">
        <v>521</v>
      </c>
      <c r="Y466" s="282" t="s">
        <v>1286</v>
      </c>
      <c r="Z466" s="282" t="s">
        <v>1592</v>
      </c>
      <c r="AA466" s="37"/>
      <c r="AB466" s="154" t="s">
        <v>225</v>
      </c>
      <c r="AC466" s="229" t="s">
        <v>2531</v>
      </c>
      <c r="AD466" s="72" t="s">
        <v>808</v>
      </c>
      <c r="AE466" s="302"/>
      <c r="AF466" s="67"/>
      <c r="AG466" s="67"/>
      <c r="AH466" s="72" t="s">
        <v>2532</v>
      </c>
      <c r="AI466" s="24"/>
      <c r="AJ466" s="24"/>
      <c r="AK466" s="24"/>
      <c r="AL466" s="24"/>
    </row>
    <row r="467" spans="1:38" ht="409.6">
      <c r="A467" s="51">
        <v>458</v>
      </c>
      <c r="B467" s="81" t="str">
        <f t="shared" ref="B467:B473" si="11">DEC2HEX(A467,4)</f>
        <v>01CA</v>
      </c>
      <c r="C467" s="229" t="s">
        <v>1891</v>
      </c>
      <c r="D467" s="94" t="s">
        <v>136</v>
      </c>
      <c r="E467" s="314" t="s">
        <v>1233</v>
      </c>
      <c r="F467" s="327" t="s">
        <v>1054</v>
      </c>
      <c r="G467" s="327" t="s">
        <v>344</v>
      </c>
      <c r="H467" s="282" t="s">
        <v>637</v>
      </c>
      <c r="I467" s="94" t="s">
        <v>4</v>
      </c>
      <c r="J467" s="55" t="s">
        <v>0</v>
      </c>
      <c r="K467" s="282" t="s">
        <v>451</v>
      </c>
      <c r="L467" s="297" t="s">
        <v>857</v>
      </c>
      <c r="M467" s="55" t="s">
        <v>255</v>
      </c>
      <c r="N467" s="282" t="s">
        <v>1215</v>
      </c>
      <c r="O467" s="238" t="s">
        <v>828</v>
      </c>
      <c r="P467" s="64" t="s">
        <v>989</v>
      </c>
      <c r="Q467" s="79" t="s">
        <v>396</v>
      </c>
      <c r="R467" s="165" t="s">
        <v>61</v>
      </c>
      <c r="S467" s="340" t="s">
        <v>10</v>
      </c>
      <c r="T467" s="297" t="s">
        <v>449</v>
      </c>
      <c r="U467" s="104" t="s">
        <v>816</v>
      </c>
      <c r="V467" s="173" t="s">
        <v>7</v>
      </c>
      <c r="W467" s="76" t="s">
        <v>2184</v>
      </c>
      <c r="X467" s="64" t="s">
        <v>521</v>
      </c>
      <c r="Y467" s="282" t="s">
        <v>1286</v>
      </c>
      <c r="Z467" s="282" t="s">
        <v>1592</v>
      </c>
      <c r="AA467" s="299"/>
      <c r="AB467" s="300" t="s">
        <v>225</v>
      </c>
      <c r="AC467" s="307" t="s">
        <v>2776</v>
      </c>
      <c r="AD467" s="72" t="s">
        <v>808</v>
      </c>
      <c r="AE467" s="302"/>
      <c r="AF467" s="302"/>
      <c r="AG467" s="302"/>
      <c r="AH467" s="303" t="s">
        <v>2775</v>
      </c>
      <c r="AI467" s="24"/>
      <c r="AJ467" s="24"/>
      <c r="AK467" s="24"/>
      <c r="AL467" s="24"/>
    </row>
    <row r="468" spans="1:38" ht="92.4">
      <c r="A468" s="51">
        <v>459</v>
      </c>
      <c r="B468" s="81" t="str">
        <f t="shared" si="11"/>
        <v>01CB</v>
      </c>
      <c r="C468" s="61" t="s">
        <v>1566</v>
      </c>
      <c r="D468" s="94" t="s">
        <v>704</v>
      </c>
      <c r="E468" s="314" t="s">
        <v>1233</v>
      </c>
      <c r="F468" s="178" t="s">
        <v>1044</v>
      </c>
      <c r="G468" s="178" t="s">
        <v>345</v>
      </c>
      <c r="H468" s="55" t="s">
        <v>637</v>
      </c>
      <c r="I468" s="79" t="s">
        <v>815</v>
      </c>
      <c r="J468" s="55" t="s">
        <v>0</v>
      </c>
      <c r="K468" s="55" t="s">
        <v>452</v>
      </c>
      <c r="L468" s="158" t="s">
        <v>499</v>
      </c>
      <c r="M468" s="55" t="s">
        <v>256</v>
      </c>
      <c r="N468" s="282" t="s">
        <v>1215</v>
      </c>
      <c r="O468" s="238" t="s">
        <v>54</v>
      </c>
      <c r="P468" s="64" t="str">
        <f ca="1">IF(AND(OR(INDIRECT("K" &amp; ROW())="NAV-Premium",INDIRECT("K" &amp; ROW())="DA-Premium"),INDIRECT("M" &amp; ROW())="PARTITION_SCHEMA128__NavPiviJpn", INDIRECT("O" &amp; ROW())="JPN_SDB"),'SDB vs GN'!$B$41, IF(INDIRECT("H" &amp; ROW())="Chenc",'SDB vs GN'!$B$40, VLOOKUP(INDIRECT("O" &amp; ROW()),'SDB vs GN'!$A$16:$B$38,2,FALSE)))</f>
        <v>731_EUR</v>
      </c>
      <c r="Q468" s="79" t="s">
        <v>396</v>
      </c>
      <c r="R468" s="135" t="s">
        <v>61</v>
      </c>
      <c r="S468" s="103" t="s">
        <v>10</v>
      </c>
      <c r="T468" s="64" t="s">
        <v>449</v>
      </c>
      <c r="U468" s="104" t="s">
        <v>816</v>
      </c>
      <c r="V468" s="172" t="s">
        <v>872</v>
      </c>
      <c r="W468" s="76" t="s">
        <v>447</v>
      </c>
      <c r="X468" s="64" t="s">
        <v>521</v>
      </c>
      <c r="Y468" s="282" t="s">
        <v>1286</v>
      </c>
      <c r="Z468" s="282" t="s">
        <v>1592</v>
      </c>
      <c r="AA468" s="96"/>
      <c r="AB468" s="105" t="s">
        <v>225</v>
      </c>
      <c r="AC468" s="226" t="s">
        <v>2394</v>
      </c>
      <c r="AD468" s="72" t="s">
        <v>808</v>
      </c>
      <c r="AE468" s="302"/>
      <c r="AF468" s="67"/>
      <c r="AG468" s="67"/>
      <c r="AH468" s="67" t="s">
        <v>2393</v>
      </c>
      <c r="AI468" s="24"/>
      <c r="AJ468" s="24"/>
      <c r="AK468" s="24"/>
      <c r="AL468" s="24"/>
    </row>
    <row r="469" spans="1:38">
      <c r="A469" s="51">
        <v>460</v>
      </c>
      <c r="B469" s="81" t="str">
        <f t="shared" si="11"/>
        <v>01CC</v>
      </c>
      <c r="C469" s="64" t="s">
        <v>1573</v>
      </c>
      <c r="D469" s="55" t="s">
        <v>143</v>
      </c>
      <c r="E469" s="282" t="s">
        <v>1233</v>
      </c>
      <c r="F469" s="78" t="s">
        <v>1047</v>
      </c>
      <c r="G469" s="78" t="s">
        <v>761</v>
      </c>
      <c r="H469" s="55" t="s">
        <v>637</v>
      </c>
      <c r="I469" s="155" t="s">
        <v>815</v>
      </c>
      <c r="J469" s="127" t="s">
        <v>1</v>
      </c>
      <c r="K469" s="79" t="s">
        <v>749</v>
      </c>
      <c r="L469" s="64" t="s">
        <v>500</v>
      </c>
      <c r="M469" s="55" t="s">
        <v>1615</v>
      </c>
      <c r="N469" s="282" t="s">
        <v>1215</v>
      </c>
      <c r="O469" s="238" t="s">
        <v>126</v>
      </c>
      <c r="P469" s="64" t="str">
        <f ca="1">IF(AND(OR(INDIRECT("K" &amp; ROW())="NAV-Premium",INDIRECT("K" &amp; ROW())="DA-Premium"),INDIRECT("M" &amp; ROW())="PARTITION_SCHEMA128__NavPiviJpn", INDIRECT("O" &amp; ROW())="JPN_SDB"),'SDB vs GN'!$B$41, IF(INDIRECT("H" &amp; ROW())="Chenc",'SDB vs GN'!$B$40, VLOOKUP(INDIRECT("O" &amp; ROW()),'SDB vs GN'!$A$16:$B$38,2,FALSE)))</f>
        <v>735_LA</v>
      </c>
      <c r="Q469" s="79" t="s">
        <v>396</v>
      </c>
      <c r="R469" s="64" t="s">
        <v>61</v>
      </c>
      <c r="S469" s="340" t="s">
        <v>10</v>
      </c>
      <c r="T469" s="64" t="s">
        <v>449</v>
      </c>
      <c r="U469" s="104" t="s">
        <v>12</v>
      </c>
      <c r="V469" s="172" t="s">
        <v>556</v>
      </c>
      <c r="W469" s="76" t="s">
        <v>447</v>
      </c>
      <c r="X469" s="64" t="s">
        <v>521</v>
      </c>
      <c r="Y469" s="282" t="s">
        <v>1286</v>
      </c>
      <c r="Z469" s="282" t="s">
        <v>1592</v>
      </c>
      <c r="AA469" s="96"/>
      <c r="AB469" s="131" t="s">
        <v>225</v>
      </c>
      <c r="AC469" s="226" t="s">
        <v>1567</v>
      </c>
      <c r="AD469" s="72" t="s">
        <v>808</v>
      </c>
      <c r="AE469" s="302"/>
      <c r="AF469" s="67"/>
      <c r="AG469" s="67"/>
      <c r="AH469" s="72" t="s">
        <v>1568</v>
      </c>
      <c r="AI469" s="24"/>
      <c r="AJ469" s="24"/>
      <c r="AK469" s="24"/>
      <c r="AL469" s="24"/>
    </row>
    <row r="470" spans="1:38" ht="26.4">
      <c r="A470" s="51">
        <v>461</v>
      </c>
      <c r="B470" s="81" t="str">
        <f t="shared" si="11"/>
        <v>01CD</v>
      </c>
      <c r="C470" s="168" t="s">
        <v>1580</v>
      </c>
      <c r="D470" s="55" t="s">
        <v>704</v>
      </c>
      <c r="E470" s="282" t="s">
        <v>1233</v>
      </c>
      <c r="F470" s="169" t="s">
        <v>1048</v>
      </c>
      <c r="G470" s="169" t="s">
        <v>347</v>
      </c>
      <c r="H470" s="55" t="s">
        <v>637</v>
      </c>
      <c r="I470" s="79" t="s">
        <v>815</v>
      </c>
      <c r="J470" s="127" t="s">
        <v>1</v>
      </c>
      <c r="K470" s="127" t="s">
        <v>748</v>
      </c>
      <c r="L470" s="64" t="s">
        <v>500</v>
      </c>
      <c r="M470" s="55" t="s">
        <v>1618</v>
      </c>
      <c r="N470" s="282" t="s">
        <v>1215</v>
      </c>
      <c r="O470" s="238" t="s">
        <v>825</v>
      </c>
      <c r="P470" s="64" t="str">
        <f ca="1">IF(AND(OR(INDIRECT("K" &amp; ROW())="NAV-Premium",INDIRECT("K" &amp; ROW())="DA-Premium"),INDIRECT("M" &amp; ROW())="PARTITION_SCHEMA128__NavPiviJpn", INDIRECT("O" &amp; ROW())="JPN_SDB"),'SDB vs GN'!$B$41, IF(INDIRECT("H" &amp; ROW())="Chenc",'SDB vs GN'!$B$40, VLOOKUP(INDIRECT("O" &amp; ROW()),'SDB vs GN'!$A$16:$B$38,2,FALSE)))</f>
        <v>831_AUSKRJPN</v>
      </c>
      <c r="Q470" s="79" t="s">
        <v>396</v>
      </c>
      <c r="R470" s="64" t="s">
        <v>61</v>
      </c>
      <c r="S470" s="340" t="s">
        <v>10</v>
      </c>
      <c r="T470" s="295" t="s">
        <v>449</v>
      </c>
      <c r="U470" s="104" t="s">
        <v>816</v>
      </c>
      <c r="V470" s="172" t="s">
        <v>770</v>
      </c>
      <c r="W470" s="298" t="s">
        <v>447</v>
      </c>
      <c r="X470" s="64" t="s">
        <v>521</v>
      </c>
      <c r="Y470" s="282" t="s">
        <v>1286</v>
      </c>
      <c r="Z470" s="282" t="s">
        <v>1592</v>
      </c>
      <c r="AA470" s="299"/>
      <c r="AB470" s="300" t="s">
        <v>225</v>
      </c>
      <c r="AC470" s="229" t="s">
        <v>1579</v>
      </c>
      <c r="AD470" s="72" t="s">
        <v>808</v>
      </c>
      <c r="AE470" s="302"/>
      <c r="AF470" s="302"/>
      <c r="AG470" s="302"/>
      <c r="AH470" s="72" t="s">
        <v>1578</v>
      </c>
      <c r="AI470" s="24"/>
      <c r="AJ470" s="24"/>
      <c r="AK470" s="24"/>
      <c r="AL470" s="24"/>
    </row>
    <row r="471" spans="1:38">
      <c r="A471" s="51">
        <v>462</v>
      </c>
      <c r="B471" s="81" t="str">
        <f t="shared" si="11"/>
        <v>01CE</v>
      </c>
      <c r="C471" s="168" t="s">
        <v>1581</v>
      </c>
      <c r="D471" s="55" t="s">
        <v>704</v>
      </c>
      <c r="E471" s="282" t="s">
        <v>1233</v>
      </c>
      <c r="F471" s="169" t="s">
        <v>1048</v>
      </c>
      <c r="G471" s="169" t="s">
        <v>347</v>
      </c>
      <c r="H471" s="55" t="s">
        <v>637</v>
      </c>
      <c r="I471" s="79" t="s">
        <v>815</v>
      </c>
      <c r="J471" s="127" t="s">
        <v>1</v>
      </c>
      <c r="K471" s="127" t="s">
        <v>748</v>
      </c>
      <c r="L471" s="64" t="s">
        <v>500</v>
      </c>
      <c r="M471" s="55" t="s">
        <v>1618</v>
      </c>
      <c r="N471" s="282" t="s">
        <v>1215</v>
      </c>
      <c r="O471" s="238" t="s">
        <v>126</v>
      </c>
      <c r="P471" s="64" t="str">
        <f ca="1">IF(AND(OR(INDIRECT("K" &amp; ROW())="NAV-Premium",INDIRECT("K" &amp; ROW())="DA-Premium"),INDIRECT("M" &amp; ROW())="PARTITION_SCHEMA128__NavPiviJpn", INDIRECT("O" &amp; ROW())="JPN_SDB"),'SDB vs GN'!$B$41, IF(INDIRECT("H" &amp; ROW())="Chenc",'SDB vs GN'!$B$40, VLOOKUP(INDIRECT("O" &amp; ROW()),'SDB vs GN'!$A$16:$B$38,2,FALSE)))</f>
        <v>735_LA</v>
      </c>
      <c r="Q471" s="79" t="s">
        <v>396</v>
      </c>
      <c r="R471" s="64" t="s">
        <v>61</v>
      </c>
      <c r="S471" s="340" t="s">
        <v>10</v>
      </c>
      <c r="T471" s="295" t="s">
        <v>449</v>
      </c>
      <c r="U471" s="104" t="s">
        <v>816</v>
      </c>
      <c r="V471" s="101" t="s">
        <v>542</v>
      </c>
      <c r="W471" s="298" t="s">
        <v>447</v>
      </c>
      <c r="X471" s="64" t="s">
        <v>521</v>
      </c>
      <c r="Y471" s="282" t="s">
        <v>1286</v>
      </c>
      <c r="Z471" s="282" t="s">
        <v>1592</v>
      </c>
      <c r="AA471" s="299"/>
      <c r="AB471" s="300" t="s">
        <v>225</v>
      </c>
      <c r="AC471" s="224" t="s">
        <v>1575</v>
      </c>
      <c r="AD471" s="72" t="s">
        <v>808</v>
      </c>
      <c r="AE471" s="302"/>
      <c r="AF471" s="302"/>
      <c r="AG471" s="302"/>
      <c r="AH471" s="72" t="s">
        <v>1574</v>
      </c>
      <c r="AI471" s="24"/>
      <c r="AJ471" s="24"/>
      <c r="AK471" s="24"/>
      <c r="AL471" s="24"/>
    </row>
    <row r="472" spans="1:38" ht="26.4">
      <c r="A472" s="51">
        <v>463</v>
      </c>
      <c r="B472" s="81" t="str">
        <f t="shared" si="11"/>
        <v>01CF</v>
      </c>
      <c r="C472" s="76" t="s">
        <v>1890</v>
      </c>
      <c r="D472" s="55" t="s">
        <v>1013</v>
      </c>
      <c r="E472" s="282" t="s">
        <v>1233</v>
      </c>
      <c r="F472" s="267" t="s">
        <v>1055</v>
      </c>
      <c r="G472" s="252" t="s">
        <v>879</v>
      </c>
      <c r="H472" s="282" t="s">
        <v>637</v>
      </c>
      <c r="I472" s="295" t="s">
        <v>815</v>
      </c>
      <c r="J472" s="282" t="s">
        <v>0</v>
      </c>
      <c r="K472" s="282" t="s">
        <v>452</v>
      </c>
      <c r="L472" s="297" t="s">
        <v>857</v>
      </c>
      <c r="M472" s="55" t="s">
        <v>1375</v>
      </c>
      <c r="N472" s="282" t="s">
        <v>1215</v>
      </c>
      <c r="O472" s="296" t="s">
        <v>97</v>
      </c>
      <c r="P472" s="64" t="str">
        <f ca="1">IF(AND(OR(INDIRECT("K" &amp; ROW())="NAV-Premium",INDIRECT("K" &amp; ROW())="DA-Premium"),INDIRECT("M" &amp; ROW())="PARTITION_SCHEMA128__NavPiviJpn", INDIRECT("O" &amp; ROW())="JPN_SDB"),'SDB vs GN'!$B$41, IF(INDIRECT("H" &amp; ROW())="Chenc",'SDB vs GN'!$B$40, VLOOKUP(INDIRECT("O" &amp; ROW()),'SDB vs GN'!$A$16:$B$38,2,FALSE)))</f>
        <v>734_CN_831_AUSKRJPN</v>
      </c>
      <c r="Q472" s="79" t="s">
        <v>396</v>
      </c>
      <c r="R472" s="64" t="s">
        <v>59</v>
      </c>
      <c r="S472" s="103" t="s">
        <v>10</v>
      </c>
      <c r="T472" s="295" t="s">
        <v>449</v>
      </c>
      <c r="U472" s="104" t="s">
        <v>816</v>
      </c>
      <c r="V472" s="172" t="s">
        <v>786</v>
      </c>
      <c r="W472" s="298" t="s">
        <v>447</v>
      </c>
      <c r="X472" s="64" t="s">
        <v>521</v>
      </c>
      <c r="Y472" s="282" t="s">
        <v>1286</v>
      </c>
      <c r="Z472" s="282" t="s">
        <v>1592</v>
      </c>
      <c r="AA472" s="299"/>
      <c r="AB472" s="300" t="s">
        <v>225</v>
      </c>
      <c r="AC472" s="301" t="s">
        <v>1582</v>
      </c>
      <c r="AD472" s="67" t="s">
        <v>888</v>
      </c>
      <c r="AE472" s="302"/>
      <c r="AF472" s="302"/>
      <c r="AG472" s="302"/>
      <c r="AH472" s="303" t="s">
        <v>1583</v>
      </c>
      <c r="AI472" s="24"/>
      <c r="AJ472" s="24"/>
      <c r="AK472" s="24"/>
      <c r="AL472" s="24"/>
    </row>
    <row r="473" spans="1:38" ht="171.6">
      <c r="A473" s="51">
        <v>464</v>
      </c>
      <c r="B473" s="81" t="str">
        <f t="shared" si="11"/>
        <v>01D0</v>
      </c>
      <c r="C473" s="76" t="s">
        <v>1886</v>
      </c>
      <c r="D473" s="55" t="s">
        <v>1013</v>
      </c>
      <c r="E473" s="282" t="s">
        <v>1233</v>
      </c>
      <c r="F473" s="267" t="s">
        <v>1055</v>
      </c>
      <c r="G473" s="252" t="s">
        <v>879</v>
      </c>
      <c r="H473" s="282" t="s">
        <v>637</v>
      </c>
      <c r="I473" s="295" t="s">
        <v>815</v>
      </c>
      <c r="J473" s="282" t="s">
        <v>0</v>
      </c>
      <c r="K473" s="282" t="s">
        <v>452</v>
      </c>
      <c r="L473" s="297" t="s">
        <v>857</v>
      </c>
      <c r="M473" s="55" t="s">
        <v>1375</v>
      </c>
      <c r="N473" s="282" t="s">
        <v>1215</v>
      </c>
      <c r="O473" s="238" t="s">
        <v>73</v>
      </c>
      <c r="P473" s="64" t="str">
        <f ca="1">IF(AND(OR(INDIRECT("K" &amp; ROW())="NAV-Premium",INDIRECT("K" &amp; ROW())="DA-Premium"),INDIRECT("M" &amp; ROW())="PARTITION_SCHEMA128__NavPiviJpn", INDIRECT("O" &amp; ROW())="JPN_SDB"),'SDB vs GN'!$B$41, IF(INDIRECT("H" &amp; ROW())="Chenc",'SDB vs GN'!$B$40, VLOOKUP(INDIRECT("O" &amp; ROW()),'SDB vs GN'!$A$16:$B$38,2,FALSE)))</f>
        <v>731_EUR</v>
      </c>
      <c r="Q473" s="79" t="s">
        <v>396</v>
      </c>
      <c r="R473" s="64" t="s">
        <v>59</v>
      </c>
      <c r="S473" s="103" t="s">
        <v>10</v>
      </c>
      <c r="T473" s="295" t="s">
        <v>449</v>
      </c>
      <c r="U473" s="104" t="s">
        <v>816</v>
      </c>
      <c r="V473" s="172" t="s">
        <v>787</v>
      </c>
      <c r="W473" s="298" t="s">
        <v>447</v>
      </c>
      <c r="X473" s="64" t="s">
        <v>521</v>
      </c>
      <c r="Y473" s="282" t="s">
        <v>1286</v>
      </c>
      <c r="Z473" s="282" t="s">
        <v>1592</v>
      </c>
      <c r="AA473" s="299"/>
      <c r="AB473" s="300" t="s">
        <v>225</v>
      </c>
      <c r="AC473" s="301" t="s">
        <v>2315</v>
      </c>
      <c r="AD473" s="67" t="s">
        <v>888</v>
      </c>
      <c r="AE473" s="302"/>
      <c r="AF473" s="302"/>
      <c r="AG473" s="302"/>
      <c r="AH473" s="302" t="s">
        <v>2314</v>
      </c>
      <c r="AI473" s="24"/>
      <c r="AJ473" s="24"/>
      <c r="AK473" s="24"/>
      <c r="AL473" s="24"/>
    </row>
    <row r="474" spans="1:38">
      <c r="A474" s="51">
        <v>465</v>
      </c>
      <c r="B474" s="81" t="str">
        <f t="shared" ref="B474:B566" si="12">DEC2HEX(A474,4)</f>
        <v>01D1</v>
      </c>
      <c r="C474" s="412" t="s">
        <v>1950</v>
      </c>
      <c r="D474" s="94" t="s">
        <v>704</v>
      </c>
      <c r="E474" s="314" t="s">
        <v>1233</v>
      </c>
      <c r="F474" s="178" t="s">
        <v>1044</v>
      </c>
      <c r="G474" s="178" t="s">
        <v>345</v>
      </c>
      <c r="H474" s="55" t="s">
        <v>637</v>
      </c>
      <c r="I474" s="79" t="s">
        <v>815</v>
      </c>
      <c r="J474" s="112" t="s">
        <v>0</v>
      </c>
      <c r="K474" s="55" t="s">
        <v>452</v>
      </c>
      <c r="L474" s="158" t="s">
        <v>499</v>
      </c>
      <c r="M474" s="55" t="s">
        <v>257</v>
      </c>
      <c r="N474" s="282" t="s">
        <v>1215</v>
      </c>
      <c r="O474" s="238" t="s">
        <v>73</v>
      </c>
      <c r="P474" s="64" t="str">
        <f ca="1">IF(AND(OR(INDIRECT("K" &amp; ROW())="NAV-Premium",INDIRECT("K" &amp; ROW())="DA-Premium"),INDIRECT("M" &amp; ROW())="PARTITION_SCHEMA128__NavPiviJpn", INDIRECT("O" &amp; ROW())="JPN_SDB"),'SDB vs GN'!$B$41, IF(INDIRECT("H" &amp; ROW())="Chenc",'SDB vs GN'!$B$40, VLOOKUP(INDIRECT("O" &amp; ROW()),'SDB vs GN'!$A$16:$B$38,2,FALSE)))</f>
        <v>731_EUR</v>
      </c>
      <c r="Q474" s="79" t="s">
        <v>396</v>
      </c>
      <c r="R474" s="67" t="s">
        <v>59</v>
      </c>
      <c r="S474" s="157" t="s">
        <v>10</v>
      </c>
      <c r="T474" s="79" t="s">
        <v>449</v>
      </c>
      <c r="U474" s="104" t="s">
        <v>816</v>
      </c>
      <c r="V474" s="173" t="s">
        <v>787</v>
      </c>
      <c r="W474" s="129" t="s">
        <v>447</v>
      </c>
      <c r="X474" s="64" t="s">
        <v>522</v>
      </c>
      <c r="Y474" s="282" t="s">
        <v>1286</v>
      </c>
      <c r="Z474" s="282" t="s">
        <v>1592</v>
      </c>
      <c r="AA474" s="37"/>
      <c r="AB474" s="154" t="s">
        <v>225</v>
      </c>
      <c r="AC474" s="398" t="s">
        <v>1585</v>
      </c>
      <c r="AD474" s="72" t="s">
        <v>808</v>
      </c>
      <c r="AE474" s="302"/>
      <c r="AF474" s="194"/>
      <c r="AG474" s="194"/>
      <c r="AH474" s="402" t="s">
        <v>1732</v>
      </c>
    </row>
    <row r="475" spans="1:38" ht="26.4">
      <c r="A475" s="51">
        <v>466</v>
      </c>
      <c r="B475" s="81" t="str">
        <f t="shared" si="12"/>
        <v>01D2</v>
      </c>
      <c r="C475" s="61" t="s">
        <v>805</v>
      </c>
      <c r="D475" s="94" t="s">
        <v>704</v>
      </c>
      <c r="E475" s="314" t="s">
        <v>1233</v>
      </c>
      <c r="F475" s="178" t="s">
        <v>1044</v>
      </c>
      <c r="G475" s="178" t="s">
        <v>345</v>
      </c>
      <c r="H475" s="55" t="s">
        <v>637</v>
      </c>
      <c r="I475" s="79" t="s">
        <v>815</v>
      </c>
      <c r="J475" s="55" t="s">
        <v>0</v>
      </c>
      <c r="K475" s="55" t="s">
        <v>452</v>
      </c>
      <c r="L475" s="158" t="s">
        <v>499</v>
      </c>
      <c r="M475" s="55" t="s">
        <v>257</v>
      </c>
      <c r="N475" s="282" t="s">
        <v>1215</v>
      </c>
      <c r="O475" s="238" t="s">
        <v>73</v>
      </c>
      <c r="P475" s="64" t="str">
        <f ca="1">IF(AND(OR(INDIRECT("K" &amp; ROW())="NAV-Premium",INDIRECT("K" &amp; ROW())="DA-Premium"),INDIRECT("M" &amp; ROW())="PARTITION_SCHEMA128__NavPiviJpn", INDIRECT("O" &amp; ROW())="JPN_SDB"),'SDB vs GN'!$B$41, IF(INDIRECT("H" &amp; ROW())="Chenc",'SDB vs GN'!$B$40, VLOOKUP(INDIRECT("O" &amp; ROW()),'SDB vs GN'!$A$16:$B$38,2,FALSE)))</f>
        <v>731_EUR</v>
      </c>
      <c r="Q475" s="79" t="s">
        <v>396</v>
      </c>
      <c r="R475" s="135" t="s">
        <v>59</v>
      </c>
      <c r="S475" s="103" t="s">
        <v>10</v>
      </c>
      <c r="T475" s="64" t="s">
        <v>449</v>
      </c>
      <c r="U475" s="104" t="s">
        <v>816</v>
      </c>
      <c r="V475" s="172" t="s">
        <v>787</v>
      </c>
      <c r="W475" s="76" t="s">
        <v>447</v>
      </c>
      <c r="X475" s="64" t="s">
        <v>521</v>
      </c>
      <c r="Y475" s="282" t="s">
        <v>1286</v>
      </c>
      <c r="Z475" s="282" t="s">
        <v>1592</v>
      </c>
      <c r="AA475" s="96"/>
      <c r="AB475" s="105" t="s">
        <v>225</v>
      </c>
      <c r="AC475" s="226" t="s">
        <v>1979</v>
      </c>
      <c r="AD475" s="72" t="s">
        <v>808</v>
      </c>
      <c r="AE475" s="302"/>
      <c r="AF475" s="67"/>
      <c r="AG475" s="67"/>
      <c r="AH475" s="67" t="s">
        <v>1978</v>
      </c>
      <c r="AI475" s="24"/>
      <c r="AJ475" s="24"/>
      <c r="AK475" s="24"/>
      <c r="AL475" s="24"/>
    </row>
    <row r="476" spans="1:38" ht="39.6">
      <c r="A476" s="51">
        <v>467</v>
      </c>
      <c r="B476" s="81" t="str">
        <f t="shared" si="12"/>
        <v>01D3</v>
      </c>
      <c r="C476" s="135" t="s">
        <v>1704</v>
      </c>
      <c r="D476" s="94" t="s">
        <v>136</v>
      </c>
      <c r="E476" s="314" t="s">
        <v>1233</v>
      </c>
      <c r="F476" s="177" t="s">
        <v>1046</v>
      </c>
      <c r="G476" s="177" t="s">
        <v>344</v>
      </c>
      <c r="H476" s="282" t="s">
        <v>637</v>
      </c>
      <c r="I476" s="314" t="s">
        <v>4</v>
      </c>
      <c r="J476" s="282" t="s">
        <v>0</v>
      </c>
      <c r="K476" s="282" t="s">
        <v>451</v>
      </c>
      <c r="L476" s="158" t="s">
        <v>1271</v>
      </c>
      <c r="M476" s="168" t="s">
        <v>255</v>
      </c>
      <c r="N476" s="282" t="s">
        <v>1215</v>
      </c>
      <c r="O476" s="296" t="s">
        <v>828</v>
      </c>
      <c r="P476" s="297" t="str">
        <f ca="1">IF(AND(OR(INDIRECT("K" &amp; ROW())="NAV-Premium",INDIRECT("K" &amp; ROW())="DA-Premium"),INDIRECT("M" &amp; ROW())="PARTITION_SCHEMA128__NavPiviJpn", INDIRECT("O" &amp; ROW())="JPN_SDB"),'SDB vs GN'!$B$41, IF(INDIRECT("H" &amp; ROW())="Chenc",'SDB vs GN'!$B$40, VLOOKUP(INDIRECT("O" &amp; ROW()),'SDB vs GN'!$A$16:$B$38,2,FALSE)))</f>
        <v>735_LA_831_AUSKRJPN</v>
      </c>
      <c r="Q476" s="79" t="s">
        <v>396</v>
      </c>
      <c r="R476" s="67" t="s">
        <v>61</v>
      </c>
      <c r="S476" s="103" t="s">
        <v>10</v>
      </c>
      <c r="T476" s="295" t="s">
        <v>449</v>
      </c>
      <c r="U476" s="104" t="s">
        <v>816</v>
      </c>
      <c r="V476" s="308" t="s">
        <v>7</v>
      </c>
      <c r="W476" s="76" t="s">
        <v>2184</v>
      </c>
      <c r="X476" s="297" t="s">
        <v>521</v>
      </c>
      <c r="Y476" s="282" t="s">
        <v>1286</v>
      </c>
      <c r="Z476" s="282" t="s">
        <v>1592</v>
      </c>
      <c r="AA476" s="299"/>
      <c r="AB476" s="300" t="s">
        <v>225</v>
      </c>
      <c r="AC476" s="301" t="s">
        <v>1862</v>
      </c>
      <c r="AD476" s="72" t="s">
        <v>808</v>
      </c>
      <c r="AE476" s="302"/>
      <c r="AF476" s="302"/>
      <c r="AG476" s="302"/>
      <c r="AH476" s="302" t="s">
        <v>1863</v>
      </c>
      <c r="AI476" s="24"/>
      <c r="AJ476" s="24"/>
      <c r="AK476" s="24"/>
      <c r="AL476" s="24"/>
    </row>
    <row r="477" spans="1:38">
      <c r="A477" s="51">
        <v>468</v>
      </c>
      <c r="B477" s="81" t="str">
        <f t="shared" si="12"/>
        <v>01D4</v>
      </c>
      <c r="C477" s="413" t="s">
        <v>1712</v>
      </c>
      <c r="D477" s="94" t="s">
        <v>136</v>
      </c>
      <c r="E477" s="314" t="s">
        <v>1233</v>
      </c>
      <c r="F477" s="177" t="s">
        <v>1046</v>
      </c>
      <c r="G477" s="177" t="s">
        <v>344</v>
      </c>
      <c r="H477" s="282" t="s">
        <v>637</v>
      </c>
      <c r="I477" s="314" t="s">
        <v>4</v>
      </c>
      <c r="J477" s="282" t="s">
        <v>0</v>
      </c>
      <c r="K477" s="282" t="s">
        <v>451</v>
      </c>
      <c r="L477" s="158" t="s">
        <v>1271</v>
      </c>
      <c r="M477" s="168" t="s">
        <v>255</v>
      </c>
      <c r="N477" s="282" t="s">
        <v>1215</v>
      </c>
      <c r="O477" s="296" t="s">
        <v>828</v>
      </c>
      <c r="P477" s="297" t="str">
        <f ca="1">IF(AND(OR(INDIRECT("K" &amp; ROW())="NAV-Premium",INDIRECT("K" &amp; ROW())="DA-Premium"),INDIRECT("M" &amp; ROW())="PARTITION_SCHEMA128__NavPiviJpn", INDIRECT("O" &amp; ROW())="JPN_SDB"),'SDB vs GN'!$B$41, IF(INDIRECT("H" &amp; ROW())="Chenc",'SDB vs GN'!$B$40, VLOOKUP(INDIRECT("O" &amp; ROW()),'SDB vs GN'!$A$16:$B$38,2,FALSE)))</f>
        <v>735_LA_831_AUSKRJPN</v>
      </c>
      <c r="Q477" s="79" t="s">
        <v>396</v>
      </c>
      <c r="R477" s="67" t="s">
        <v>61</v>
      </c>
      <c r="S477" s="103" t="s">
        <v>10</v>
      </c>
      <c r="T477" s="295" t="s">
        <v>449</v>
      </c>
      <c r="U477" s="104" t="s">
        <v>816</v>
      </c>
      <c r="V477" s="308" t="s">
        <v>7</v>
      </c>
      <c r="W477" s="76" t="s">
        <v>2184</v>
      </c>
      <c r="X477" s="64" t="s">
        <v>522</v>
      </c>
      <c r="Y477" s="282" t="s">
        <v>1286</v>
      </c>
      <c r="Z477" s="282" t="s">
        <v>1592</v>
      </c>
      <c r="AA477" s="299"/>
      <c r="AB477" s="300" t="s">
        <v>225</v>
      </c>
      <c r="AC477" s="399" t="s">
        <v>1705</v>
      </c>
      <c r="AD477" s="72" t="s">
        <v>808</v>
      </c>
      <c r="AE477" s="302"/>
      <c r="AF477" s="302"/>
      <c r="AG477" s="302"/>
      <c r="AH477" s="402" t="s">
        <v>1713</v>
      </c>
    </row>
    <row r="478" spans="1:38">
      <c r="A478" s="51">
        <v>469</v>
      </c>
      <c r="B478" s="81" t="str">
        <f t="shared" si="12"/>
        <v>01D5</v>
      </c>
      <c r="C478" s="414" t="s">
        <v>1706</v>
      </c>
      <c r="D478" s="55" t="s">
        <v>704</v>
      </c>
      <c r="E478" s="282" t="s">
        <v>1233</v>
      </c>
      <c r="F478" s="178" t="s">
        <v>1044</v>
      </c>
      <c r="G478" s="178" t="s">
        <v>345</v>
      </c>
      <c r="H478" s="55" t="s">
        <v>637</v>
      </c>
      <c r="I478" s="155" t="s">
        <v>815</v>
      </c>
      <c r="J478" s="55" t="s">
        <v>0</v>
      </c>
      <c r="K478" s="55" t="s">
        <v>452</v>
      </c>
      <c r="L478" s="158" t="s">
        <v>1271</v>
      </c>
      <c r="M478" s="55" t="s">
        <v>254</v>
      </c>
      <c r="N478" s="282" t="s">
        <v>1215</v>
      </c>
      <c r="O478" s="238" t="s">
        <v>126</v>
      </c>
      <c r="P478" s="64" t="str">
        <f ca="1">IF(AND(OR(INDIRECT("K" &amp; ROW())="NAV-Premium",INDIRECT("K" &amp; ROW())="DA-Premium"),INDIRECT("M" &amp; ROW())="PARTITION_SCHEMA128__NavPiviJpn", INDIRECT("O" &amp; ROW())="JPN_SDB"),'SDB vs GN'!$B$41, IF(INDIRECT("H" &amp; ROW())="Chenc",'SDB vs GN'!$B$40, VLOOKUP(INDIRECT("O" &amp; ROW()),'SDB vs GN'!$A$16:$B$38,2,FALSE)))</f>
        <v>735_LA</v>
      </c>
      <c r="Q478" s="79" t="s">
        <v>396</v>
      </c>
      <c r="R478" s="135" t="s">
        <v>61</v>
      </c>
      <c r="S478" s="103" t="s">
        <v>10</v>
      </c>
      <c r="T478" s="64" t="s">
        <v>449</v>
      </c>
      <c r="U478" s="104" t="s">
        <v>816</v>
      </c>
      <c r="V478" s="172" t="s">
        <v>613</v>
      </c>
      <c r="W478" s="76" t="s">
        <v>447</v>
      </c>
      <c r="X478" s="64" t="s">
        <v>521</v>
      </c>
      <c r="Y478" s="282" t="s">
        <v>1286</v>
      </c>
      <c r="Z478" s="282" t="s">
        <v>1592</v>
      </c>
      <c r="AA478" s="96"/>
      <c r="AB478" s="131" t="s">
        <v>225</v>
      </c>
      <c r="AC478" s="399" t="s">
        <v>1708</v>
      </c>
      <c r="AD478" s="72" t="s">
        <v>808</v>
      </c>
      <c r="AE478" s="302"/>
      <c r="AF478" s="194"/>
      <c r="AG478" s="194"/>
      <c r="AH478" s="402" t="s">
        <v>1714</v>
      </c>
    </row>
    <row r="479" spans="1:38">
      <c r="A479" s="51">
        <v>470</v>
      </c>
      <c r="B479" s="81" t="str">
        <f t="shared" si="12"/>
        <v>01D6</v>
      </c>
      <c r="C479" s="414" t="s">
        <v>1707</v>
      </c>
      <c r="D479" s="55" t="s">
        <v>704</v>
      </c>
      <c r="E479" s="282" t="s">
        <v>1233</v>
      </c>
      <c r="F479" s="178" t="s">
        <v>1044</v>
      </c>
      <c r="G479" s="178" t="s">
        <v>345</v>
      </c>
      <c r="H479" s="55" t="s">
        <v>637</v>
      </c>
      <c r="I479" s="155" t="s">
        <v>815</v>
      </c>
      <c r="J479" s="55" t="s">
        <v>0</v>
      </c>
      <c r="K479" s="55" t="s">
        <v>452</v>
      </c>
      <c r="L479" s="158" t="s">
        <v>1271</v>
      </c>
      <c r="M479" s="55" t="s">
        <v>254</v>
      </c>
      <c r="N479" s="282" t="s">
        <v>1215</v>
      </c>
      <c r="O479" s="238" t="s">
        <v>126</v>
      </c>
      <c r="P479" s="64" t="str">
        <f ca="1">IF(AND(OR(INDIRECT("K" &amp; ROW())="NAV-Premium",INDIRECT("K" &amp; ROW())="DA-Premium"),INDIRECT("M" &amp; ROW())="PARTITION_SCHEMA128__NavPiviJpn", INDIRECT("O" &amp; ROW())="JPN_SDB"),'SDB vs GN'!$B$41, IF(INDIRECT("H" &amp; ROW())="Chenc",'SDB vs GN'!$B$40, VLOOKUP(INDIRECT("O" &amp; ROW()),'SDB vs GN'!$A$16:$B$38,2,FALSE)))</f>
        <v>735_LA</v>
      </c>
      <c r="Q479" s="79" t="s">
        <v>396</v>
      </c>
      <c r="R479" s="135" t="s">
        <v>61</v>
      </c>
      <c r="S479" s="103" t="s">
        <v>10</v>
      </c>
      <c r="T479" s="64" t="s">
        <v>449</v>
      </c>
      <c r="U479" s="104" t="s">
        <v>816</v>
      </c>
      <c r="V479" s="172" t="s">
        <v>613</v>
      </c>
      <c r="W479" s="76" t="s">
        <v>447</v>
      </c>
      <c r="X479" s="64" t="s">
        <v>522</v>
      </c>
      <c r="Y479" s="282" t="s">
        <v>1286</v>
      </c>
      <c r="Z479" s="282" t="s">
        <v>1592</v>
      </c>
      <c r="AA479" s="96"/>
      <c r="AB479" s="131" t="s">
        <v>225</v>
      </c>
      <c r="AC479" s="399" t="s">
        <v>1710</v>
      </c>
      <c r="AD479" s="72" t="s">
        <v>808</v>
      </c>
      <c r="AE479" s="302"/>
      <c r="AF479" s="194"/>
      <c r="AG479" s="194"/>
      <c r="AH479" s="402" t="s">
        <v>1715</v>
      </c>
    </row>
    <row r="480" spans="1:38">
      <c r="A480" s="51">
        <v>471</v>
      </c>
      <c r="B480" s="81" t="str">
        <f t="shared" si="12"/>
        <v>01D7</v>
      </c>
      <c r="C480" s="415" t="s">
        <v>1709</v>
      </c>
      <c r="D480" s="94" t="s">
        <v>704</v>
      </c>
      <c r="E480" s="314" t="s">
        <v>1233</v>
      </c>
      <c r="F480" s="178" t="s">
        <v>1044</v>
      </c>
      <c r="G480" s="178" t="s">
        <v>345</v>
      </c>
      <c r="H480" s="282" t="s">
        <v>637</v>
      </c>
      <c r="I480" s="79" t="s">
        <v>815</v>
      </c>
      <c r="J480" s="282" t="s">
        <v>0</v>
      </c>
      <c r="K480" s="282" t="s">
        <v>452</v>
      </c>
      <c r="L480" s="100" t="s">
        <v>1271</v>
      </c>
      <c r="M480" s="55" t="s">
        <v>254</v>
      </c>
      <c r="N480" s="282" t="s">
        <v>1215</v>
      </c>
      <c r="O480" s="238" t="s">
        <v>825</v>
      </c>
      <c r="P480" s="64" t="str">
        <f ca="1">IF(AND(OR(INDIRECT("K" &amp; ROW())="NAV-Premium",INDIRECT("K" &amp; ROW())="DA-Premium"),INDIRECT("M" &amp; ROW())="PARTITION_SCHEMA128__NavPiviJpn", INDIRECT("O" &amp; ROW())="JPN_SDB"),'SDB vs GN'!$B$41, IF(INDIRECT("H" &amp; ROW())="Chenc",'SDB vs GN'!$B$40, VLOOKUP(INDIRECT("O" &amp; ROW()),'SDB vs GN'!$A$16:$B$38,2,FALSE)))</f>
        <v>831_AUSKRJPN</v>
      </c>
      <c r="Q480" s="79" t="s">
        <v>396</v>
      </c>
      <c r="R480" s="67" t="s">
        <v>61</v>
      </c>
      <c r="S480" s="340" t="s">
        <v>10</v>
      </c>
      <c r="T480" s="64" t="s">
        <v>449</v>
      </c>
      <c r="U480" s="104" t="s">
        <v>816</v>
      </c>
      <c r="V480" s="172" t="s">
        <v>612</v>
      </c>
      <c r="W480" s="76" t="s">
        <v>447</v>
      </c>
      <c r="X480" s="64" t="s">
        <v>522</v>
      </c>
      <c r="Y480" s="282" t="s">
        <v>1286</v>
      </c>
      <c r="Z480" s="282" t="s">
        <v>1592</v>
      </c>
      <c r="AA480" s="299"/>
      <c r="AB480" s="300" t="s">
        <v>225</v>
      </c>
      <c r="AC480" s="399" t="s">
        <v>1711</v>
      </c>
      <c r="AD480" s="72" t="s">
        <v>808</v>
      </c>
      <c r="AE480" s="302"/>
      <c r="AF480" s="302"/>
      <c r="AG480" s="302"/>
      <c r="AH480" s="402" t="s">
        <v>1716</v>
      </c>
    </row>
    <row r="481" spans="1:38">
      <c r="A481" s="51">
        <v>472</v>
      </c>
      <c r="B481" s="81" t="str">
        <f t="shared" si="12"/>
        <v>01D8</v>
      </c>
      <c r="C481" s="416" t="s">
        <v>1526</v>
      </c>
      <c r="D481" s="55" t="s">
        <v>1725</v>
      </c>
      <c r="E481" s="282" t="s">
        <v>1233</v>
      </c>
      <c r="F481" s="248" t="s">
        <v>1052</v>
      </c>
      <c r="G481" s="346" t="s">
        <v>761</v>
      </c>
      <c r="H481" s="55" t="s">
        <v>637</v>
      </c>
      <c r="I481" s="158" t="s">
        <v>4</v>
      </c>
      <c r="J481" s="127" t="s">
        <v>1</v>
      </c>
      <c r="K481" s="329" t="s">
        <v>900</v>
      </c>
      <c r="L481" s="64" t="s">
        <v>856</v>
      </c>
      <c r="M481" s="55" t="s">
        <v>1611</v>
      </c>
      <c r="N481" s="282" t="s">
        <v>1215</v>
      </c>
      <c r="O481" s="239" t="s">
        <v>53</v>
      </c>
      <c r="P481" s="64" t="str">
        <f ca="1">IF(AND(OR(INDIRECT("K" &amp; ROW())="NAV-Premium",INDIRECT("K" &amp; ROW())="DA-Premium"),INDIRECT("M" &amp; ROW())="PARTITION_SCHEMA128__NavPiviJpn", INDIRECT("O" &amp; ROW())="JPN_SDB"),'SDB vs GN'!$B$41, IF(INDIRECT("H" &amp; ROW())="Chenc",'SDB vs GN'!$B$40, VLOOKUP(INDIRECT("O" &amp; ROW()),'SDB vs GN'!$A$16:$B$38,2,FALSE)))</f>
        <v>No_Gracenote</v>
      </c>
      <c r="Q481" s="79" t="s">
        <v>396</v>
      </c>
      <c r="R481" s="64" t="s">
        <v>61</v>
      </c>
      <c r="S481" s="103" t="s">
        <v>10</v>
      </c>
      <c r="T481" s="64" t="s">
        <v>449</v>
      </c>
      <c r="U481" s="104" t="s">
        <v>816</v>
      </c>
      <c r="V481" s="101" t="s">
        <v>7</v>
      </c>
      <c r="W481" s="76" t="s">
        <v>447</v>
      </c>
      <c r="X481" s="64" t="s">
        <v>521</v>
      </c>
      <c r="Y481" s="282" t="s">
        <v>1286</v>
      </c>
      <c r="Z481" s="282" t="s">
        <v>1592</v>
      </c>
      <c r="AA481" s="96"/>
      <c r="AB481" s="131" t="s">
        <v>225</v>
      </c>
      <c r="AC481" s="399" t="s">
        <v>1728</v>
      </c>
      <c r="AD481" s="72" t="s">
        <v>888</v>
      </c>
      <c r="AE481" s="302"/>
      <c r="AF481" s="67"/>
      <c r="AG481" s="67"/>
      <c r="AH481" s="402" t="s">
        <v>1730</v>
      </c>
    </row>
    <row r="482" spans="1:38">
      <c r="A482" s="51">
        <v>473</v>
      </c>
      <c r="B482" s="81" t="str">
        <f t="shared" si="12"/>
        <v>01D9</v>
      </c>
      <c r="C482" s="416" t="s">
        <v>1169</v>
      </c>
      <c r="D482" s="55" t="s">
        <v>1725</v>
      </c>
      <c r="E482" s="282" t="s">
        <v>1233</v>
      </c>
      <c r="F482" s="248" t="s">
        <v>1052</v>
      </c>
      <c r="G482" s="346" t="s">
        <v>761</v>
      </c>
      <c r="H482" s="55" t="s">
        <v>637</v>
      </c>
      <c r="I482" s="94" t="s">
        <v>4</v>
      </c>
      <c r="J482" s="127" t="s">
        <v>1</v>
      </c>
      <c r="K482" s="329" t="s">
        <v>900</v>
      </c>
      <c r="L482" s="64" t="s">
        <v>856</v>
      </c>
      <c r="M482" s="55" t="s">
        <v>1611</v>
      </c>
      <c r="N482" s="282" t="s">
        <v>1215</v>
      </c>
      <c r="O482" s="239" t="s">
        <v>53</v>
      </c>
      <c r="P482" s="64" t="str">
        <f ca="1">IF(AND(OR(INDIRECT("K" &amp; ROW())="NAV-Premium",INDIRECT("K" &amp; ROW())="DA-Premium"),INDIRECT("M" &amp; ROW())="PARTITION_SCHEMA128__NavPiviJpn", INDIRECT("O" &amp; ROW())="JPN_SDB"),'SDB vs GN'!$B$41, IF(INDIRECT("H" &amp; ROW())="Chenc",'SDB vs GN'!$B$40, VLOOKUP(INDIRECT("O" &amp; ROW()),'SDB vs GN'!$A$16:$B$38,2,FALSE)))</f>
        <v>No_Gracenote</v>
      </c>
      <c r="Q482" s="79" t="s">
        <v>396</v>
      </c>
      <c r="R482" s="238" t="s">
        <v>248</v>
      </c>
      <c r="S482" s="157" t="s">
        <v>10</v>
      </c>
      <c r="T482" s="79" t="s">
        <v>449</v>
      </c>
      <c r="U482" s="104" t="s">
        <v>816</v>
      </c>
      <c r="V482" s="173" t="s">
        <v>7</v>
      </c>
      <c r="W482" s="129" t="s">
        <v>447</v>
      </c>
      <c r="X482" s="64" t="s">
        <v>521</v>
      </c>
      <c r="Y482" s="282" t="s">
        <v>1286</v>
      </c>
      <c r="Z482" s="282" t="s">
        <v>1592</v>
      </c>
      <c r="AA482" s="96"/>
      <c r="AB482" s="154" t="s">
        <v>225</v>
      </c>
      <c r="AC482" s="399" t="s">
        <v>1729</v>
      </c>
      <c r="AD482" s="72" t="s">
        <v>888</v>
      </c>
      <c r="AE482" s="302"/>
      <c r="AF482" s="67"/>
      <c r="AG482" s="67"/>
      <c r="AH482" s="402" t="s">
        <v>1731</v>
      </c>
    </row>
    <row r="483" spans="1:38">
      <c r="A483" s="51">
        <v>474</v>
      </c>
      <c r="B483" s="81" t="str">
        <f t="shared" si="12"/>
        <v>01DA</v>
      </c>
      <c r="C483" s="61" t="s">
        <v>1276</v>
      </c>
      <c r="D483" s="55" t="s">
        <v>1725</v>
      </c>
      <c r="E483" s="282" t="s">
        <v>1233</v>
      </c>
      <c r="F483" s="248" t="s">
        <v>1052</v>
      </c>
      <c r="G483" s="346" t="s">
        <v>761</v>
      </c>
      <c r="H483" s="55" t="s">
        <v>637</v>
      </c>
      <c r="I483" s="94" t="s">
        <v>4</v>
      </c>
      <c r="J483" s="127" t="s">
        <v>1</v>
      </c>
      <c r="K483" s="329" t="s">
        <v>900</v>
      </c>
      <c r="L483" s="64" t="s">
        <v>856</v>
      </c>
      <c r="M483" s="55" t="s">
        <v>1611</v>
      </c>
      <c r="N483" s="282" t="s">
        <v>1215</v>
      </c>
      <c r="O483" s="239" t="s">
        <v>53</v>
      </c>
      <c r="P483" s="64" t="str">
        <f ca="1">IF(AND(OR(INDIRECT("K" &amp; ROW())="NAV-Premium",INDIRECT("K" &amp; ROW())="DA-Premium"),INDIRECT("M" &amp; ROW())="PARTITION_SCHEMA128__NavPiviJpn", INDIRECT("O" &amp; ROW())="JPN_SDB"),'SDB vs GN'!$B$41, IF(INDIRECT("H" &amp; ROW())="Chenc",'SDB vs GN'!$B$40, VLOOKUP(INDIRECT("O" &amp; ROW()),'SDB vs GN'!$A$16:$B$38,2,FALSE)))</f>
        <v>No_Gracenote</v>
      </c>
      <c r="Q483" s="79" t="s">
        <v>396</v>
      </c>
      <c r="R483" s="156" t="s">
        <v>61</v>
      </c>
      <c r="S483" s="157" t="s">
        <v>10</v>
      </c>
      <c r="T483" s="79" t="s">
        <v>449</v>
      </c>
      <c r="U483" s="104" t="s">
        <v>816</v>
      </c>
      <c r="V483" s="173" t="s">
        <v>7</v>
      </c>
      <c r="W483" s="129" t="s">
        <v>447</v>
      </c>
      <c r="X483" s="64" t="s">
        <v>521</v>
      </c>
      <c r="Y483" s="282" t="s">
        <v>1286</v>
      </c>
      <c r="Z483" s="282" t="s">
        <v>1592</v>
      </c>
      <c r="AA483" s="96"/>
      <c r="AB483" s="154" t="s">
        <v>225</v>
      </c>
      <c r="AC483" s="226" t="s">
        <v>1726</v>
      </c>
      <c r="AD483" s="72" t="s">
        <v>888</v>
      </c>
      <c r="AE483" s="302"/>
      <c r="AF483" s="67"/>
      <c r="AG483" s="67"/>
      <c r="AH483" s="261" t="s">
        <v>1727</v>
      </c>
      <c r="AI483" s="24"/>
      <c r="AJ483" s="24"/>
      <c r="AK483" s="24"/>
      <c r="AL483" s="24"/>
    </row>
    <row r="484" spans="1:38" ht="66">
      <c r="A484" s="51">
        <v>475</v>
      </c>
      <c r="B484" s="81" t="str">
        <f t="shared" si="12"/>
        <v>01DB</v>
      </c>
      <c r="C484" s="79" t="s">
        <v>1737</v>
      </c>
      <c r="D484" s="94" t="s">
        <v>1735</v>
      </c>
      <c r="E484" s="295" t="s">
        <v>1233</v>
      </c>
      <c r="F484" s="192" t="s">
        <v>1051</v>
      </c>
      <c r="G484" s="192" t="s">
        <v>348</v>
      </c>
      <c r="H484" s="282" t="s">
        <v>637</v>
      </c>
      <c r="I484" s="94" t="s">
        <v>4</v>
      </c>
      <c r="J484" s="127" t="s">
        <v>1</v>
      </c>
      <c r="K484" s="127" t="s">
        <v>751</v>
      </c>
      <c r="L484" s="79" t="s">
        <v>500</v>
      </c>
      <c r="M484" s="55" t="s">
        <v>1616</v>
      </c>
      <c r="N484" s="282" t="s">
        <v>1215</v>
      </c>
      <c r="O484" s="239" t="s">
        <v>53</v>
      </c>
      <c r="P484" s="64" t="str">
        <f ca="1">IF(AND(OR(INDIRECT("K" &amp; ROW())="NAV-Premium",INDIRECT("K" &amp; ROW())="DA-Premium"),INDIRECT("M" &amp; ROW())="PARTITION_SCHEMA128__NavPiviJpn", INDIRECT("O" &amp; ROW())="JPN_SDB"),'SDB vs GN'!$B$41, IF(INDIRECT("H" &amp; ROW())="Chenc",'SDB vs GN'!$B$40, VLOOKUP(INDIRECT("O" &amp; ROW()),'SDB vs GN'!$A$16:$B$38,2,FALSE)))</f>
        <v>No_Gracenote</v>
      </c>
      <c r="Q484" s="79" t="s">
        <v>396</v>
      </c>
      <c r="R484" s="64" t="s">
        <v>59</v>
      </c>
      <c r="S484" s="340" t="s">
        <v>10</v>
      </c>
      <c r="T484" s="64" t="s">
        <v>449</v>
      </c>
      <c r="U484" s="104" t="s">
        <v>816</v>
      </c>
      <c r="V484" s="173" t="s">
        <v>7</v>
      </c>
      <c r="W484" s="298" t="s">
        <v>447</v>
      </c>
      <c r="X484" s="64" t="s">
        <v>521</v>
      </c>
      <c r="Y484" s="282" t="s">
        <v>1286</v>
      </c>
      <c r="Z484" s="282" t="s">
        <v>1592</v>
      </c>
      <c r="AA484" s="299"/>
      <c r="AB484" s="300" t="s">
        <v>225</v>
      </c>
      <c r="AC484" s="307" t="s">
        <v>1907</v>
      </c>
      <c r="AD484" s="72" t="s">
        <v>808</v>
      </c>
      <c r="AE484" s="302"/>
      <c r="AF484" s="67"/>
      <c r="AG484" s="67"/>
      <c r="AH484" s="194" t="s">
        <v>1908</v>
      </c>
      <c r="AI484" s="24"/>
      <c r="AJ484" s="24"/>
      <c r="AK484" s="24"/>
      <c r="AL484" s="24"/>
    </row>
    <row r="485" spans="1:38" ht="52.8">
      <c r="A485" s="51">
        <v>476</v>
      </c>
      <c r="B485" s="81" t="str">
        <f t="shared" si="12"/>
        <v>01DC</v>
      </c>
      <c r="C485" s="94" t="s">
        <v>1738</v>
      </c>
      <c r="D485" s="94" t="s">
        <v>1736</v>
      </c>
      <c r="E485" s="282" t="s">
        <v>1233</v>
      </c>
      <c r="F485" s="169" t="s">
        <v>1048</v>
      </c>
      <c r="G485" s="169" t="s">
        <v>347</v>
      </c>
      <c r="H485" s="282" t="s">
        <v>637</v>
      </c>
      <c r="I485" s="79" t="s">
        <v>815</v>
      </c>
      <c r="J485" s="127" t="s">
        <v>1</v>
      </c>
      <c r="K485" s="282" t="s">
        <v>750</v>
      </c>
      <c r="L485" s="79" t="s">
        <v>500</v>
      </c>
      <c r="M485" s="55" t="s">
        <v>1618</v>
      </c>
      <c r="N485" s="282" t="s">
        <v>1215</v>
      </c>
      <c r="O485" s="238" t="s">
        <v>73</v>
      </c>
      <c r="P485" s="64" t="str">
        <f ca="1">IF(AND(OR(INDIRECT("K" &amp; ROW())="NAV-Premium",INDIRECT("K" &amp; ROW())="DA-Premium"),INDIRECT("M" &amp; ROW())="PARTITION_SCHEMA128__NavPiviJpn", INDIRECT("O" &amp; ROW())="JPN_SDB"),'SDB vs GN'!$B$41, IF(INDIRECT("H" &amp; ROW())="Chenc",'SDB vs GN'!$B$40, VLOOKUP(INDIRECT("O" &amp; ROW()),'SDB vs GN'!$A$16:$B$38,2,FALSE)))</f>
        <v>731_EUR</v>
      </c>
      <c r="Q485" s="79" t="s">
        <v>396</v>
      </c>
      <c r="R485" s="64" t="s">
        <v>59</v>
      </c>
      <c r="S485" s="103" t="s">
        <v>10</v>
      </c>
      <c r="T485" s="64" t="s">
        <v>449</v>
      </c>
      <c r="U485" s="104" t="s">
        <v>816</v>
      </c>
      <c r="V485" s="172" t="s">
        <v>1249</v>
      </c>
      <c r="W485" s="76" t="s">
        <v>447</v>
      </c>
      <c r="X485" s="64" t="s">
        <v>521</v>
      </c>
      <c r="Y485" s="282" t="s">
        <v>1286</v>
      </c>
      <c r="Z485" s="282" t="s">
        <v>1592</v>
      </c>
      <c r="AA485" s="96"/>
      <c r="AB485" s="131" t="s">
        <v>225</v>
      </c>
      <c r="AC485" s="307" t="s">
        <v>1910</v>
      </c>
      <c r="AD485" s="72" t="s">
        <v>808</v>
      </c>
      <c r="AE485" s="302"/>
      <c r="AF485" s="67"/>
      <c r="AG485" s="67"/>
      <c r="AH485" s="302" t="s">
        <v>1909</v>
      </c>
      <c r="AI485" s="24"/>
      <c r="AJ485" s="24"/>
      <c r="AK485" s="24"/>
      <c r="AL485" s="24"/>
    </row>
    <row r="486" spans="1:38" ht="118.8">
      <c r="A486" s="51">
        <v>477</v>
      </c>
      <c r="B486" s="81" t="str">
        <f t="shared" ref="B486:B487" si="13">DEC2HEX(A486,4)</f>
        <v>01DD</v>
      </c>
      <c r="C486" s="55" t="s">
        <v>1632</v>
      </c>
      <c r="D486" s="94" t="s">
        <v>136</v>
      </c>
      <c r="E486" s="314" t="s">
        <v>1233</v>
      </c>
      <c r="F486" s="355" t="s">
        <v>1054</v>
      </c>
      <c r="G486" s="355" t="s">
        <v>344</v>
      </c>
      <c r="H486" s="282" t="s">
        <v>637</v>
      </c>
      <c r="I486" s="94" t="s">
        <v>4</v>
      </c>
      <c r="J486" s="283" t="s">
        <v>0</v>
      </c>
      <c r="K486" s="282" t="s">
        <v>451</v>
      </c>
      <c r="L486" s="297" t="s">
        <v>1393</v>
      </c>
      <c r="M486" s="55" t="s">
        <v>255</v>
      </c>
      <c r="N486" s="282" t="s">
        <v>1215</v>
      </c>
      <c r="O486" s="237" t="s">
        <v>781</v>
      </c>
      <c r="P486" s="297" t="str">
        <f ca="1">IF(AND(OR(INDIRECT("K" &amp; ROW())="NAV-Premium",INDIRECT("K" &amp; ROW())="DA-Premium"),INDIRECT("M" &amp; ROW())="PARTITION_SCHEMA128__NavPiviJpn", INDIRECT("O" &amp; ROW())="JPN_SDB"),'SDB vs GN'!$B$41, IF(INDIRECT("H" &amp; ROW())="Chenc",'SDB vs GN'!$B$40, VLOOKUP(INDIRECT("O" &amp; ROW()),'SDB vs GN'!$A$16:$B$38,2,FALSE)))</f>
        <v>731_EUR</v>
      </c>
      <c r="Q486" s="79" t="s">
        <v>396</v>
      </c>
      <c r="R486" s="165" t="s">
        <v>61</v>
      </c>
      <c r="S486" s="340" t="s">
        <v>10</v>
      </c>
      <c r="T486" s="295" t="s">
        <v>449</v>
      </c>
      <c r="U486" s="104" t="s">
        <v>816</v>
      </c>
      <c r="V486" s="308" t="s">
        <v>7</v>
      </c>
      <c r="W486" s="76" t="s">
        <v>2184</v>
      </c>
      <c r="X486" s="297" t="s">
        <v>521</v>
      </c>
      <c r="Y486" s="282" t="s">
        <v>1286</v>
      </c>
      <c r="Z486" s="282" t="s">
        <v>1592</v>
      </c>
      <c r="AA486" s="299"/>
      <c r="AB486" s="300" t="s">
        <v>225</v>
      </c>
      <c r="AC486" s="301" t="s">
        <v>2814</v>
      </c>
      <c r="AD486" s="67" t="s">
        <v>889</v>
      </c>
      <c r="AE486" s="302"/>
      <c r="AF486" s="302"/>
      <c r="AG486" s="302"/>
      <c r="AH486" s="303" t="s">
        <v>2813</v>
      </c>
      <c r="AI486" s="24"/>
      <c r="AJ486" s="24"/>
      <c r="AK486" s="24"/>
      <c r="AL486" s="24"/>
    </row>
    <row r="487" spans="1:38" ht="105.6">
      <c r="A487" s="51">
        <v>478</v>
      </c>
      <c r="B487" s="81" t="str">
        <f t="shared" si="13"/>
        <v>01DE</v>
      </c>
      <c r="C487" s="135" t="s">
        <v>1744</v>
      </c>
      <c r="D487" s="94" t="s">
        <v>136</v>
      </c>
      <c r="E487" s="314" t="s">
        <v>1233</v>
      </c>
      <c r="F487" s="177" t="s">
        <v>1046</v>
      </c>
      <c r="G487" s="177" t="s">
        <v>344</v>
      </c>
      <c r="H487" s="282" t="s">
        <v>637</v>
      </c>
      <c r="I487" s="314" t="s">
        <v>4</v>
      </c>
      <c r="J487" s="282" t="s">
        <v>0</v>
      </c>
      <c r="K487" s="282" t="s">
        <v>451</v>
      </c>
      <c r="L487" s="297" t="s">
        <v>499</v>
      </c>
      <c r="M487" s="55" t="s">
        <v>255</v>
      </c>
      <c r="N487" s="282" t="s">
        <v>1215</v>
      </c>
      <c r="O487" s="296" t="s">
        <v>828</v>
      </c>
      <c r="P487" s="297" t="str">
        <f ca="1">IF(AND(OR(INDIRECT("K" &amp; ROW())="NAV-Premium",INDIRECT("K" &amp; ROW())="DA-Premium"),INDIRECT("M" &amp; ROW())="PARTITION_SCHEMA128__NavPiviJpn", INDIRECT("O" &amp; ROW())="JPN_SDB"),'SDB vs GN'!$B$41, IF(INDIRECT("H" &amp; ROW())="Chenc",'SDB vs GN'!$B$40, VLOOKUP(INDIRECT("O" &amp; ROW()),'SDB vs GN'!$A$16:$B$38,2,FALSE)))</f>
        <v>735_LA_831_AUSKRJPN</v>
      </c>
      <c r="Q487" s="79" t="s">
        <v>396</v>
      </c>
      <c r="R487" s="64" t="s">
        <v>61</v>
      </c>
      <c r="S487" s="340" t="s">
        <v>10</v>
      </c>
      <c r="T487" s="295" t="s">
        <v>449</v>
      </c>
      <c r="U487" s="332" t="s">
        <v>816</v>
      </c>
      <c r="V487" s="308" t="s">
        <v>7</v>
      </c>
      <c r="W487" s="76" t="s">
        <v>2184</v>
      </c>
      <c r="X487" s="297" t="s">
        <v>521</v>
      </c>
      <c r="Y487" s="282" t="s">
        <v>1286</v>
      </c>
      <c r="Z487" s="282" t="s">
        <v>1592</v>
      </c>
      <c r="AA487" s="37"/>
      <c r="AB487" s="154" t="s">
        <v>225</v>
      </c>
      <c r="AC487" s="368" t="s">
        <v>2376</v>
      </c>
      <c r="AD487" s="72" t="s">
        <v>808</v>
      </c>
      <c r="AE487" s="302"/>
      <c r="AF487" s="302"/>
      <c r="AG487" s="302"/>
      <c r="AH487" s="194" t="s">
        <v>2375</v>
      </c>
      <c r="AI487" s="24"/>
      <c r="AJ487" s="24"/>
      <c r="AK487" s="24"/>
      <c r="AL487" s="24"/>
    </row>
    <row r="488" spans="1:38">
      <c r="A488" s="51">
        <v>479</v>
      </c>
      <c r="B488" s="81" t="str">
        <f t="shared" ref="B488:B500" si="14">DEC2HEX(A488,4)</f>
        <v>01DF</v>
      </c>
      <c r="C488" s="224" t="s">
        <v>1791</v>
      </c>
      <c r="D488" s="94" t="s">
        <v>1736</v>
      </c>
      <c r="E488" s="314" t="s">
        <v>1233</v>
      </c>
      <c r="F488" s="169" t="s">
        <v>1048</v>
      </c>
      <c r="G488" s="169" t="s">
        <v>347</v>
      </c>
      <c r="H488" s="55" t="s">
        <v>637</v>
      </c>
      <c r="I488" s="94" t="s">
        <v>815</v>
      </c>
      <c r="J488" s="127" t="s">
        <v>1</v>
      </c>
      <c r="K488" s="79" t="s">
        <v>750</v>
      </c>
      <c r="L488" s="79" t="s">
        <v>500</v>
      </c>
      <c r="M488" s="55" t="s">
        <v>1617</v>
      </c>
      <c r="N488" s="282" t="s">
        <v>1215</v>
      </c>
      <c r="O488" s="238" t="s">
        <v>54</v>
      </c>
      <c r="P488" s="64" t="str">
        <f ca="1">IF(AND(OR(INDIRECT("K" &amp; ROW())="NAV-Premium",INDIRECT("K" &amp; ROW())="DA-Premium"),INDIRECT("M" &amp; ROW())="PARTITION_SCHEMA128__NavPiviJpn", INDIRECT("O" &amp; ROW())="JPN_SDB"),'SDB vs GN'!$B$41, IF(INDIRECT("H" &amp; ROW())="Chenc",'SDB vs GN'!$B$40, VLOOKUP(INDIRECT("O" &amp; ROW()),'SDB vs GN'!$A$16:$B$38,2,FALSE)))</f>
        <v>731_EUR</v>
      </c>
      <c r="Q488" s="79" t="s">
        <v>396</v>
      </c>
      <c r="R488" s="165" t="s">
        <v>61</v>
      </c>
      <c r="S488" s="157" t="s">
        <v>10</v>
      </c>
      <c r="T488" s="79" t="s">
        <v>449</v>
      </c>
      <c r="U488" s="104" t="s">
        <v>816</v>
      </c>
      <c r="V488" s="172" t="s">
        <v>528</v>
      </c>
      <c r="W488" s="129" t="s">
        <v>447</v>
      </c>
      <c r="X488" s="64" t="s">
        <v>521</v>
      </c>
      <c r="Y488" s="282" t="s">
        <v>1286</v>
      </c>
      <c r="Z488" s="282" t="s">
        <v>1592</v>
      </c>
      <c r="AA488" s="37"/>
      <c r="AB488" s="131" t="s">
        <v>225</v>
      </c>
      <c r="AC488" s="229" t="s">
        <v>1772</v>
      </c>
      <c r="AD488" s="72" t="s">
        <v>808</v>
      </c>
      <c r="AE488" s="302"/>
      <c r="AF488" s="67"/>
      <c r="AG488" s="67"/>
      <c r="AH488" s="72" t="s">
        <v>1794</v>
      </c>
      <c r="AI488" s="24"/>
      <c r="AJ488" s="24"/>
      <c r="AK488" s="24"/>
      <c r="AL488" s="24"/>
    </row>
    <row r="489" spans="1:38" ht="224.4">
      <c r="A489" s="51">
        <v>480</v>
      </c>
      <c r="B489" s="81" t="str">
        <f t="shared" si="14"/>
        <v>01E0</v>
      </c>
      <c r="C489" s="224" t="s">
        <v>1785</v>
      </c>
      <c r="D489" s="94" t="s">
        <v>1735</v>
      </c>
      <c r="E489" s="282" t="s">
        <v>1233</v>
      </c>
      <c r="F489" s="192" t="s">
        <v>1085</v>
      </c>
      <c r="G489" s="192" t="s">
        <v>348</v>
      </c>
      <c r="H489" s="55" t="s">
        <v>637</v>
      </c>
      <c r="I489" s="94" t="s">
        <v>4</v>
      </c>
      <c r="J489" s="127" t="s">
        <v>1</v>
      </c>
      <c r="K489" s="282" t="s">
        <v>751</v>
      </c>
      <c r="L489" s="64" t="s">
        <v>856</v>
      </c>
      <c r="M489" s="55" t="s">
        <v>1610</v>
      </c>
      <c r="N489" s="282" t="s">
        <v>1215</v>
      </c>
      <c r="O489" s="239" t="s">
        <v>53</v>
      </c>
      <c r="P489" s="64" t="str">
        <f ca="1">IF(AND(OR(INDIRECT("K" &amp; ROW())="NAV-Premium",INDIRECT("K" &amp; ROW())="DA-Premium"),INDIRECT("M" &amp; ROW())="PARTITION_SCHEMA128__NavPiviJpn", INDIRECT("O" &amp; ROW())="JPN_SDB"),'SDB vs GN'!$B$41, IF(INDIRECT("H" &amp; ROW())="Chenc",'SDB vs GN'!$B$40, VLOOKUP(INDIRECT("O" &amp; ROW()),'SDB vs GN'!$A$16:$B$38,2,FALSE)))</f>
        <v>No_Gracenote</v>
      </c>
      <c r="Q489" s="79" t="s">
        <v>396</v>
      </c>
      <c r="R489" s="64" t="s">
        <v>59</v>
      </c>
      <c r="S489" s="103" t="s">
        <v>10</v>
      </c>
      <c r="T489" s="64" t="s">
        <v>449</v>
      </c>
      <c r="U489" s="104" t="s">
        <v>816</v>
      </c>
      <c r="V489" s="172" t="s">
        <v>7</v>
      </c>
      <c r="W489" s="76" t="s">
        <v>447</v>
      </c>
      <c r="X489" s="64" t="s">
        <v>521</v>
      </c>
      <c r="Y489" s="282" t="s">
        <v>1286</v>
      </c>
      <c r="Z489" s="282" t="s">
        <v>1592</v>
      </c>
      <c r="AA489" s="96"/>
      <c r="AB489" s="131" t="s">
        <v>225</v>
      </c>
      <c r="AC489" s="307" t="s">
        <v>2625</v>
      </c>
      <c r="AD489" s="72" t="s">
        <v>888</v>
      </c>
      <c r="AE489" s="302"/>
      <c r="AF489" s="67"/>
      <c r="AG489" s="67"/>
      <c r="AH489" s="194" t="s">
        <v>2624</v>
      </c>
      <c r="AI489" s="24"/>
      <c r="AJ489" s="24"/>
      <c r="AK489" s="24"/>
      <c r="AL489" s="24"/>
    </row>
    <row r="490" spans="1:38" ht="79.2">
      <c r="A490" s="51">
        <v>481</v>
      </c>
      <c r="B490" s="81" t="str">
        <f t="shared" si="14"/>
        <v>01E1</v>
      </c>
      <c r="C490" s="72" t="s">
        <v>1786</v>
      </c>
      <c r="D490" s="94" t="s">
        <v>1735</v>
      </c>
      <c r="E490" s="295" t="s">
        <v>1233</v>
      </c>
      <c r="F490" s="192" t="s">
        <v>1085</v>
      </c>
      <c r="G490" s="192" t="s">
        <v>348</v>
      </c>
      <c r="H490" s="282" t="s">
        <v>637</v>
      </c>
      <c r="I490" s="94" t="s">
        <v>4</v>
      </c>
      <c r="J490" s="127" t="s">
        <v>1</v>
      </c>
      <c r="K490" s="282" t="s">
        <v>751</v>
      </c>
      <c r="L490" s="64" t="s">
        <v>856</v>
      </c>
      <c r="M490" s="55" t="s">
        <v>1610</v>
      </c>
      <c r="N490" s="282" t="s">
        <v>1215</v>
      </c>
      <c r="O490" s="239" t="s">
        <v>53</v>
      </c>
      <c r="P490" s="297" t="str">
        <f ca="1">IF(AND(OR(INDIRECT("K" &amp; ROW())="NAV-Premium",INDIRECT("K" &amp; ROW())="DA-Premium"),INDIRECT("M" &amp; ROW())="PARTITION_SCHEMA128__NavPiviJpn", INDIRECT("O" &amp; ROW())="JPN_SDB"),'SDB vs GN'!$B$41, IF(INDIRECT("H" &amp; ROW())="Chenc",'SDB vs GN'!$B$40, VLOOKUP(INDIRECT("O" &amp; ROW()),'SDB vs GN'!$A$16:$B$38,2,FALSE)))</f>
        <v>No_Gracenote</v>
      </c>
      <c r="Q490" s="79" t="s">
        <v>396</v>
      </c>
      <c r="R490" s="165" t="s">
        <v>61</v>
      </c>
      <c r="S490" s="103" t="s">
        <v>10</v>
      </c>
      <c r="T490" s="295" t="s">
        <v>449</v>
      </c>
      <c r="U490" s="332" t="s">
        <v>816</v>
      </c>
      <c r="V490" s="172" t="s">
        <v>7</v>
      </c>
      <c r="W490" s="298" t="s">
        <v>447</v>
      </c>
      <c r="X490" s="297" t="s">
        <v>521</v>
      </c>
      <c r="Y490" s="282" t="s">
        <v>1286</v>
      </c>
      <c r="Z490" s="282" t="s">
        <v>1592</v>
      </c>
      <c r="AA490" s="299"/>
      <c r="AB490" s="300" t="s">
        <v>225</v>
      </c>
      <c r="AC490" s="301" t="s">
        <v>2627</v>
      </c>
      <c r="AD490" s="72" t="s">
        <v>888</v>
      </c>
      <c r="AE490" s="302" t="s">
        <v>2504</v>
      </c>
      <c r="AF490" s="67"/>
      <c r="AG490" s="67"/>
      <c r="AH490" s="302" t="s">
        <v>2626</v>
      </c>
      <c r="AI490" s="24"/>
      <c r="AJ490" s="24"/>
      <c r="AK490" s="24"/>
      <c r="AL490" s="24"/>
    </row>
    <row r="491" spans="1:38">
      <c r="A491" s="51">
        <v>482</v>
      </c>
      <c r="B491" s="81" t="str">
        <f t="shared" si="14"/>
        <v>01E2</v>
      </c>
      <c r="C491" s="72" t="s">
        <v>1776</v>
      </c>
      <c r="D491" s="94" t="s">
        <v>1736</v>
      </c>
      <c r="E491" s="282" t="s">
        <v>1233</v>
      </c>
      <c r="F491" s="169" t="s">
        <v>1056</v>
      </c>
      <c r="G491" s="169" t="s">
        <v>347</v>
      </c>
      <c r="H491" s="282" t="s">
        <v>637</v>
      </c>
      <c r="I491" s="295" t="s">
        <v>815</v>
      </c>
      <c r="J491" s="127" t="s">
        <v>1</v>
      </c>
      <c r="K491" s="55" t="s">
        <v>750</v>
      </c>
      <c r="L491" s="64" t="s">
        <v>856</v>
      </c>
      <c r="M491" s="55" t="s">
        <v>1613</v>
      </c>
      <c r="N491" s="282" t="s">
        <v>1215</v>
      </c>
      <c r="O491" s="239" t="s">
        <v>54</v>
      </c>
      <c r="P491" s="297" t="str">
        <f ca="1">IF(AND(OR(INDIRECT("K" &amp; ROW())="NAV-Premium",INDIRECT("K" &amp; ROW())="DA-Premium"),INDIRECT("M" &amp; ROW())="PARTITION_SCHEMA128__NavPiviJpn", INDIRECT("O" &amp; ROW())="JPN_SDB"),'SDB vs GN'!$B$41, IF(INDIRECT("H" &amp; ROW())="Chenc",'SDB vs GN'!$B$40, VLOOKUP(INDIRECT("O" &amp; ROW()),'SDB vs GN'!$A$16:$B$38,2,FALSE)))</f>
        <v>731_EUR</v>
      </c>
      <c r="Q491" s="79" t="s">
        <v>396</v>
      </c>
      <c r="R491" s="64" t="s">
        <v>59</v>
      </c>
      <c r="S491" s="103" t="s">
        <v>10</v>
      </c>
      <c r="T491" s="295" t="s">
        <v>449</v>
      </c>
      <c r="U491" s="332" t="s">
        <v>816</v>
      </c>
      <c r="V491" s="172" t="s">
        <v>528</v>
      </c>
      <c r="W491" s="298" t="s">
        <v>447</v>
      </c>
      <c r="X491" s="297" t="s">
        <v>521</v>
      </c>
      <c r="Y491" s="282" t="s">
        <v>1286</v>
      </c>
      <c r="Z491" s="282" t="s">
        <v>1592</v>
      </c>
      <c r="AA491" s="299"/>
      <c r="AB491" s="300" t="s">
        <v>225</v>
      </c>
      <c r="AC491" s="301" t="s">
        <v>1789</v>
      </c>
      <c r="AD491" s="72" t="s">
        <v>888</v>
      </c>
      <c r="AE491" s="302"/>
      <c r="AF491" s="67"/>
      <c r="AG491" s="67"/>
      <c r="AH491" s="302" t="s">
        <v>1787</v>
      </c>
      <c r="AI491" s="24"/>
      <c r="AJ491" s="24"/>
      <c r="AK491" s="24"/>
      <c r="AL491" s="24"/>
    </row>
    <row r="492" spans="1:38" ht="66">
      <c r="A492" s="51">
        <v>483</v>
      </c>
      <c r="B492" s="81" t="str">
        <f t="shared" si="14"/>
        <v>01E3</v>
      </c>
      <c r="C492" s="226" t="s">
        <v>1775</v>
      </c>
      <c r="D492" s="94" t="s">
        <v>1736</v>
      </c>
      <c r="E492" s="282" t="s">
        <v>1233</v>
      </c>
      <c r="F492" s="169" t="s">
        <v>1056</v>
      </c>
      <c r="G492" s="169" t="s">
        <v>347</v>
      </c>
      <c r="H492" s="282" t="s">
        <v>637</v>
      </c>
      <c r="I492" s="295" t="s">
        <v>815</v>
      </c>
      <c r="J492" s="127" t="s">
        <v>1</v>
      </c>
      <c r="K492" s="55" t="s">
        <v>750</v>
      </c>
      <c r="L492" s="64" t="s">
        <v>856</v>
      </c>
      <c r="M492" s="55" t="s">
        <v>1613</v>
      </c>
      <c r="N492" s="282" t="s">
        <v>1215</v>
      </c>
      <c r="O492" s="239" t="s">
        <v>54</v>
      </c>
      <c r="P492" s="297" t="str">
        <f ca="1">IF(AND(OR(INDIRECT("K" &amp; ROW())="NAV-Premium",INDIRECT("K" &amp; ROW())="DA-Premium"),INDIRECT("M" &amp; ROW())="PARTITION_SCHEMA128__NavPiviJpn", INDIRECT("O" &amp; ROW())="JPN_SDB"),'SDB vs GN'!$B$41, IF(INDIRECT("H" &amp; ROW())="Chenc",'SDB vs GN'!$B$40, VLOOKUP(INDIRECT("O" &amp; ROW()),'SDB vs GN'!$A$16:$B$38,2,FALSE)))</f>
        <v>731_EUR</v>
      </c>
      <c r="Q492" s="79" t="s">
        <v>396</v>
      </c>
      <c r="R492" s="165" t="s">
        <v>61</v>
      </c>
      <c r="S492" s="340" t="s">
        <v>10</v>
      </c>
      <c r="T492" s="295" t="s">
        <v>449</v>
      </c>
      <c r="U492" s="332" t="s">
        <v>816</v>
      </c>
      <c r="V492" s="172" t="s">
        <v>528</v>
      </c>
      <c r="W492" s="298" t="s">
        <v>447</v>
      </c>
      <c r="X492" s="297" t="s">
        <v>521</v>
      </c>
      <c r="Y492" s="282" t="s">
        <v>1286</v>
      </c>
      <c r="Z492" s="282" t="s">
        <v>1592</v>
      </c>
      <c r="AA492" s="299"/>
      <c r="AB492" s="300" t="s">
        <v>225</v>
      </c>
      <c r="AC492" s="301" t="s">
        <v>2084</v>
      </c>
      <c r="AD492" s="72" t="s">
        <v>888</v>
      </c>
      <c r="AE492" s="302"/>
      <c r="AF492" s="67"/>
      <c r="AG492" s="67"/>
      <c r="AH492" s="302" t="s">
        <v>2083</v>
      </c>
      <c r="AI492" s="24"/>
      <c r="AJ492" s="24"/>
      <c r="AK492" s="24"/>
      <c r="AL492" s="24"/>
    </row>
    <row r="493" spans="1:38">
      <c r="A493" s="51">
        <v>484</v>
      </c>
      <c r="B493" s="81" t="str">
        <f t="shared" si="14"/>
        <v>01E4</v>
      </c>
      <c r="C493" s="61" t="s">
        <v>1779</v>
      </c>
      <c r="D493" s="94" t="s">
        <v>1736</v>
      </c>
      <c r="E493" s="295" t="s">
        <v>1233</v>
      </c>
      <c r="F493" s="169" t="s">
        <v>1056</v>
      </c>
      <c r="G493" s="169" t="s">
        <v>347</v>
      </c>
      <c r="H493" s="282" t="s">
        <v>637</v>
      </c>
      <c r="I493" s="295" t="s">
        <v>815</v>
      </c>
      <c r="J493" s="127" t="s">
        <v>1</v>
      </c>
      <c r="K493" s="55" t="s">
        <v>750</v>
      </c>
      <c r="L493" s="64" t="s">
        <v>856</v>
      </c>
      <c r="M493" s="55" t="s">
        <v>1612</v>
      </c>
      <c r="N493" s="282" t="s">
        <v>1215</v>
      </c>
      <c r="O493" s="238" t="s">
        <v>825</v>
      </c>
      <c r="P493" s="297" t="str">
        <f ca="1">IF(AND(OR(INDIRECT("K" &amp; ROW())="NAV-Premium",INDIRECT("K" &amp; ROW())="DA-Premium"),INDIRECT("M" &amp; ROW())="PARTITION_SCHEMA128__NavPiviJpn", INDIRECT("O" &amp; ROW())="JPN_SDB"),'SDB vs GN'!$B$41, IF(INDIRECT("H" &amp; ROW())="Chenc",'SDB vs GN'!$B$40, VLOOKUP(INDIRECT("O" &amp; ROW()),'SDB vs GN'!$A$16:$B$38,2,FALSE)))</f>
        <v>831_AUSKRJPN</v>
      </c>
      <c r="Q493" s="79" t="s">
        <v>396</v>
      </c>
      <c r="R493" s="64" t="s">
        <v>59</v>
      </c>
      <c r="S493" s="103" t="s">
        <v>10</v>
      </c>
      <c r="T493" s="295" t="s">
        <v>449</v>
      </c>
      <c r="U493" s="332" t="s">
        <v>816</v>
      </c>
      <c r="V493" s="172" t="s">
        <v>544</v>
      </c>
      <c r="W493" s="298" t="s">
        <v>447</v>
      </c>
      <c r="X493" s="297" t="s">
        <v>521</v>
      </c>
      <c r="Y493" s="282" t="s">
        <v>1286</v>
      </c>
      <c r="Z493" s="282" t="s">
        <v>1592</v>
      </c>
      <c r="AA493" s="299"/>
      <c r="AB493" s="300" t="s">
        <v>225</v>
      </c>
      <c r="AC493" s="301" t="s">
        <v>1790</v>
      </c>
      <c r="AD493" s="72" t="s">
        <v>888</v>
      </c>
      <c r="AE493" s="302"/>
      <c r="AF493" s="67"/>
      <c r="AG493" s="67"/>
      <c r="AH493" s="302" t="s">
        <v>1788</v>
      </c>
      <c r="AI493" s="24"/>
      <c r="AJ493" s="24"/>
      <c r="AK493" s="24"/>
      <c r="AL493" s="24"/>
    </row>
    <row r="494" spans="1:38" ht="26.4">
      <c r="A494" s="51">
        <v>485</v>
      </c>
      <c r="B494" s="81" t="str">
        <f t="shared" si="14"/>
        <v>01E5</v>
      </c>
      <c r="C494" s="224" t="s">
        <v>1780</v>
      </c>
      <c r="D494" s="94" t="s">
        <v>1736</v>
      </c>
      <c r="E494" s="282" t="s">
        <v>1233</v>
      </c>
      <c r="F494" s="169" t="s">
        <v>1056</v>
      </c>
      <c r="G494" s="169" t="s">
        <v>347</v>
      </c>
      <c r="H494" s="282" t="s">
        <v>637</v>
      </c>
      <c r="I494" s="295" t="s">
        <v>815</v>
      </c>
      <c r="J494" s="127" t="s">
        <v>1</v>
      </c>
      <c r="K494" s="55" t="s">
        <v>750</v>
      </c>
      <c r="L494" s="64" t="s">
        <v>856</v>
      </c>
      <c r="M494" s="55" t="s">
        <v>1612</v>
      </c>
      <c r="N494" s="282" t="s">
        <v>1215</v>
      </c>
      <c r="O494" s="238" t="s">
        <v>825</v>
      </c>
      <c r="P494" s="297" t="str">
        <f ca="1">IF(AND(OR(INDIRECT("K" &amp; ROW())="NAV-Premium",INDIRECT("K" &amp; ROW())="DA-Premium"),INDIRECT("M" &amp; ROW())="PARTITION_SCHEMA128__NavPiviJpn", INDIRECT("O" &amp; ROW())="JPN_SDB"),'SDB vs GN'!$B$41, IF(INDIRECT("H" &amp; ROW())="Chenc",'SDB vs GN'!$B$40, VLOOKUP(INDIRECT("O" &amp; ROW()),'SDB vs GN'!$A$16:$B$38,2,FALSE)))</f>
        <v>831_AUSKRJPN</v>
      </c>
      <c r="Q494" s="79" t="s">
        <v>396</v>
      </c>
      <c r="R494" s="64" t="s">
        <v>59</v>
      </c>
      <c r="S494" s="157" t="s">
        <v>10</v>
      </c>
      <c r="T494" s="295" t="s">
        <v>449</v>
      </c>
      <c r="U494" s="332" t="s">
        <v>816</v>
      </c>
      <c r="V494" s="172" t="s">
        <v>545</v>
      </c>
      <c r="W494" s="298" t="s">
        <v>447</v>
      </c>
      <c r="X494" s="297" t="s">
        <v>521</v>
      </c>
      <c r="Y494" s="282" t="s">
        <v>1286</v>
      </c>
      <c r="Z494" s="282" t="s">
        <v>1592</v>
      </c>
      <c r="AA494" s="299"/>
      <c r="AB494" s="300" t="s">
        <v>225</v>
      </c>
      <c r="AC494" s="301" t="s">
        <v>1840</v>
      </c>
      <c r="AD494" s="72" t="s">
        <v>888</v>
      </c>
      <c r="AE494" s="302"/>
      <c r="AF494" s="67"/>
      <c r="AG494" s="67"/>
      <c r="AH494" s="302" t="s">
        <v>1841</v>
      </c>
      <c r="AI494" s="24"/>
      <c r="AJ494" s="24"/>
      <c r="AK494" s="24"/>
      <c r="AL494" s="24"/>
    </row>
    <row r="495" spans="1:38" ht="39.6">
      <c r="A495" s="51">
        <v>486</v>
      </c>
      <c r="B495" s="81" t="str">
        <f t="shared" si="14"/>
        <v>01E6</v>
      </c>
      <c r="C495" s="224" t="s">
        <v>1781</v>
      </c>
      <c r="D495" s="94" t="s">
        <v>1736</v>
      </c>
      <c r="E495" s="314" t="s">
        <v>1233</v>
      </c>
      <c r="F495" s="169" t="s">
        <v>1056</v>
      </c>
      <c r="G495" s="169" t="s">
        <v>347</v>
      </c>
      <c r="H495" s="282" t="s">
        <v>637</v>
      </c>
      <c r="I495" s="295" t="s">
        <v>815</v>
      </c>
      <c r="J495" s="127" t="s">
        <v>1</v>
      </c>
      <c r="K495" s="55" t="s">
        <v>750</v>
      </c>
      <c r="L495" s="64" t="s">
        <v>856</v>
      </c>
      <c r="M495" s="55" t="s">
        <v>1612</v>
      </c>
      <c r="N495" s="282" t="s">
        <v>1215</v>
      </c>
      <c r="O495" s="238" t="s">
        <v>73</v>
      </c>
      <c r="P495" s="297" t="str">
        <f ca="1">IF(AND(OR(INDIRECT("K" &amp; ROW())="NAV-Premium",INDIRECT("K" &amp; ROW())="DA-Premium"),INDIRECT("M" &amp; ROW())="PARTITION_SCHEMA128__NavPiviJpn", INDIRECT("O" &amp; ROW())="JPN_SDB"),'SDB vs GN'!$B$41, IF(INDIRECT("H" &amp; ROW())="Chenc",'SDB vs GN'!$B$40, VLOOKUP(INDIRECT("O" &amp; ROW()),'SDB vs GN'!$A$16:$B$38,2,FALSE)))</f>
        <v>731_EUR</v>
      </c>
      <c r="Q495" s="79" t="s">
        <v>396</v>
      </c>
      <c r="R495" s="64" t="s">
        <v>59</v>
      </c>
      <c r="S495" s="157" t="s">
        <v>10</v>
      </c>
      <c r="T495" s="295" t="s">
        <v>449</v>
      </c>
      <c r="U495" s="332" t="s">
        <v>816</v>
      </c>
      <c r="V495" s="172" t="s">
        <v>1249</v>
      </c>
      <c r="W495" s="298" t="s">
        <v>447</v>
      </c>
      <c r="X495" s="297" t="s">
        <v>521</v>
      </c>
      <c r="Y495" s="282" t="s">
        <v>1286</v>
      </c>
      <c r="Z495" s="282" t="s">
        <v>1592</v>
      </c>
      <c r="AA495" s="299"/>
      <c r="AB495" s="300" t="s">
        <v>225</v>
      </c>
      <c r="AC495" s="301" t="s">
        <v>1986</v>
      </c>
      <c r="AD495" s="72" t="s">
        <v>888</v>
      </c>
      <c r="AE495" s="302"/>
      <c r="AF495" s="67"/>
      <c r="AG495" s="67"/>
      <c r="AH495" s="302" t="s">
        <v>1987</v>
      </c>
      <c r="AI495" s="24"/>
      <c r="AJ495" s="24"/>
      <c r="AK495" s="24"/>
      <c r="AL495" s="24"/>
    </row>
    <row r="496" spans="1:38" ht="26.4">
      <c r="A496" s="51">
        <v>487</v>
      </c>
      <c r="B496" s="81" t="str">
        <f t="shared" si="14"/>
        <v>01E7</v>
      </c>
      <c r="C496" s="224" t="s">
        <v>1784</v>
      </c>
      <c r="D496" s="94" t="s">
        <v>1736</v>
      </c>
      <c r="E496" s="314" t="s">
        <v>1233</v>
      </c>
      <c r="F496" s="169" t="s">
        <v>1056</v>
      </c>
      <c r="G496" s="169" t="s">
        <v>347</v>
      </c>
      <c r="H496" s="282" t="s">
        <v>637</v>
      </c>
      <c r="I496" s="295" t="s">
        <v>815</v>
      </c>
      <c r="J496" s="127" t="s">
        <v>1</v>
      </c>
      <c r="K496" s="55" t="s">
        <v>750</v>
      </c>
      <c r="L496" s="64" t="s">
        <v>856</v>
      </c>
      <c r="M496" s="55" t="s">
        <v>1612</v>
      </c>
      <c r="N496" s="282" t="s">
        <v>1215</v>
      </c>
      <c r="O496" s="238" t="s">
        <v>825</v>
      </c>
      <c r="P496" s="297" t="str">
        <f ca="1">IF(AND(OR(INDIRECT("K" &amp; ROW())="NAV-Premium",INDIRECT("K" &amp; ROW())="DA-Premium"),INDIRECT("M" &amp; ROW())="PARTITION_SCHEMA128__NavPiviJpn", INDIRECT("O" &amp; ROW())="JPN_SDB"),'SDB vs GN'!$B$41, IF(INDIRECT("H" &amp; ROW())="Chenc",'SDB vs GN'!$B$40, VLOOKUP(INDIRECT("O" &amp; ROW()),'SDB vs GN'!$A$16:$B$38,2,FALSE)))</f>
        <v>831_AUSKRJPN</v>
      </c>
      <c r="Q496" s="79" t="s">
        <v>396</v>
      </c>
      <c r="R496" s="64" t="s">
        <v>59</v>
      </c>
      <c r="S496" s="103" t="s">
        <v>10</v>
      </c>
      <c r="T496" s="295" t="s">
        <v>449</v>
      </c>
      <c r="U496" s="332" t="s">
        <v>816</v>
      </c>
      <c r="V496" s="172" t="s">
        <v>770</v>
      </c>
      <c r="W496" s="298" t="s">
        <v>447</v>
      </c>
      <c r="X496" s="297" t="s">
        <v>521</v>
      </c>
      <c r="Y496" s="282" t="s">
        <v>1286</v>
      </c>
      <c r="Z496" s="282" t="s">
        <v>1592</v>
      </c>
      <c r="AA496" s="299"/>
      <c r="AB496" s="300" t="s">
        <v>225</v>
      </c>
      <c r="AC496" s="301" t="s">
        <v>1842</v>
      </c>
      <c r="AD496" s="72" t="s">
        <v>888</v>
      </c>
      <c r="AE496" s="302"/>
      <c r="AF496" s="67"/>
      <c r="AG496" s="67"/>
      <c r="AH496" s="302" t="s">
        <v>1843</v>
      </c>
      <c r="AI496" s="24"/>
      <c r="AJ496" s="24"/>
      <c r="AK496" s="24"/>
      <c r="AL496" s="24"/>
    </row>
    <row r="497" spans="1:38" ht="26.4">
      <c r="A497" s="51">
        <v>488</v>
      </c>
      <c r="B497" s="81" t="str">
        <f t="shared" si="14"/>
        <v>01E8</v>
      </c>
      <c r="C497" s="72" t="s">
        <v>1777</v>
      </c>
      <c r="D497" s="94" t="s">
        <v>1736</v>
      </c>
      <c r="E497" s="314" t="s">
        <v>1233</v>
      </c>
      <c r="F497" s="169" t="s">
        <v>1056</v>
      </c>
      <c r="G497" s="169" t="s">
        <v>347</v>
      </c>
      <c r="H497" s="282" t="s">
        <v>637</v>
      </c>
      <c r="I497" s="295" t="s">
        <v>815</v>
      </c>
      <c r="J497" s="127" t="s">
        <v>1</v>
      </c>
      <c r="K497" s="55" t="s">
        <v>750</v>
      </c>
      <c r="L497" s="64" t="s">
        <v>856</v>
      </c>
      <c r="M497" s="55" t="s">
        <v>1613</v>
      </c>
      <c r="N497" s="282" t="s">
        <v>1215</v>
      </c>
      <c r="O497" s="239" t="s">
        <v>54</v>
      </c>
      <c r="P497" s="297" t="str">
        <f ca="1">IF(AND(OR(INDIRECT("K" &amp; ROW())="NAV-Premium",INDIRECT("K" &amp; ROW())="DA-Premium"),INDIRECT("M" &amp; ROW())="PARTITION_SCHEMA128__NavPiviJpn", INDIRECT("O" &amp; ROW())="JPN_SDB"),'SDB vs GN'!$B$41, IF(INDIRECT("H" &amp; ROW())="Chenc",'SDB vs GN'!$B$40, VLOOKUP(INDIRECT("O" &amp; ROW()),'SDB vs GN'!$A$16:$B$38,2,FALSE)))</f>
        <v>731_EUR</v>
      </c>
      <c r="Q497" s="79" t="s">
        <v>396</v>
      </c>
      <c r="R497" s="64" t="s">
        <v>59</v>
      </c>
      <c r="S497" s="103" t="s">
        <v>10</v>
      </c>
      <c r="T497" s="295" t="s">
        <v>449</v>
      </c>
      <c r="U497" s="332" t="s">
        <v>816</v>
      </c>
      <c r="V497" s="172" t="s">
        <v>547</v>
      </c>
      <c r="W497" s="298" t="s">
        <v>447</v>
      </c>
      <c r="X497" s="297" t="s">
        <v>521</v>
      </c>
      <c r="Y497" s="282" t="s">
        <v>1286</v>
      </c>
      <c r="Z497" s="282" t="s">
        <v>1592</v>
      </c>
      <c r="AA497" s="299"/>
      <c r="AB497" s="300" t="s">
        <v>225</v>
      </c>
      <c r="AC497" s="301" t="s">
        <v>1845</v>
      </c>
      <c r="AD497" s="72" t="s">
        <v>888</v>
      </c>
      <c r="AE497" s="302"/>
      <c r="AF497" s="67"/>
      <c r="AG497" s="67"/>
      <c r="AH497" s="302" t="s">
        <v>1844</v>
      </c>
      <c r="AI497" s="24"/>
      <c r="AJ497" s="24"/>
      <c r="AK497" s="24"/>
      <c r="AL497" s="24"/>
    </row>
    <row r="498" spans="1:38" ht="26.4">
      <c r="A498" s="51">
        <v>489</v>
      </c>
      <c r="B498" s="81" t="str">
        <f t="shared" si="14"/>
        <v>01E9</v>
      </c>
      <c r="C498" s="72" t="s">
        <v>1783</v>
      </c>
      <c r="D498" s="94" t="s">
        <v>1736</v>
      </c>
      <c r="E498" s="282" t="s">
        <v>1233</v>
      </c>
      <c r="F498" s="169" t="s">
        <v>1056</v>
      </c>
      <c r="G498" s="169" t="s">
        <v>347</v>
      </c>
      <c r="H498" s="282" t="s">
        <v>637</v>
      </c>
      <c r="I498" s="295" t="s">
        <v>815</v>
      </c>
      <c r="J498" s="127" t="s">
        <v>1</v>
      </c>
      <c r="K498" s="55" t="s">
        <v>750</v>
      </c>
      <c r="L498" s="64" t="s">
        <v>856</v>
      </c>
      <c r="M498" s="55" t="s">
        <v>1612</v>
      </c>
      <c r="N498" s="282" t="s">
        <v>1215</v>
      </c>
      <c r="O498" s="238" t="s">
        <v>826</v>
      </c>
      <c r="P498" s="297" t="str">
        <f ca="1">IF(AND(OR(INDIRECT("K" &amp; ROW())="NAV-Premium",INDIRECT("K" &amp; ROW())="DA-Premium"),INDIRECT("M" &amp; ROW())="PARTITION_SCHEMA128__NavPiviJpn", INDIRECT("O" &amp; ROW())="JPN_SDB"),'SDB vs GN'!$B$41, IF(INDIRECT("H" &amp; ROW())="Chenc",'SDB vs GN'!$B$40, VLOOKUP(INDIRECT("O" &amp; ROW()),'SDB vs GN'!$A$16:$B$38,2,FALSE)))</f>
        <v>731_EUR</v>
      </c>
      <c r="Q498" s="79" t="s">
        <v>396</v>
      </c>
      <c r="R498" s="64" t="s">
        <v>59</v>
      </c>
      <c r="S498" s="103" t="s">
        <v>10</v>
      </c>
      <c r="T498" s="295" t="s">
        <v>449</v>
      </c>
      <c r="U498" s="332" t="s">
        <v>816</v>
      </c>
      <c r="V498" s="172" t="s">
        <v>552</v>
      </c>
      <c r="W498" s="298" t="s">
        <v>447</v>
      </c>
      <c r="X498" s="297" t="s">
        <v>521</v>
      </c>
      <c r="Y498" s="282" t="s">
        <v>1286</v>
      </c>
      <c r="Z498" s="282" t="s">
        <v>1592</v>
      </c>
      <c r="AA498" s="299"/>
      <c r="AB498" s="300" t="s">
        <v>225</v>
      </c>
      <c r="AC498" s="301" t="s">
        <v>1846</v>
      </c>
      <c r="AD498" s="72" t="s">
        <v>888</v>
      </c>
      <c r="AE498" s="302"/>
      <c r="AF498" s="67"/>
      <c r="AG498" s="67"/>
      <c r="AH498" s="302" t="s">
        <v>1847</v>
      </c>
      <c r="AI498" s="24"/>
      <c r="AJ498" s="24"/>
      <c r="AK498" s="24"/>
      <c r="AL498" s="24"/>
    </row>
    <row r="499" spans="1:38" ht="26.4">
      <c r="A499" s="51">
        <v>490</v>
      </c>
      <c r="B499" s="81" t="str">
        <f t="shared" si="14"/>
        <v>01EA</v>
      </c>
      <c r="C499" s="226" t="s">
        <v>1782</v>
      </c>
      <c r="D499" s="94" t="s">
        <v>1736</v>
      </c>
      <c r="E499" s="282" t="s">
        <v>1233</v>
      </c>
      <c r="F499" s="169" t="s">
        <v>1056</v>
      </c>
      <c r="G499" s="169" t="s">
        <v>347</v>
      </c>
      <c r="H499" s="282" t="s">
        <v>637</v>
      </c>
      <c r="I499" s="295" t="s">
        <v>815</v>
      </c>
      <c r="J499" s="127" t="s">
        <v>1</v>
      </c>
      <c r="K499" s="55" t="s">
        <v>750</v>
      </c>
      <c r="L499" s="64" t="s">
        <v>856</v>
      </c>
      <c r="M499" s="55" t="s">
        <v>1612</v>
      </c>
      <c r="N499" s="282" t="s">
        <v>1215</v>
      </c>
      <c r="O499" s="238" t="s">
        <v>97</v>
      </c>
      <c r="P499" s="297" t="str">
        <f ca="1">IF(AND(OR(INDIRECT("K" &amp; ROW())="NAV-Premium",INDIRECT("K" &amp; ROW())="DA-Premium"),INDIRECT("M" &amp; ROW())="PARTITION_SCHEMA128__NavPiviJpn", INDIRECT("O" &amp; ROW())="JPN_SDB"),'SDB vs GN'!$B$41, IF(INDIRECT("H" &amp; ROW())="Chenc",'SDB vs GN'!$B$40, VLOOKUP(INDIRECT("O" &amp; ROW()),'SDB vs GN'!$A$16:$B$38,2,FALSE)))</f>
        <v>734_CN_831_AUSKRJPN</v>
      </c>
      <c r="Q499" s="79" t="s">
        <v>396</v>
      </c>
      <c r="R499" s="165" t="s">
        <v>61</v>
      </c>
      <c r="S499" s="340" t="s">
        <v>10</v>
      </c>
      <c r="T499" s="295" t="s">
        <v>449</v>
      </c>
      <c r="U499" s="332" t="s">
        <v>816</v>
      </c>
      <c r="V499" s="172" t="s">
        <v>551</v>
      </c>
      <c r="W499" s="298" t="s">
        <v>447</v>
      </c>
      <c r="X499" s="297" t="s">
        <v>521</v>
      </c>
      <c r="Y499" s="282" t="s">
        <v>1286</v>
      </c>
      <c r="Z499" s="282" t="s">
        <v>1592</v>
      </c>
      <c r="AA499" s="299"/>
      <c r="AB499" s="300" t="s">
        <v>225</v>
      </c>
      <c r="AC499" s="301" t="s">
        <v>1849</v>
      </c>
      <c r="AD499" s="72" t="s">
        <v>888</v>
      </c>
      <c r="AE499" s="302"/>
      <c r="AF499" s="67"/>
      <c r="AG499" s="67"/>
      <c r="AH499" s="302" t="s">
        <v>1848</v>
      </c>
      <c r="AI499" s="24"/>
      <c r="AJ499" s="24"/>
      <c r="AK499" s="24"/>
      <c r="AL499" s="24"/>
    </row>
    <row r="500" spans="1:38" ht="26.4">
      <c r="A500" s="51">
        <v>491</v>
      </c>
      <c r="B500" s="81" t="str">
        <f t="shared" si="14"/>
        <v>01EB</v>
      </c>
      <c r="C500" s="61" t="s">
        <v>1778</v>
      </c>
      <c r="D500" s="94" t="s">
        <v>1736</v>
      </c>
      <c r="E500" s="314" t="s">
        <v>1233</v>
      </c>
      <c r="F500" s="169" t="s">
        <v>1056</v>
      </c>
      <c r="G500" s="169" t="s">
        <v>347</v>
      </c>
      <c r="H500" s="282" t="s">
        <v>637</v>
      </c>
      <c r="I500" s="295" t="s">
        <v>815</v>
      </c>
      <c r="J500" s="127" t="s">
        <v>1</v>
      </c>
      <c r="K500" s="55" t="s">
        <v>750</v>
      </c>
      <c r="L500" s="64" t="s">
        <v>856</v>
      </c>
      <c r="M500" s="55" t="s">
        <v>1612</v>
      </c>
      <c r="N500" s="282" t="s">
        <v>1215</v>
      </c>
      <c r="O500" s="238" t="s">
        <v>825</v>
      </c>
      <c r="P500" s="297" t="str">
        <f ca="1">IF(AND(OR(INDIRECT("K" &amp; ROW())="NAV-Premium",INDIRECT("K" &amp; ROW())="DA-Premium"),INDIRECT("M" &amp; ROW())="PARTITION_SCHEMA128__NavPiviJpn", INDIRECT("O" &amp; ROW())="JPN_SDB"),'SDB vs GN'!$B$41, IF(INDIRECT("H" &amp; ROW())="Chenc",'SDB vs GN'!$B$40, VLOOKUP(INDIRECT("O" &amp; ROW()),'SDB vs GN'!$A$16:$B$38,2,FALSE)))</f>
        <v>831_AUSKRJPN</v>
      </c>
      <c r="Q500" s="79" t="s">
        <v>396</v>
      </c>
      <c r="R500" s="165" t="s">
        <v>61</v>
      </c>
      <c r="S500" s="103" t="s">
        <v>10</v>
      </c>
      <c r="T500" s="295" t="s">
        <v>449</v>
      </c>
      <c r="U500" s="332" t="s">
        <v>816</v>
      </c>
      <c r="V500" s="172" t="s">
        <v>544</v>
      </c>
      <c r="W500" s="298" t="s">
        <v>447</v>
      </c>
      <c r="X500" s="297" t="s">
        <v>521</v>
      </c>
      <c r="Y500" s="282" t="s">
        <v>1286</v>
      </c>
      <c r="Z500" s="282" t="s">
        <v>1592</v>
      </c>
      <c r="AA500" s="299"/>
      <c r="AB500" s="300" t="s">
        <v>225</v>
      </c>
      <c r="AC500" s="301" t="s">
        <v>1851</v>
      </c>
      <c r="AD500" s="72" t="s">
        <v>888</v>
      </c>
      <c r="AE500" s="302"/>
      <c r="AF500" s="67"/>
      <c r="AG500" s="67"/>
      <c r="AH500" s="302" t="s">
        <v>1850</v>
      </c>
      <c r="AI500" s="24"/>
      <c r="AJ500" s="24"/>
      <c r="AK500" s="24"/>
      <c r="AL500" s="24"/>
    </row>
    <row r="501" spans="1:38" ht="290.39999999999998">
      <c r="A501" s="51">
        <v>492</v>
      </c>
      <c r="B501" s="81" t="str">
        <f t="shared" ref="B501:B502" si="15">DEC2HEX(A501,4)</f>
        <v>01EC</v>
      </c>
      <c r="C501" s="64" t="s">
        <v>1831</v>
      </c>
      <c r="D501" s="55" t="s">
        <v>1013</v>
      </c>
      <c r="E501" s="282" t="s">
        <v>1233</v>
      </c>
      <c r="F501" s="267" t="s">
        <v>1055</v>
      </c>
      <c r="G501" s="252" t="s">
        <v>879</v>
      </c>
      <c r="H501" s="282" t="s">
        <v>637</v>
      </c>
      <c r="I501" s="295" t="s">
        <v>815</v>
      </c>
      <c r="J501" s="282" t="s">
        <v>0</v>
      </c>
      <c r="K501" s="282" t="s">
        <v>452</v>
      </c>
      <c r="L501" s="297" t="s">
        <v>857</v>
      </c>
      <c r="M501" s="55" t="s">
        <v>236</v>
      </c>
      <c r="N501" s="282" t="s">
        <v>1215</v>
      </c>
      <c r="O501" s="296" t="s">
        <v>84</v>
      </c>
      <c r="P501" s="64" t="str">
        <f ca="1">IF(AND(OR(INDIRECT("K" &amp; ROW())="NAV-Premium",INDIRECT("K" &amp; ROW())="DA-Premium"),INDIRECT("M" &amp; ROW())="PARTITION_SCHEMA128__NavPiviJpn", INDIRECT("O" &amp; ROW())="JPN_SDB"),'SDB vs GN'!$B$41, IF(INDIRECT("H" &amp; ROW())="Chenc",'SDB vs GN'!$B$40, VLOOKUP(INDIRECT("O" &amp; ROW()),'SDB vs GN'!$A$16:$B$38,2,FALSE)))</f>
        <v>727_NAM</v>
      </c>
      <c r="Q501" s="79" t="s">
        <v>396</v>
      </c>
      <c r="R501" s="64" t="s">
        <v>59</v>
      </c>
      <c r="S501" s="103" t="s">
        <v>10</v>
      </c>
      <c r="T501" s="295" t="s">
        <v>449</v>
      </c>
      <c r="U501" s="332" t="s">
        <v>816</v>
      </c>
      <c r="V501" s="173" t="s">
        <v>1131</v>
      </c>
      <c r="W501" s="298" t="s">
        <v>447</v>
      </c>
      <c r="X501" s="297" t="s">
        <v>521</v>
      </c>
      <c r="Y501" s="282" t="s">
        <v>1286</v>
      </c>
      <c r="Z501" s="282" t="s">
        <v>1592</v>
      </c>
      <c r="AA501" s="299"/>
      <c r="AB501" s="300" t="s">
        <v>225</v>
      </c>
      <c r="AC501" s="301" t="s">
        <v>2778</v>
      </c>
      <c r="AD501" s="67" t="s">
        <v>888</v>
      </c>
      <c r="AE501" s="302"/>
      <c r="AF501" s="302"/>
      <c r="AG501" s="302"/>
      <c r="AH501" s="302" t="s">
        <v>2777</v>
      </c>
      <c r="AI501" s="24"/>
      <c r="AJ501" s="24"/>
      <c r="AK501" s="24"/>
      <c r="AL501" s="24"/>
    </row>
    <row r="502" spans="1:38" ht="409.6">
      <c r="A502" s="51">
        <v>493</v>
      </c>
      <c r="B502" s="81" t="str">
        <f t="shared" si="15"/>
        <v>01ED</v>
      </c>
      <c r="C502" s="64" t="s">
        <v>1423</v>
      </c>
      <c r="D502" s="55" t="s">
        <v>1013</v>
      </c>
      <c r="E502" s="282" t="s">
        <v>1233</v>
      </c>
      <c r="F502" s="267" t="s">
        <v>1055</v>
      </c>
      <c r="G502" s="252" t="s">
        <v>879</v>
      </c>
      <c r="H502" s="282" t="s">
        <v>637</v>
      </c>
      <c r="I502" s="295" t="s">
        <v>815</v>
      </c>
      <c r="J502" s="282" t="s">
        <v>0</v>
      </c>
      <c r="K502" s="282" t="s">
        <v>452</v>
      </c>
      <c r="L502" s="297" t="s">
        <v>857</v>
      </c>
      <c r="M502" s="55" t="s">
        <v>236</v>
      </c>
      <c r="N502" s="282" t="s">
        <v>1215</v>
      </c>
      <c r="O502" s="296" t="s">
        <v>84</v>
      </c>
      <c r="P502" s="64" t="str">
        <f ca="1">IF(AND(OR(INDIRECT("K" &amp; ROW())="NAV-Premium",INDIRECT("K" &amp; ROW())="DA-Premium"),INDIRECT("M" &amp; ROW())="PARTITION_SCHEMA128__NavPiviJpn", INDIRECT("O" &amp; ROW())="JPN_SDB"),'SDB vs GN'!$B$41, IF(INDIRECT("H" &amp; ROW())="Chenc",'SDB vs GN'!$B$40, VLOOKUP(INDIRECT("O" &amp; ROW()),'SDB vs GN'!$A$16:$B$38,2,FALSE)))</f>
        <v>727_NAM</v>
      </c>
      <c r="Q502" s="79" t="s">
        <v>396</v>
      </c>
      <c r="R502" s="64" t="s">
        <v>59</v>
      </c>
      <c r="S502" s="103" t="s">
        <v>10</v>
      </c>
      <c r="T502" s="367" t="s">
        <v>450</v>
      </c>
      <c r="U502" s="332" t="s">
        <v>816</v>
      </c>
      <c r="V502" s="173" t="s">
        <v>1131</v>
      </c>
      <c r="W502" s="298" t="s">
        <v>447</v>
      </c>
      <c r="X502" s="297" t="s">
        <v>521</v>
      </c>
      <c r="Y502" s="282" t="s">
        <v>1286</v>
      </c>
      <c r="Z502" s="282" t="s">
        <v>1592</v>
      </c>
      <c r="AA502" s="299"/>
      <c r="AB502" s="300" t="s">
        <v>225</v>
      </c>
      <c r="AC502" s="301" t="s">
        <v>2650</v>
      </c>
      <c r="AD502" s="67" t="s">
        <v>888</v>
      </c>
      <c r="AE502" s="302" t="s">
        <v>2345</v>
      </c>
      <c r="AF502" s="302"/>
      <c r="AG502" s="302"/>
      <c r="AH502" s="302" t="s">
        <v>2651</v>
      </c>
    </row>
    <row r="503" spans="1:38" ht="39.6">
      <c r="A503" s="51">
        <v>494</v>
      </c>
      <c r="B503" s="81" t="str">
        <f t="shared" ref="B503:B505" si="16">DEC2HEX(A503,4)</f>
        <v>01EE</v>
      </c>
      <c r="C503" s="64" t="s">
        <v>1639</v>
      </c>
      <c r="D503" s="55" t="s">
        <v>1013</v>
      </c>
      <c r="E503" s="314" t="s">
        <v>1233</v>
      </c>
      <c r="F503" s="354" t="s">
        <v>1055</v>
      </c>
      <c r="G503" s="354" t="s">
        <v>879</v>
      </c>
      <c r="H503" s="282" t="s">
        <v>637</v>
      </c>
      <c r="I503" s="295" t="s">
        <v>815</v>
      </c>
      <c r="J503" s="283" t="s">
        <v>0</v>
      </c>
      <c r="K503" s="282" t="s">
        <v>452</v>
      </c>
      <c r="L503" s="297" t="s">
        <v>1393</v>
      </c>
      <c r="M503" s="55" t="s">
        <v>236</v>
      </c>
      <c r="N503" s="282" t="s">
        <v>1215</v>
      </c>
      <c r="O503" s="239" t="s">
        <v>54</v>
      </c>
      <c r="P503" s="297" t="str">
        <f ca="1">IF(AND(OR(INDIRECT("K" &amp; ROW())="NAV-Premium",INDIRECT("K" &amp; ROW())="DA-Premium"),INDIRECT("M" &amp; ROW())="PARTITION_SCHEMA128__NavPiviJpn", INDIRECT("O" &amp; ROW())="JPN_SDB"),'SDB vs GN'!$B$41, IF(INDIRECT("H" &amp; ROW())="Chenc",'SDB vs GN'!$B$40, VLOOKUP(INDIRECT("O" &amp; ROW()),'SDB vs GN'!$A$16:$B$38,2,FALSE)))</f>
        <v>731_EUR</v>
      </c>
      <c r="Q503" s="79" t="s">
        <v>396</v>
      </c>
      <c r="R503" s="64" t="s">
        <v>59</v>
      </c>
      <c r="S503" s="340" t="s">
        <v>10</v>
      </c>
      <c r="T503" s="295" t="s">
        <v>449</v>
      </c>
      <c r="U503" s="332" t="s">
        <v>816</v>
      </c>
      <c r="V503" s="172" t="s">
        <v>872</v>
      </c>
      <c r="W503" s="298" t="s">
        <v>447</v>
      </c>
      <c r="X503" s="64" t="s">
        <v>521</v>
      </c>
      <c r="Y503" s="282" t="s">
        <v>1286</v>
      </c>
      <c r="Z503" s="282" t="s">
        <v>1592</v>
      </c>
      <c r="AA503" s="299"/>
      <c r="AB503" s="300" t="s">
        <v>225</v>
      </c>
      <c r="AC503" s="301" t="s">
        <v>1970</v>
      </c>
      <c r="AD503" s="67" t="s">
        <v>889</v>
      </c>
      <c r="AE503" s="302"/>
      <c r="AF503" s="302"/>
      <c r="AG503" s="302"/>
      <c r="AH503" s="302" t="s">
        <v>1969</v>
      </c>
    </row>
    <row r="504" spans="1:38">
      <c r="A504" s="51">
        <v>495</v>
      </c>
      <c r="B504" s="81" t="str">
        <f t="shared" si="16"/>
        <v>01EF</v>
      </c>
      <c r="C504" s="76" t="s">
        <v>1839</v>
      </c>
      <c r="D504" s="55" t="s">
        <v>704</v>
      </c>
      <c r="E504" s="282" t="s">
        <v>1233</v>
      </c>
      <c r="F504" s="178" t="s">
        <v>1044</v>
      </c>
      <c r="G504" s="178" t="s">
        <v>345</v>
      </c>
      <c r="H504" s="282" t="s">
        <v>637</v>
      </c>
      <c r="I504" s="295" t="s">
        <v>815</v>
      </c>
      <c r="J504" s="282" t="s">
        <v>0</v>
      </c>
      <c r="K504" s="282" t="s">
        <v>452</v>
      </c>
      <c r="L504" s="158" t="s">
        <v>499</v>
      </c>
      <c r="M504" s="55" t="s">
        <v>254</v>
      </c>
      <c r="N504" s="282" t="s">
        <v>1215</v>
      </c>
      <c r="O504" s="238" t="s">
        <v>825</v>
      </c>
      <c r="P504" s="64" t="str">
        <f ca="1">IF(AND(OR(INDIRECT("K" &amp; ROW())="NAV-Premium",INDIRECT("K" &amp; ROW())="DA-Premium"),INDIRECT("M" &amp; ROW())="PARTITION_SCHEMA128__NavPiviJpn", INDIRECT("O" &amp; ROW())="JPN_SDB"),'SDB vs GN'!$B$41, IF(INDIRECT("H" &amp; ROW())="Chenc",'SDB vs GN'!$B$40, VLOOKUP(INDIRECT("O" &amp; ROW()),'SDB vs GN'!$A$16:$B$38,2,FALSE)))</f>
        <v>831_AUSKRJPN</v>
      </c>
      <c r="Q504" s="79" t="s">
        <v>396</v>
      </c>
      <c r="R504" s="165" t="s">
        <v>61</v>
      </c>
      <c r="S504" s="103" t="s">
        <v>10</v>
      </c>
      <c r="T504" s="295" t="s">
        <v>449</v>
      </c>
      <c r="U504" s="332" t="s">
        <v>816</v>
      </c>
      <c r="V504" s="173" t="s">
        <v>994</v>
      </c>
      <c r="W504" s="298" t="s">
        <v>447</v>
      </c>
      <c r="X504" s="297" t="s">
        <v>521</v>
      </c>
      <c r="Y504" s="282" t="s">
        <v>1286</v>
      </c>
      <c r="Z504" s="282" t="s">
        <v>1592</v>
      </c>
      <c r="AA504" s="299"/>
      <c r="AB504" s="300" t="s">
        <v>225</v>
      </c>
      <c r="AC504" s="301" t="s">
        <v>1837</v>
      </c>
      <c r="AD504" s="72" t="s">
        <v>808</v>
      </c>
      <c r="AE504" s="302"/>
      <c r="AF504" s="302"/>
      <c r="AG504" s="302"/>
      <c r="AH504" s="302" t="s">
        <v>1838</v>
      </c>
    </row>
    <row r="505" spans="1:38" ht="66">
      <c r="A505" s="51">
        <v>496</v>
      </c>
      <c r="B505" s="81" t="str">
        <f t="shared" si="16"/>
        <v>01F0</v>
      </c>
      <c r="C505" s="168" t="s">
        <v>1870</v>
      </c>
      <c r="D505" s="55" t="s">
        <v>143</v>
      </c>
      <c r="E505" s="282" t="s">
        <v>1233</v>
      </c>
      <c r="F505" s="78" t="s">
        <v>1052</v>
      </c>
      <c r="G505" s="78" t="s">
        <v>761</v>
      </c>
      <c r="H505" s="282" t="s">
        <v>637</v>
      </c>
      <c r="I505" s="295" t="s">
        <v>815</v>
      </c>
      <c r="J505" s="127" t="s">
        <v>1</v>
      </c>
      <c r="K505" s="282" t="s">
        <v>749</v>
      </c>
      <c r="L505" s="64" t="s">
        <v>856</v>
      </c>
      <c r="M505" s="55" t="s">
        <v>1614</v>
      </c>
      <c r="N505" s="282" t="s">
        <v>1215</v>
      </c>
      <c r="O505" s="238" t="s">
        <v>97</v>
      </c>
      <c r="P505" s="64" t="str">
        <f ca="1">IF(AND(OR(INDIRECT("K" &amp; ROW())="NAV-Premium",INDIRECT("K" &amp; ROW())="DA-Premium"),INDIRECT("M" &amp; ROW())="PARTITION_SCHEMA128__NavPiviJpn", INDIRECT("O" &amp; ROW())="JPN_SDB"),'SDB vs GN'!$B$41, IF(INDIRECT("H" &amp; ROW())="Chenc",'SDB vs GN'!$B$40, VLOOKUP(INDIRECT("O" &amp; ROW()),'SDB vs GN'!$A$16:$B$38,2,FALSE)))</f>
        <v>734_CN_831_AUSKRJPN</v>
      </c>
      <c r="Q505" s="79" t="s">
        <v>396</v>
      </c>
      <c r="R505" s="165" t="s">
        <v>61</v>
      </c>
      <c r="S505" s="157" t="s">
        <v>10</v>
      </c>
      <c r="T505" s="295" t="s">
        <v>449</v>
      </c>
      <c r="U505" s="332" t="s">
        <v>12</v>
      </c>
      <c r="V505" s="172" t="s">
        <v>563</v>
      </c>
      <c r="W505" s="298" t="s">
        <v>447</v>
      </c>
      <c r="X505" s="297" t="s">
        <v>521</v>
      </c>
      <c r="Y505" s="282" t="s">
        <v>1286</v>
      </c>
      <c r="Z505" s="282" t="s">
        <v>1592</v>
      </c>
      <c r="AA505" s="299"/>
      <c r="AB505" s="300" t="s">
        <v>225</v>
      </c>
      <c r="AC505" s="307" t="s">
        <v>2081</v>
      </c>
      <c r="AD505" s="72" t="s">
        <v>888</v>
      </c>
      <c r="AE505" s="302"/>
      <c r="AF505" s="302"/>
      <c r="AG505" s="302"/>
      <c r="AH505" s="302" t="s">
        <v>2080</v>
      </c>
    </row>
    <row r="506" spans="1:38" ht="66">
      <c r="A506" s="51">
        <v>497</v>
      </c>
      <c r="B506" s="81" t="str">
        <f t="shared" ref="B506:B507" si="17">DEC2HEX(A506,4)</f>
        <v>01F1</v>
      </c>
      <c r="C506" s="64" t="s">
        <v>1869</v>
      </c>
      <c r="D506" s="55" t="s">
        <v>704</v>
      </c>
      <c r="E506" s="282" t="s">
        <v>1233</v>
      </c>
      <c r="F506" s="169" t="s">
        <v>1056</v>
      </c>
      <c r="G506" s="169" t="s">
        <v>347</v>
      </c>
      <c r="H506" s="282" t="s">
        <v>637</v>
      </c>
      <c r="I506" s="295" t="s">
        <v>815</v>
      </c>
      <c r="J506" s="127" t="s">
        <v>1</v>
      </c>
      <c r="K506" s="282" t="s">
        <v>748</v>
      </c>
      <c r="L506" s="64" t="s">
        <v>856</v>
      </c>
      <c r="M506" s="55" t="s">
        <v>1612</v>
      </c>
      <c r="N506" s="282" t="s">
        <v>1215</v>
      </c>
      <c r="O506" s="238" t="s">
        <v>97</v>
      </c>
      <c r="P506" s="64" t="str">
        <f ca="1">IF(AND(OR(INDIRECT("K" &amp; ROW())="NAV-Premium",INDIRECT("K" &amp; ROW())="DA-Premium"),INDIRECT("M" &amp; ROW())="PARTITION_SCHEMA128__NavPiviJpn", INDIRECT("O" &amp; ROW())="JPN_SDB"),'SDB vs GN'!$B$41, IF(INDIRECT("H" &amp; ROW())="Chenc",'SDB vs GN'!$B$40, VLOOKUP(INDIRECT("O" &amp; ROW()),'SDB vs GN'!$A$16:$B$38,2,FALSE)))</f>
        <v>734_CN_831_AUSKRJPN</v>
      </c>
      <c r="Q506" s="79" t="s">
        <v>396</v>
      </c>
      <c r="R506" s="165" t="s">
        <v>61</v>
      </c>
      <c r="S506" s="157" t="s">
        <v>10</v>
      </c>
      <c r="T506" s="295" t="s">
        <v>449</v>
      </c>
      <c r="U506" s="332" t="s">
        <v>816</v>
      </c>
      <c r="V506" s="172" t="s">
        <v>551</v>
      </c>
      <c r="W506" s="298" t="s">
        <v>447</v>
      </c>
      <c r="X506" s="297" t="s">
        <v>521</v>
      </c>
      <c r="Y506" s="282" t="s">
        <v>1286</v>
      </c>
      <c r="Z506" s="282" t="s">
        <v>1592</v>
      </c>
      <c r="AA506" s="299"/>
      <c r="AB506" s="300" t="s">
        <v>225</v>
      </c>
      <c r="AC506" s="307" t="s">
        <v>2271</v>
      </c>
      <c r="AD506" s="72" t="s">
        <v>888</v>
      </c>
      <c r="AE506" s="302"/>
      <c r="AF506" s="302"/>
      <c r="AG506" s="302"/>
      <c r="AH506" s="302" t="s">
        <v>2270</v>
      </c>
    </row>
    <row r="507" spans="1:38" ht="39.6">
      <c r="A507" s="51">
        <v>498</v>
      </c>
      <c r="B507" s="81" t="str">
        <f t="shared" si="17"/>
        <v>01F2</v>
      </c>
      <c r="C507" s="72" t="s">
        <v>1868</v>
      </c>
      <c r="D507" s="55" t="s">
        <v>143</v>
      </c>
      <c r="E507" s="323" t="s">
        <v>1233</v>
      </c>
      <c r="F507" s="78" t="s">
        <v>1052</v>
      </c>
      <c r="G507" s="78" t="s">
        <v>761</v>
      </c>
      <c r="H507" s="282" t="s">
        <v>637</v>
      </c>
      <c r="I507" s="295" t="s">
        <v>815</v>
      </c>
      <c r="J507" s="127" t="s">
        <v>1</v>
      </c>
      <c r="K507" s="282" t="s">
        <v>749</v>
      </c>
      <c r="L507" s="64" t="s">
        <v>856</v>
      </c>
      <c r="M507" s="55" t="s">
        <v>1614</v>
      </c>
      <c r="N507" s="282" t="s">
        <v>1215</v>
      </c>
      <c r="O507" s="238" t="s">
        <v>825</v>
      </c>
      <c r="P507" s="64" t="str">
        <f ca="1">IF(AND(OR(INDIRECT("K" &amp; ROW())="NAV-Premium",INDIRECT("K" &amp; ROW())="DA-Premium"),INDIRECT("M" &amp; ROW())="PARTITION_SCHEMA128__NavPiviJpn", INDIRECT("O" &amp; ROW())="JPN_SDB"),'SDB vs GN'!$B$41, IF(INDIRECT("H" &amp; ROW())="Chenc",'SDB vs GN'!$B$40, VLOOKUP(INDIRECT("O" &amp; ROW()),'SDB vs GN'!$A$16:$B$38,2,FALSE)))</f>
        <v>831_AUSKRJPN</v>
      </c>
      <c r="Q507" s="79" t="s">
        <v>396</v>
      </c>
      <c r="R507" s="64" t="s">
        <v>61</v>
      </c>
      <c r="S507" s="103" t="s">
        <v>10</v>
      </c>
      <c r="T507" s="295" t="s">
        <v>449</v>
      </c>
      <c r="U507" s="332" t="s">
        <v>12</v>
      </c>
      <c r="V507" s="174" t="s">
        <v>558</v>
      </c>
      <c r="W507" s="298" t="s">
        <v>447</v>
      </c>
      <c r="X507" s="297" t="s">
        <v>521</v>
      </c>
      <c r="Y507" s="282" t="s">
        <v>1286</v>
      </c>
      <c r="Z507" s="282" t="s">
        <v>1592</v>
      </c>
      <c r="AA507" s="299"/>
      <c r="AB507" s="300" t="s">
        <v>225</v>
      </c>
      <c r="AC507" s="307" t="s">
        <v>2168</v>
      </c>
      <c r="AD507" s="72" t="s">
        <v>888</v>
      </c>
      <c r="AE507" s="302"/>
      <c r="AF507" s="302"/>
      <c r="AG507" s="302"/>
      <c r="AH507" s="302" t="s">
        <v>2167</v>
      </c>
    </row>
    <row r="508" spans="1:38" ht="52.8">
      <c r="A508" s="51">
        <v>499</v>
      </c>
      <c r="B508" s="81" t="str">
        <f t="shared" ref="B508:B510" si="18">DEC2HEX(A508,4)</f>
        <v>01F3</v>
      </c>
      <c r="C508" s="76" t="s">
        <v>1885</v>
      </c>
      <c r="D508" s="55" t="s">
        <v>1013</v>
      </c>
      <c r="E508" s="282" t="s">
        <v>1233</v>
      </c>
      <c r="F508" s="267" t="s">
        <v>1055</v>
      </c>
      <c r="G508" s="252" t="s">
        <v>879</v>
      </c>
      <c r="H508" s="282" t="s">
        <v>637</v>
      </c>
      <c r="I508" s="295" t="s">
        <v>815</v>
      </c>
      <c r="J508" s="282" t="s">
        <v>0</v>
      </c>
      <c r="K508" s="282" t="s">
        <v>452</v>
      </c>
      <c r="L508" s="297" t="s">
        <v>857</v>
      </c>
      <c r="M508" s="55" t="s">
        <v>1375</v>
      </c>
      <c r="N508" s="282" t="s">
        <v>1215</v>
      </c>
      <c r="O508" s="238" t="s">
        <v>825</v>
      </c>
      <c r="P508" s="64" t="str">
        <f ca="1">IF(AND(OR(INDIRECT("K" &amp; ROW())="NAV-Premium",INDIRECT("K" &amp; ROW())="DA-Premium"),INDIRECT("M" &amp; ROW())="PARTITION_SCHEMA128__NavPiviJpn", INDIRECT("O" &amp; ROW())="JPN_SDB"),'SDB vs GN'!$B$41, IF(INDIRECT("H" &amp; ROW())="Chenc",'SDB vs GN'!$B$40, VLOOKUP(INDIRECT("O" &amp; ROW()),'SDB vs GN'!$A$16:$B$38,2,FALSE)))</f>
        <v>831_AUSKRJPN</v>
      </c>
      <c r="Q508" s="79" t="s">
        <v>396</v>
      </c>
      <c r="R508" s="165" t="s">
        <v>61</v>
      </c>
      <c r="S508" s="340" t="s">
        <v>10</v>
      </c>
      <c r="T508" s="295" t="s">
        <v>449</v>
      </c>
      <c r="U508" s="332" t="s">
        <v>816</v>
      </c>
      <c r="V508" s="172" t="s">
        <v>1244</v>
      </c>
      <c r="W508" s="298" t="s">
        <v>447</v>
      </c>
      <c r="X508" s="297" t="s">
        <v>521</v>
      </c>
      <c r="Y508" s="282" t="s">
        <v>1286</v>
      </c>
      <c r="Z508" s="282" t="s">
        <v>1592</v>
      </c>
      <c r="AA508" s="299"/>
      <c r="AB508" s="300" t="s">
        <v>225</v>
      </c>
      <c r="AC508" s="301" t="s">
        <v>2411</v>
      </c>
      <c r="AD508" s="67" t="s">
        <v>888</v>
      </c>
      <c r="AE508" s="302"/>
      <c r="AF508" s="302"/>
      <c r="AG508" s="302"/>
      <c r="AH508" s="302" t="s">
        <v>2423</v>
      </c>
    </row>
    <row r="509" spans="1:38" ht="52.8">
      <c r="A509" s="51">
        <v>500</v>
      </c>
      <c r="B509" s="81" t="str">
        <f t="shared" si="18"/>
        <v>01F4</v>
      </c>
      <c r="C509" s="76" t="s">
        <v>1884</v>
      </c>
      <c r="D509" s="55" t="s">
        <v>1013</v>
      </c>
      <c r="E509" s="295" t="s">
        <v>1233</v>
      </c>
      <c r="F509" s="267" t="s">
        <v>1055</v>
      </c>
      <c r="G509" s="252" t="s">
        <v>879</v>
      </c>
      <c r="H509" s="282" t="s">
        <v>637</v>
      </c>
      <c r="I509" s="295" t="s">
        <v>815</v>
      </c>
      <c r="J509" s="282" t="s">
        <v>0</v>
      </c>
      <c r="K509" s="282" t="s">
        <v>452</v>
      </c>
      <c r="L509" s="297" t="s">
        <v>857</v>
      </c>
      <c r="M509" s="55" t="s">
        <v>1375</v>
      </c>
      <c r="N509" s="282" t="s">
        <v>1215</v>
      </c>
      <c r="O509" s="238" t="s">
        <v>126</v>
      </c>
      <c r="P509" s="64" t="str">
        <f ca="1">IF(AND(OR(INDIRECT("K" &amp; ROW())="NAV-Premium",INDIRECT("K" &amp; ROW())="DA-Premium"),INDIRECT("M" &amp; ROW())="PARTITION_SCHEMA128__NavPiviJpn", INDIRECT("O" &amp; ROW())="JPN_SDB"),'SDB vs GN'!$B$41, IF(INDIRECT("H" &amp; ROW())="Chenc",'SDB vs GN'!$B$40, VLOOKUP(INDIRECT("O" &amp; ROW()),'SDB vs GN'!$A$16:$B$38,2,FALSE)))</f>
        <v>735_LA</v>
      </c>
      <c r="Q509" s="79" t="s">
        <v>396</v>
      </c>
      <c r="R509" s="64" t="s">
        <v>61</v>
      </c>
      <c r="S509" s="340" t="s">
        <v>10</v>
      </c>
      <c r="T509" s="295" t="s">
        <v>449</v>
      </c>
      <c r="U509" s="332" t="s">
        <v>816</v>
      </c>
      <c r="V509" s="172" t="s">
        <v>930</v>
      </c>
      <c r="W509" s="298" t="s">
        <v>447</v>
      </c>
      <c r="X509" s="64" t="s">
        <v>521</v>
      </c>
      <c r="Y509" s="282" t="s">
        <v>1286</v>
      </c>
      <c r="Z509" s="282" t="s">
        <v>1592</v>
      </c>
      <c r="AA509" s="299"/>
      <c r="AB509" s="300" t="s">
        <v>225</v>
      </c>
      <c r="AC509" s="302" t="s">
        <v>2413</v>
      </c>
      <c r="AD509" s="67" t="s">
        <v>888</v>
      </c>
      <c r="AE509" s="302"/>
      <c r="AF509" s="302"/>
      <c r="AG509" s="302"/>
      <c r="AH509" s="302" t="s">
        <v>2424</v>
      </c>
    </row>
    <row r="510" spans="1:38" ht="52.8">
      <c r="A510" s="51">
        <v>501</v>
      </c>
      <c r="B510" s="81" t="str">
        <f t="shared" si="18"/>
        <v>01F5</v>
      </c>
      <c r="C510" s="76" t="s">
        <v>1883</v>
      </c>
      <c r="D510" s="55" t="s">
        <v>1013</v>
      </c>
      <c r="E510" s="282" t="s">
        <v>1233</v>
      </c>
      <c r="F510" s="267" t="s">
        <v>1055</v>
      </c>
      <c r="G510" s="252" t="s">
        <v>879</v>
      </c>
      <c r="H510" s="282" t="s">
        <v>637</v>
      </c>
      <c r="I510" s="295" t="s">
        <v>815</v>
      </c>
      <c r="J510" s="282" t="s">
        <v>0</v>
      </c>
      <c r="K510" s="282" t="s">
        <v>452</v>
      </c>
      <c r="L510" s="297" t="s">
        <v>857</v>
      </c>
      <c r="M510" s="55" t="s">
        <v>236</v>
      </c>
      <c r="N510" s="282" t="s">
        <v>1215</v>
      </c>
      <c r="O510" s="238" t="s">
        <v>54</v>
      </c>
      <c r="P510" s="64" t="str">
        <f ca="1">IF(AND(OR(INDIRECT("K" &amp; ROW())="NAV-Premium",INDIRECT("K" &amp; ROW())="DA-Premium"),INDIRECT("M" &amp; ROW())="PARTITION_SCHEMA128__NavPiviJpn", INDIRECT("O" &amp; ROW())="JPN_SDB"),'SDB vs GN'!$B$41, IF(INDIRECT("H" &amp; ROW())="Chenc",'SDB vs GN'!$B$40, VLOOKUP(INDIRECT("O" &amp; ROW()),'SDB vs GN'!$A$16:$B$38,2,FALSE)))</f>
        <v>731_EUR</v>
      </c>
      <c r="Q510" s="79" t="s">
        <v>396</v>
      </c>
      <c r="R510" s="165" t="s">
        <v>61</v>
      </c>
      <c r="S510" s="340" t="s">
        <v>10</v>
      </c>
      <c r="T510" s="295" t="s">
        <v>449</v>
      </c>
      <c r="U510" s="332" t="s">
        <v>816</v>
      </c>
      <c r="V510" s="172" t="s">
        <v>872</v>
      </c>
      <c r="W510" s="298" t="s">
        <v>447</v>
      </c>
      <c r="X510" s="297" t="s">
        <v>521</v>
      </c>
      <c r="Y510" s="282" t="s">
        <v>1286</v>
      </c>
      <c r="Z510" s="282" t="s">
        <v>1592</v>
      </c>
      <c r="AA510" s="299"/>
      <c r="AB510" s="300" t="s">
        <v>225</v>
      </c>
      <c r="AC510" s="301" t="s">
        <v>2415</v>
      </c>
      <c r="AD510" s="67" t="s">
        <v>888</v>
      </c>
      <c r="AE510" s="302"/>
      <c r="AF510" s="302"/>
      <c r="AG510" s="302"/>
      <c r="AH510" s="302" t="s">
        <v>2414</v>
      </c>
    </row>
    <row r="511" spans="1:38" ht="26.4">
      <c r="A511" s="51">
        <v>502</v>
      </c>
      <c r="B511" s="81" t="str">
        <f t="shared" ref="B511:B512" si="19">DEC2HEX(A511,4)</f>
        <v>01F6</v>
      </c>
      <c r="C511" s="163" t="s">
        <v>1935</v>
      </c>
      <c r="D511" s="94" t="s">
        <v>136</v>
      </c>
      <c r="E511" s="314" t="s">
        <v>1233</v>
      </c>
      <c r="F511" s="327" t="s">
        <v>1054</v>
      </c>
      <c r="G511" s="177" t="s">
        <v>344</v>
      </c>
      <c r="H511" s="55" t="s">
        <v>637</v>
      </c>
      <c r="I511" s="94" t="s">
        <v>4</v>
      </c>
      <c r="J511" s="55" t="s">
        <v>0</v>
      </c>
      <c r="K511" s="127" t="s">
        <v>451</v>
      </c>
      <c r="L511" s="176" t="s">
        <v>1936</v>
      </c>
      <c r="M511" s="55" t="s">
        <v>255</v>
      </c>
      <c r="N511" s="282" t="s">
        <v>1215</v>
      </c>
      <c r="O511" s="374" t="s">
        <v>53</v>
      </c>
      <c r="P511" s="64" t="str">
        <f ca="1">IF(AND(OR(INDIRECT("K" &amp; ROW())="NAV-Premium",INDIRECT("K" &amp; ROW())="DA-Premium"),INDIRECT("M" &amp; ROW())="PARTITION_SCHEMA128__NavPiviJpn", INDIRECT("O" &amp; ROW())="JPN_SDB"),'SDB vs GN'!$B$41, IF(INDIRECT("H" &amp; ROW())="Chenc",'SDB vs GN'!$B$40, VLOOKUP(INDIRECT("O" &amp; ROW()),'SDB vs GN'!$A$16:$B$38,2,FALSE)))</f>
        <v>No_Gracenote</v>
      </c>
      <c r="Q511" s="163" t="s">
        <v>1937</v>
      </c>
      <c r="R511" s="64" t="s">
        <v>59</v>
      </c>
      <c r="S511" s="157" t="s">
        <v>10</v>
      </c>
      <c r="T511" s="79" t="s">
        <v>449</v>
      </c>
      <c r="U511" s="104" t="s">
        <v>816</v>
      </c>
      <c r="V511" s="172" t="s">
        <v>7</v>
      </c>
      <c r="W511" s="76" t="s">
        <v>2184</v>
      </c>
      <c r="X511" s="64" t="s">
        <v>521</v>
      </c>
      <c r="Y511" s="282" t="s">
        <v>1286</v>
      </c>
      <c r="Z511" s="282" t="s">
        <v>1592</v>
      </c>
      <c r="AA511" s="37"/>
      <c r="AB511" s="154" t="s">
        <v>225</v>
      </c>
      <c r="AC511" s="229" t="s">
        <v>1939</v>
      </c>
      <c r="AD511" s="72" t="s">
        <v>824</v>
      </c>
      <c r="AE511" s="302"/>
      <c r="AF511" s="67"/>
      <c r="AG511" s="67"/>
      <c r="AH511" s="72" t="s">
        <v>1938</v>
      </c>
    </row>
    <row r="512" spans="1:38" ht="158.4">
      <c r="A512" s="51">
        <v>503</v>
      </c>
      <c r="B512" s="81" t="str">
        <f t="shared" si="19"/>
        <v>01F7</v>
      </c>
      <c r="C512" s="64" t="s">
        <v>1942</v>
      </c>
      <c r="D512" s="55" t="s">
        <v>704</v>
      </c>
      <c r="E512" s="282" t="s">
        <v>1233</v>
      </c>
      <c r="F512" s="178" t="s">
        <v>1044</v>
      </c>
      <c r="G512" s="178" t="s">
        <v>345</v>
      </c>
      <c r="H512" s="282" t="s">
        <v>637</v>
      </c>
      <c r="I512" s="295" t="s">
        <v>815</v>
      </c>
      <c r="J512" s="282" t="s">
        <v>0</v>
      </c>
      <c r="K512" s="282" t="s">
        <v>452</v>
      </c>
      <c r="L512" s="100" t="s">
        <v>1271</v>
      </c>
      <c r="M512" s="55" t="s">
        <v>257</v>
      </c>
      <c r="N512" s="282" t="s">
        <v>1215</v>
      </c>
      <c r="O512" s="296" t="s">
        <v>84</v>
      </c>
      <c r="P512" s="64" t="str">
        <f ca="1">IF(AND(OR(INDIRECT("K" &amp; ROW())="NAV-Premium",INDIRECT("K" &amp; ROW())="DA-Premium"),INDIRECT("M" &amp; ROW())="PARTITION_SCHEMA128__NavPiviJpn", INDIRECT("O" &amp; ROW())="JPN_SDB"),'SDB vs GN'!$B$41, IF(INDIRECT("H" &amp; ROW())="Chenc",'SDB vs GN'!$B$40, VLOOKUP(INDIRECT("O" &amp; ROW()),'SDB vs GN'!$A$16:$B$38,2,FALSE)))</f>
        <v>727_NAM</v>
      </c>
      <c r="Q512" s="79" t="s">
        <v>396</v>
      </c>
      <c r="R512" s="64" t="s">
        <v>59</v>
      </c>
      <c r="S512" s="340" t="s">
        <v>10</v>
      </c>
      <c r="T512" s="367" t="s">
        <v>450</v>
      </c>
      <c r="U512" s="332" t="s">
        <v>816</v>
      </c>
      <c r="V512" s="101" t="s">
        <v>608</v>
      </c>
      <c r="W512" s="298" t="s">
        <v>447</v>
      </c>
      <c r="X512" s="64" t="s">
        <v>522</v>
      </c>
      <c r="Y512" s="282" t="s">
        <v>1286</v>
      </c>
      <c r="Z512" s="282" t="s">
        <v>1592</v>
      </c>
      <c r="AA512" s="299"/>
      <c r="AB512" s="300" t="s">
        <v>225</v>
      </c>
      <c r="AC512" s="301" t="s">
        <v>2407</v>
      </c>
      <c r="AD512" s="72" t="s">
        <v>808</v>
      </c>
      <c r="AE512" s="302"/>
      <c r="AF512" s="302"/>
      <c r="AG512" s="302"/>
      <c r="AH512" s="302" t="s">
        <v>2408</v>
      </c>
    </row>
    <row r="513" spans="1:34" ht="26.4">
      <c r="A513" s="51">
        <v>504</v>
      </c>
      <c r="B513" s="81" t="str">
        <f t="shared" ref="B513:B516" si="20">DEC2HEX(A513,4)</f>
        <v>01F8</v>
      </c>
      <c r="C513" s="72" t="s">
        <v>1944</v>
      </c>
      <c r="D513" s="55" t="s">
        <v>704</v>
      </c>
      <c r="E513" s="314" t="s">
        <v>1233</v>
      </c>
      <c r="F513" s="178" t="s">
        <v>1044</v>
      </c>
      <c r="G513" s="178" t="s">
        <v>345</v>
      </c>
      <c r="H513" s="282" t="s">
        <v>637</v>
      </c>
      <c r="I513" s="295" t="s">
        <v>815</v>
      </c>
      <c r="J513" s="282" t="s">
        <v>0</v>
      </c>
      <c r="K513" s="282" t="s">
        <v>452</v>
      </c>
      <c r="L513" s="100" t="s">
        <v>1271</v>
      </c>
      <c r="M513" s="55" t="s">
        <v>257</v>
      </c>
      <c r="N513" s="282" t="s">
        <v>1215</v>
      </c>
      <c r="O513" s="296" t="s">
        <v>84</v>
      </c>
      <c r="P513" s="64" t="str">
        <f ca="1">IF(AND(OR(INDIRECT("K" &amp; ROW())="NAV-Premium",INDIRECT("K" &amp; ROW())="DA-Premium"),INDIRECT("M" &amp; ROW())="PARTITION_SCHEMA128__NavPiviJpn", INDIRECT("O" &amp; ROW())="JPN_SDB"),'SDB vs GN'!$B$41, IF(INDIRECT("H" &amp; ROW())="Chenc",'SDB vs GN'!$B$40, VLOOKUP(INDIRECT("O" &amp; ROW()),'SDB vs GN'!$A$16:$B$38,2,FALSE)))</f>
        <v>727_NAM</v>
      </c>
      <c r="Q513" s="79" t="s">
        <v>396</v>
      </c>
      <c r="R513" s="64" t="s">
        <v>59</v>
      </c>
      <c r="S513" s="340" t="s">
        <v>10</v>
      </c>
      <c r="T513" s="295" t="s">
        <v>449</v>
      </c>
      <c r="U513" s="332" t="s">
        <v>816</v>
      </c>
      <c r="V513" s="173" t="s">
        <v>1128</v>
      </c>
      <c r="W513" s="298" t="s">
        <v>447</v>
      </c>
      <c r="X513" s="64" t="s">
        <v>521</v>
      </c>
      <c r="Y513" s="282" t="s">
        <v>1286</v>
      </c>
      <c r="Z513" s="282" t="s">
        <v>1592</v>
      </c>
      <c r="AA513" s="299"/>
      <c r="AB513" s="300" t="s">
        <v>225</v>
      </c>
      <c r="AC513" s="301" t="s">
        <v>1973</v>
      </c>
      <c r="AD513" s="72" t="s">
        <v>808</v>
      </c>
      <c r="AE513" s="302"/>
      <c r="AF513" s="302"/>
      <c r="AG513" s="302"/>
      <c r="AH513" s="72" t="s">
        <v>1974</v>
      </c>
    </row>
    <row r="514" spans="1:34">
      <c r="A514" s="51">
        <v>505</v>
      </c>
      <c r="B514" s="81" t="str">
        <f t="shared" si="20"/>
        <v>01F9</v>
      </c>
      <c r="C514" s="76" t="s">
        <v>1945</v>
      </c>
      <c r="D514" s="55" t="s">
        <v>704</v>
      </c>
      <c r="E514" s="282" t="s">
        <v>1233</v>
      </c>
      <c r="F514" s="178" t="s">
        <v>1044</v>
      </c>
      <c r="G514" s="178" t="s">
        <v>345</v>
      </c>
      <c r="H514" s="282" t="s">
        <v>637</v>
      </c>
      <c r="I514" s="295" t="s">
        <v>815</v>
      </c>
      <c r="J514" s="282" t="s">
        <v>0</v>
      </c>
      <c r="K514" s="282" t="s">
        <v>452</v>
      </c>
      <c r="L514" s="100" t="s">
        <v>1271</v>
      </c>
      <c r="M514" s="55" t="s">
        <v>257</v>
      </c>
      <c r="N514" s="282" t="s">
        <v>1215</v>
      </c>
      <c r="O514" s="296" t="s">
        <v>84</v>
      </c>
      <c r="P514" s="64" t="str">
        <f ca="1">IF(AND(OR(INDIRECT("K" &amp; ROW())="NAV-Premium",INDIRECT("K" &amp; ROW())="DA-Premium"),INDIRECT("M" &amp; ROW())="PARTITION_SCHEMA128__NavPiviJpn", INDIRECT("O" &amp; ROW())="JPN_SDB"),'SDB vs GN'!$B$41, IF(INDIRECT("H" &amp; ROW())="Chenc",'SDB vs GN'!$B$40, VLOOKUP(INDIRECT("O" &amp; ROW()),'SDB vs GN'!$A$16:$B$38,2,FALSE)))</f>
        <v>727_NAM</v>
      </c>
      <c r="Q514" s="79" t="s">
        <v>396</v>
      </c>
      <c r="R514" s="64" t="s">
        <v>59</v>
      </c>
      <c r="S514" s="340" t="s">
        <v>10</v>
      </c>
      <c r="T514" s="295" t="s">
        <v>449</v>
      </c>
      <c r="U514" s="332" t="s">
        <v>816</v>
      </c>
      <c r="V514" s="173" t="s">
        <v>1128</v>
      </c>
      <c r="W514" s="298" t="s">
        <v>447</v>
      </c>
      <c r="X514" s="64" t="s">
        <v>522</v>
      </c>
      <c r="Y514" s="282" t="s">
        <v>1286</v>
      </c>
      <c r="Z514" s="282" t="s">
        <v>1592</v>
      </c>
      <c r="AA514" s="299"/>
      <c r="AB514" s="300" t="s">
        <v>225</v>
      </c>
      <c r="AC514" s="301" t="s">
        <v>1941</v>
      </c>
      <c r="AD514" s="72" t="s">
        <v>808</v>
      </c>
      <c r="AE514" s="302"/>
      <c r="AF514" s="302"/>
      <c r="AG514" s="302"/>
      <c r="AH514" s="72" t="s">
        <v>1952</v>
      </c>
    </row>
    <row r="515" spans="1:34">
      <c r="A515" s="51">
        <v>506</v>
      </c>
      <c r="B515" s="81" t="str">
        <f t="shared" si="20"/>
        <v>01FA</v>
      </c>
      <c r="C515" s="76" t="s">
        <v>1948</v>
      </c>
      <c r="D515" s="55" t="s">
        <v>704</v>
      </c>
      <c r="E515" s="282" t="s">
        <v>1233</v>
      </c>
      <c r="F515" s="178" t="s">
        <v>1044</v>
      </c>
      <c r="G515" s="178" t="s">
        <v>345</v>
      </c>
      <c r="H515" s="55" t="s">
        <v>637</v>
      </c>
      <c r="I515" s="79" t="s">
        <v>815</v>
      </c>
      <c r="J515" s="55" t="s">
        <v>0</v>
      </c>
      <c r="K515" s="55" t="s">
        <v>452</v>
      </c>
      <c r="L515" s="158" t="s">
        <v>499</v>
      </c>
      <c r="M515" s="55" t="s">
        <v>257</v>
      </c>
      <c r="N515" s="282" t="s">
        <v>1215</v>
      </c>
      <c r="O515" s="238" t="s">
        <v>84</v>
      </c>
      <c r="P515" s="64" t="str">
        <f ca="1">IF(AND(OR(INDIRECT("K" &amp; ROW())="NAV-Premium",INDIRECT("K" &amp; ROW())="DA-Premium"),INDIRECT("M" &amp; ROW())="PARTITION_SCHEMA128__NavPiviJpn", INDIRECT("O" &amp; ROW())="JPN_SDB"),'SDB vs GN'!$B$41, IF(INDIRECT("H" &amp; ROW())="Chenc",'SDB vs GN'!$B$40, VLOOKUP(INDIRECT("O" &amp; ROW()),'SDB vs GN'!$A$16:$B$38,2,FALSE)))</f>
        <v>727_NAM</v>
      </c>
      <c r="Q515" s="79" t="s">
        <v>396</v>
      </c>
      <c r="R515" s="64" t="s">
        <v>59</v>
      </c>
      <c r="S515" s="103" t="s">
        <v>10</v>
      </c>
      <c r="T515" s="64" t="s">
        <v>449</v>
      </c>
      <c r="U515" s="104" t="s">
        <v>816</v>
      </c>
      <c r="V515" s="173" t="s">
        <v>1131</v>
      </c>
      <c r="W515" s="76" t="s">
        <v>447</v>
      </c>
      <c r="X515" s="64" t="s">
        <v>521</v>
      </c>
      <c r="Y515" s="282" t="s">
        <v>1286</v>
      </c>
      <c r="Z515" s="282" t="s">
        <v>1592</v>
      </c>
      <c r="AA515" s="96"/>
      <c r="AB515" s="131" t="s">
        <v>225</v>
      </c>
      <c r="AC515" s="226" t="s">
        <v>1953</v>
      </c>
      <c r="AD515" s="72" t="s">
        <v>808</v>
      </c>
      <c r="AE515" s="302"/>
      <c r="AF515" s="67"/>
      <c r="AG515" s="67"/>
      <c r="AH515" s="72" t="s">
        <v>1954</v>
      </c>
    </row>
    <row r="516" spans="1:34">
      <c r="A516" s="51">
        <v>507</v>
      </c>
      <c r="B516" s="81" t="str">
        <f t="shared" si="20"/>
        <v>01FB</v>
      </c>
      <c r="C516" s="415" t="s">
        <v>1947</v>
      </c>
      <c r="D516" s="55" t="s">
        <v>704</v>
      </c>
      <c r="E516" s="282" t="s">
        <v>1233</v>
      </c>
      <c r="F516" s="178" t="s">
        <v>1044</v>
      </c>
      <c r="G516" s="178" t="s">
        <v>345</v>
      </c>
      <c r="H516" s="55" t="s">
        <v>637</v>
      </c>
      <c r="I516" s="79" t="s">
        <v>815</v>
      </c>
      <c r="J516" s="55" t="s">
        <v>0</v>
      </c>
      <c r="K516" s="55" t="s">
        <v>452</v>
      </c>
      <c r="L516" s="158" t="s">
        <v>499</v>
      </c>
      <c r="M516" s="55" t="s">
        <v>257</v>
      </c>
      <c r="N516" s="282" t="s">
        <v>1215</v>
      </c>
      <c r="O516" s="238" t="s">
        <v>84</v>
      </c>
      <c r="P516" s="64" t="str">
        <f ca="1">IF(AND(OR(INDIRECT("K" &amp; ROW())="NAV-Premium",INDIRECT("K" &amp; ROW())="DA-Premium"),INDIRECT("M" &amp; ROW())="PARTITION_SCHEMA128__NavPiviJpn", INDIRECT("O" &amp; ROW())="JPN_SDB"),'SDB vs GN'!$B$41, IF(INDIRECT("H" &amp; ROW())="Chenc",'SDB vs GN'!$B$40, VLOOKUP(INDIRECT("O" &amp; ROW()),'SDB vs GN'!$A$16:$B$38,2,FALSE)))</f>
        <v>727_NAM</v>
      </c>
      <c r="Q516" s="79" t="s">
        <v>396</v>
      </c>
      <c r="R516" s="64" t="s">
        <v>59</v>
      </c>
      <c r="S516" s="103" t="s">
        <v>10</v>
      </c>
      <c r="T516" s="64" t="s">
        <v>449</v>
      </c>
      <c r="U516" s="104" t="s">
        <v>816</v>
      </c>
      <c r="V516" s="173" t="s">
        <v>1131</v>
      </c>
      <c r="W516" s="76" t="s">
        <v>447</v>
      </c>
      <c r="X516" s="64" t="s">
        <v>522</v>
      </c>
      <c r="Y516" s="282" t="s">
        <v>1286</v>
      </c>
      <c r="Z516" s="282" t="s">
        <v>1592</v>
      </c>
      <c r="AA516" s="96"/>
      <c r="AB516" s="131" t="s">
        <v>225</v>
      </c>
      <c r="AC516" s="399" t="s">
        <v>1949</v>
      </c>
      <c r="AD516" s="72" t="s">
        <v>808</v>
      </c>
      <c r="AE516" s="302"/>
      <c r="AF516" s="67"/>
      <c r="AG516" s="67"/>
      <c r="AH516" s="403" t="s">
        <v>1951</v>
      </c>
    </row>
    <row r="517" spans="1:34" ht="39.6">
      <c r="A517" s="51">
        <v>508</v>
      </c>
      <c r="B517" s="81" t="str">
        <f t="shared" ref="B517:B526" si="21">DEC2HEX(A517,4)</f>
        <v>01FC</v>
      </c>
      <c r="C517" s="226" t="s">
        <v>1782</v>
      </c>
      <c r="D517" s="94" t="s">
        <v>2011</v>
      </c>
      <c r="E517" s="282" t="s">
        <v>1233</v>
      </c>
      <c r="F517" s="169" t="s">
        <v>1056</v>
      </c>
      <c r="G517" s="169" t="s">
        <v>347</v>
      </c>
      <c r="H517" s="282" t="s">
        <v>637</v>
      </c>
      <c r="I517" s="295" t="s">
        <v>815</v>
      </c>
      <c r="J517" s="127" t="s">
        <v>1</v>
      </c>
      <c r="K517" s="282" t="s">
        <v>750</v>
      </c>
      <c r="L517" s="64" t="s">
        <v>856</v>
      </c>
      <c r="M517" s="55" t="s">
        <v>1612</v>
      </c>
      <c r="N517" s="282" t="s">
        <v>1215</v>
      </c>
      <c r="O517" s="238" t="s">
        <v>97</v>
      </c>
      <c r="P517" s="297" t="str">
        <f ca="1">IF(AND(OR(INDIRECT("K" &amp; ROW())="NAV-Premium",INDIRECT("K" &amp; ROW())="DA-Premium"),INDIRECT("M" &amp; ROW())="PARTITION_SCHEMA128__NavPiviJpn", INDIRECT("O" &amp; ROW())="JPN_SDB"),'SDB vs GN'!$B$41, IF(INDIRECT("H" &amp; ROW())="Chenc",'SDB vs GN'!$B$40, VLOOKUP(INDIRECT("O" &amp; ROW()),'SDB vs GN'!$A$16:$B$38,2,FALSE)))</f>
        <v>734_CN_831_AUSKRJPN</v>
      </c>
      <c r="Q517" s="79" t="s">
        <v>396</v>
      </c>
      <c r="R517" s="165" t="s">
        <v>61</v>
      </c>
      <c r="S517" s="340" t="s">
        <v>10</v>
      </c>
      <c r="T517" s="295" t="s">
        <v>449</v>
      </c>
      <c r="U517" s="332" t="s">
        <v>816</v>
      </c>
      <c r="V517" s="172" t="s">
        <v>551</v>
      </c>
      <c r="W517" s="298" t="s">
        <v>447</v>
      </c>
      <c r="X517" s="297" t="s">
        <v>521</v>
      </c>
      <c r="Y517" s="282" t="s">
        <v>1286</v>
      </c>
      <c r="Z517" s="282" t="s">
        <v>1592</v>
      </c>
      <c r="AA517" s="299"/>
      <c r="AB517" s="300" t="s">
        <v>225</v>
      </c>
      <c r="AC517" s="301" t="s">
        <v>2621</v>
      </c>
      <c r="AD517" s="67" t="s">
        <v>889</v>
      </c>
      <c r="AE517" s="302"/>
      <c r="AF517" s="67"/>
      <c r="AG517" s="67"/>
      <c r="AH517" s="302" t="s">
        <v>2620</v>
      </c>
    </row>
    <row r="518" spans="1:34" ht="79.2">
      <c r="A518" s="51">
        <v>509</v>
      </c>
      <c r="B518" s="81" t="str">
        <f t="shared" si="21"/>
        <v>01FD</v>
      </c>
      <c r="C518" s="224" t="s">
        <v>2012</v>
      </c>
      <c r="D518" s="94" t="s">
        <v>2011</v>
      </c>
      <c r="E518" s="314" t="s">
        <v>1233</v>
      </c>
      <c r="F518" s="169" t="s">
        <v>1056</v>
      </c>
      <c r="G518" s="169" t="s">
        <v>347</v>
      </c>
      <c r="H518" s="282" t="s">
        <v>637</v>
      </c>
      <c r="I518" s="295" t="s">
        <v>815</v>
      </c>
      <c r="J518" s="127" t="s">
        <v>1</v>
      </c>
      <c r="K518" s="282" t="s">
        <v>750</v>
      </c>
      <c r="L518" s="64" t="s">
        <v>856</v>
      </c>
      <c r="M518" s="55" t="s">
        <v>1612</v>
      </c>
      <c r="N518" s="282" t="s">
        <v>1215</v>
      </c>
      <c r="O518" s="238" t="s">
        <v>73</v>
      </c>
      <c r="P518" s="297" t="str">
        <f ca="1">IF(AND(OR(INDIRECT("K" &amp; ROW())="NAV-Premium",INDIRECT("K" &amp; ROW())="DA-Premium"),INDIRECT("M" &amp; ROW())="PARTITION_SCHEMA128__NavPiviJpn", INDIRECT("O" &amp; ROW())="JPN_SDB"),'SDB vs GN'!$B$41, IF(INDIRECT("H" &amp; ROW())="Chenc",'SDB vs GN'!$B$40, VLOOKUP(INDIRECT("O" &amp; ROW()),'SDB vs GN'!$A$16:$B$38,2,FALSE)))</f>
        <v>731_EUR</v>
      </c>
      <c r="Q518" s="79" t="s">
        <v>396</v>
      </c>
      <c r="R518" s="64" t="s">
        <v>59</v>
      </c>
      <c r="S518" s="340" t="s">
        <v>10</v>
      </c>
      <c r="T518" s="295" t="s">
        <v>449</v>
      </c>
      <c r="U518" s="332" t="s">
        <v>816</v>
      </c>
      <c r="V518" s="172" t="s">
        <v>1249</v>
      </c>
      <c r="W518" s="298" t="s">
        <v>447</v>
      </c>
      <c r="X518" s="297" t="s">
        <v>521</v>
      </c>
      <c r="Y518" s="282" t="s">
        <v>1286</v>
      </c>
      <c r="Z518" s="282" t="s">
        <v>1592</v>
      </c>
      <c r="AA518" s="299"/>
      <c r="AB518" s="300" t="s">
        <v>225</v>
      </c>
      <c r="AC518" s="301" t="s">
        <v>2234</v>
      </c>
      <c r="AD518" s="67" t="s">
        <v>889</v>
      </c>
      <c r="AE518" s="302"/>
      <c r="AF518" s="67"/>
      <c r="AG518" s="67"/>
      <c r="AH518" s="302" t="s">
        <v>2233</v>
      </c>
    </row>
    <row r="519" spans="1:34" ht="66">
      <c r="A519" s="51">
        <v>510</v>
      </c>
      <c r="B519" s="81" t="str">
        <f t="shared" si="21"/>
        <v>01FE</v>
      </c>
      <c r="C519" s="226" t="s">
        <v>1775</v>
      </c>
      <c r="D519" s="94" t="s">
        <v>2011</v>
      </c>
      <c r="E519" s="282" t="s">
        <v>1233</v>
      </c>
      <c r="F519" s="169" t="s">
        <v>1056</v>
      </c>
      <c r="G519" s="169" t="s">
        <v>347</v>
      </c>
      <c r="H519" s="282" t="s">
        <v>637</v>
      </c>
      <c r="I519" s="295" t="s">
        <v>815</v>
      </c>
      <c r="J519" s="127" t="s">
        <v>1</v>
      </c>
      <c r="K519" s="282" t="s">
        <v>750</v>
      </c>
      <c r="L519" s="64" t="s">
        <v>856</v>
      </c>
      <c r="M519" s="55" t="s">
        <v>1613</v>
      </c>
      <c r="N519" s="282" t="s">
        <v>1215</v>
      </c>
      <c r="O519" s="239" t="s">
        <v>54</v>
      </c>
      <c r="P519" s="297" t="str">
        <f ca="1">IF(AND(OR(INDIRECT("K" &amp; ROW())="NAV-Premium",INDIRECT("K" &amp; ROW())="DA-Premium"),INDIRECT("M" &amp; ROW())="PARTITION_SCHEMA128__NavPiviJpn", INDIRECT("O" &amp; ROW())="JPN_SDB"),'SDB vs GN'!$B$41, IF(INDIRECT("H" &amp; ROW())="Chenc",'SDB vs GN'!$B$40, VLOOKUP(INDIRECT("O" &amp; ROW()),'SDB vs GN'!$A$16:$B$38,2,FALSE)))</f>
        <v>731_EUR</v>
      </c>
      <c r="Q519" s="79" t="s">
        <v>396</v>
      </c>
      <c r="R519" s="165" t="s">
        <v>61</v>
      </c>
      <c r="S519" s="340" t="s">
        <v>10</v>
      </c>
      <c r="T519" s="295" t="s">
        <v>449</v>
      </c>
      <c r="U519" s="332" t="s">
        <v>816</v>
      </c>
      <c r="V519" s="172" t="s">
        <v>528</v>
      </c>
      <c r="W519" s="298" t="s">
        <v>447</v>
      </c>
      <c r="X519" s="297" t="s">
        <v>521</v>
      </c>
      <c r="Y519" s="282" t="s">
        <v>1286</v>
      </c>
      <c r="Z519" s="282" t="s">
        <v>1592</v>
      </c>
      <c r="AA519" s="299"/>
      <c r="AB519" s="300" t="s">
        <v>225</v>
      </c>
      <c r="AC519" s="301" t="s">
        <v>2388</v>
      </c>
      <c r="AD519" s="67" t="s">
        <v>889</v>
      </c>
      <c r="AE519" s="302"/>
      <c r="AF519" s="67"/>
      <c r="AG519" s="67"/>
      <c r="AH519" s="302" t="s">
        <v>2387</v>
      </c>
    </row>
    <row r="520" spans="1:34" ht="39.6">
      <c r="A520" s="51">
        <v>511</v>
      </c>
      <c r="B520" s="81" t="str">
        <f t="shared" si="21"/>
        <v>01FF</v>
      </c>
      <c r="C520" s="61" t="s">
        <v>1778</v>
      </c>
      <c r="D520" s="94" t="s">
        <v>2011</v>
      </c>
      <c r="E520" s="314" t="s">
        <v>1233</v>
      </c>
      <c r="F520" s="169" t="s">
        <v>1056</v>
      </c>
      <c r="G520" s="169" t="s">
        <v>347</v>
      </c>
      <c r="H520" s="282" t="s">
        <v>637</v>
      </c>
      <c r="I520" s="295" t="s">
        <v>815</v>
      </c>
      <c r="J520" s="127" t="s">
        <v>1</v>
      </c>
      <c r="K520" s="282" t="s">
        <v>750</v>
      </c>
      <c r="L520" s="64" t="s">
        <v>856</v>
      </c>
      <c r="M520" s="55" t="s">
        <v>1612</v>
      </c>
      <c r="N520" s="282" t="s">
        <v>1215</v>
      </c>
      <c r="O520" s="238" t="s">
        <v>825</v>
      </c>
      <c r="P520" s="297" t="str">
        <f ca="1">IF(AND(OR(INDIRECT("K" &amp; ROW())="NAV-Premium",INDIRECT("K" &amp; ROW())="DA-Premium"),INDIRECT("M" &amp; ROW())="PARTITION_SCHEMA128__NavPiviJpn", INDIRECT("O" &amp; ROW())="JPN_SDB"),'SDB vs GN'!$B$41, IF(INDIRECT("H" &amp; ROW())="Chenc",'SDB vs GN'!$B$40, VLOOKUP(INDIRECT("O" &amp; ROW()),'SDB vs GN'!$A$16:$B$38,2,FALSE)))</f>
        <v>831_AUSKRJPN</v>
      </c>
      <c r="Q520" s="79" t="s">
        <v>396</v>
      </c>
      <c r="R520" s="165" t="s">
        <v>61</v>
      </c>
      <c r="S520" s="340" t="s">
        <v>10</v>
      </c>
      <c r="T520" s="295" t="s">
        <v>449</v>
      </c>
      <c r="U520" s="332" t="s">
        <v>816</v>
      </c>
      <c r="V520" s="172" t="s">
        <v>544</v>
      </c>
      <c r="W520" s="298" t="s">
        <v>447</v>
      </c>
      <c r="X520" s="297" t="s">
        <v>521</v>
      </c>
      <c r="Y520" s="282" t="s">
        <v>1286</v>
      </c>
      <c r="Z520" s="282" t="s">
        <v>1592</v>
      </c>
      <c r="AA520" s="299"/>
      <c r="AB520" s="300" t="s">
        <v>225</v>
      </c>
      <c r="AC520" s="301" t="s">
        <v>2623</v>
      </c>
      <c r="AD520" s="67" t="s">
        <v>889</v>
      </c>
      <c r="AE520" s="302"/>
      <c r="AF520" s="67"/>
      <c r="AG520" s="67"/>
      <c r="AH520" s="301" t="s">
        <v>2622</v>
      </c>
    </row>
    <row r="521" spans="1:34" ht="26.4">
      <c r="A521" s="51">
        <v>512</v>
      </c>
      <c r="B521" s="81" t="str">
        <f t="shared" si="21"/>
        <v>0200</v>
      </c>
      <c r="C521" s="224" t="s">
        <v>1784</v>
      </c>
      <c r="D521" s="94" t="s">
        <v>2011</v>
      </c>
      <c r="E521" s="282" t="s">
        <v>1233</v>
      </c>
      <c r="F521" s="169" t="s">
        <v>1056</v>
      </c>
      <c r="G521" s="169" t="s">
        <v>347</v>
      </c>
      <c r="H521" s="282" t="s">
        <v>637</v>
      </c>
      <c r="I521" s="295" t="s">
        <v>815</v>
      </c>
      <c r="J521" s="127" t="s">
        <v>1</v>
      </c>
      <c r="K521" s="282" t="s">
        <v>750</v>
      </c>
      <c r="L521" s="64" t="s">
        <v>856</v>
      </c>
      <c r="M521" s="55" t="s">
        <v>1612</v>
      </c>
      <c r="N521" s="282" t="s">
        <v>1215</v>
      </c>
      <c r="O521" s="238" t="s">
        <v>825</v>
      </c>
      <c r="P521" s="297" t="str">
        <f ca="1">IF(AND(OR(INDIRECT("K" &amp; ROW())="NAV-Premium",INDIRECT("K" &amp; ROW())="DA-Premium"),INDIRECT("M" &amp; ROW())="PARTITION_SCHEMA128__NavPiviJpn", INDIRECT("O" &amp; ROW())="JPN_SDB"),'SDB vs GN'!$B$41, IF(INDIRECT("H" &amp; ROW())="Chenc",'SDB vs GN'!$B$40, VLOOKUP(INDIRECT("O" &amp; ROW()),'SDB vs GN'!$A$16:$B$38,2,FALSE)))</f>
        <v>831_AUSKRJPN</v>
      </c>
      <c r="Q521" s="79" t="s">
        <v>396</v>
      </c>
      <c r="R521" s="64" t="s">
        <v>59</v>
      </c>
      <c r="S521" s="340" t="s">
        <v>10</v>
      </c>
      <c r="T521" s="295" t="s">
        <v>449</v>
      </c>
      <c r="U521" s="332" t="s">
        <v>816</v>
      </c>
      <c r="V521" s="172" t="s">
        <v>770</v>
      </c>
      <c r="W521" s="298" t="s">
        <v>447</v>
      </c>
      <c r="X521" s="297" t="s">
        <v>521</v>
      </c>
      <c r="Y521" s="282" t="s">
        <v>1286</v>
      </c>
      <c r="Z521" s="282" t="s">
        <v>1592</v>
      </c>
      <c r="AA521" s="299"/>
      <c r="AB521" s="300" t="s">
        <v>225</v>
      </c>
      <c r="AC521" s="301" t="s">
        <v>2287</v>
      </c>
      <c r="AD521" s="67" t="s">
        <v>889</v>
      </c>
      <c r="AE521" s="302"/>
      <c r="AF521" s="67"/>
      <c r="AG521" s="67"/>
      <c r="AH521" s="302" t="s">
        <v>2286</v>
      </c>
    </row>
    <row r="522" spans="1:34" ht="26.4">
      <c r="A522" s="51">
        <v>513</v>
      </c>
      <c r="B522" s="81" t="str">
        <f t="shared" si="21"/>
        <v>0201</v>
      </c>
      <c r="C522" s="224" t="s">
        <v>1780</v>
      </c>
      <c r="D522" s="94" t="s">
        <v>2011</v>
      </c>
      <c r="E522" s="282" t="s">
        <v>1233</v>
      </c>
      <c r="F522" s="169" t="s">
        <v>1056</v>
      </c>
      <c r="G522" s="169" t="s">
        <v>347</v>
      </c>
      <c r="H522" s="282" t="s">
        <v>637</v>
      </c>
      <c r="I522" s="295" t="s">
        <v>815</v>
      </c>
      <c r="J522" s="127" t="s">
        <v>1</v>
      </c>
      <c r="K522" s="282" t="s">
        <v>750</v>
      </c>
      <c r="L522" s="64" t="s">
        <v>856</v>
      </c>
      <c r="M522" s="55" t="s">
        <v>1612</v>
      </c>
      <c r="N522" s="282" t="s">
        <v>1215</v>
      </c>
      <c r="O522" s="238" t="s">
        <v>825</v>
      </c>
      <c r="P522" s="297" t="str">
        <f ca="1">IF(AND(OR(INDIRECT("K" &amp; ROW())="NAV-Premium",INDIRECT("K" &amp; ROW())="DA-Premium"),INDIRECT("M" &amp; ROW())="PARTITION_SCHEMA128__NavPiviJpn", INDIRECT("O" &amp; ROW())="JPN_SDB"),'SDB vs GN'!$B$41, IF(INDIRECT("H" &amp; ROW())="Chenc",'SDB vs GN'!$B$40, VLOOKUP(INDIRECT("O" &amp; ROW()),'SDB vs GN'!$A$16:$B$38,2,FALSE)))</f>
        <v>831_AUSKRJPN</v>
      </c>
      <c r="Q522" s="79" t="s">
        <v>396</v>
      </c>
      <c r="R522" s="64" t="s">
        <v>59</v>
      </c>
      <c r="S522" s="340" t="s">
        <v>10</v>
      </c>
      <c r="T522" s="295" t="s">
        <v>449</v>
      </c>
      <c r="U522" s="332" t="s">
        <v>816</v>
      </c>
      <c r="V522" s="172" t="s">
        <v>545</v>
      </c>
      <c r="W522" s="298" t="s">
        <v>447</v>
      </c>
      <c r="X522" s="297" t="s">
        <v>521</v>
      </c>
      <c r="Y522" s="282" t="s">
        <v>1286</v>
      </c>
      <c r="Z522" s="282" t="s">
        <v>1592</v>
      </c>
      <c r="AA522" s="299"/>
      <c r="AB522" s="300" t="s">
        <v>225</v>
      </c>
      <c r="AC522" s="301" t="s">
        <v>2289</v>
      </c>
      <c r="AD522" s="67" t="s">
        <v>889</v>
      </c>
      <c r="AE522" s="302"/>
      <c r="AF522" s="67"/>
      <c r="AG522" s="67"/>
      <c r="AH522" s="302" t="s">
        <v>2288</v>
      </c>
    </row>
    <row r="523" spans="1:34" ht="26.4">
      <c r="A523" s="51">
        <v>514</v>
      </c>
      <c r="B523" s="81" t="str">
        <f t="shared" si="21"/>
        <v>0202</v>
      </c>
      <c r="C523" s="72" t="s">
        <v>1777</v>
      </c>
      <c r="D523" s="94" t="s">
        <v>2011</v>
      </c>
      <c r="E523" s="314" t="s">
        <v>1233</v>
      </c>
      <c r="F523" s="169" t="s">
        <v>1056</v>
      </c>
      <c r="G523" s="169" t="s">
        <v>347</v>
      </c>
      <c r="H523" s="282" t="s">
        <v>637</v>
      </c>
      <c r="I523" s="295" t="s">
        <v>815</v>
      </c>
      <c r="J523" s="127" t="s">
        <v>1</v>
      </c>
      <c r="K523" s="282" t="s">
        <v>750</v>
      </c>
      <c r="L523" s="64" t="s">
        <v>856</v>
      </c>
      <c r="M523" s="55" t="s">
        <v>1613</v>
      </c>
      <c r="N523" s="282" t="s">
        <v>1215</v>
      </c>
      <c r="O523" s="239" t="s">
        <v>54</v>
      </c>
      <c r="P523" s="297" t="str">
        <f ca="1">IF(AND(OR(INDIRECT("K" &amp; ROW())="NAV-Premium",INDIRECT("K" &amp; ROW())="DA-Premium"),INDIRECT("M" &amp; ROW())="PARTITION_SCHEMA128__NavPiviJpn", INDIRECT("O" &amp; ROW())="JPN_SDB"),'SDB vs GN'!$B$41, IF(INDIRECT("H" &amp; ROW())="Chenc",'SDB vs GN'!$B$40, VLOOKUP(INDIRECT("O" &amp; ROW()),'SDB vs GN'!$A$16:$B$38,2,FALSE)))</f>
        <v>731_EUR</v>
      </c>
      <c r="Q523" s="79" t="s">
        <v>396</v>
      </c>
      <c r="R523" s="64" t="s">
        <v>59</v>
      </c>
      <c r="S523" s="340" t="s">
        <v>10</v>
      </c>
      <c r="T523" s="295" t="s">
        <v>449</v>
      </c>
      <c r="U523" s="332" t="s">
        <v>816</v>
      </c>
      <c r="V523" s="172" t="s">
        <v>547</v>
      </c>
      <c r="W523" s="298" t="s">
        <v>447</v>
      </c>
      <c r="X523" s="297" t="s">
        <v>521</v>
      </c>
      <c r="Y523" s="282" t="s">
        <v>1286</v>
      </c>
      <c r="Z523" s="282" t="s">
        <v>1592</v>
      </c>
      <c r="AA523" s="299"/>
      <c r="AB523" s="300" t="s">
        <v>225</v>
      </c>
      <c r="AC523" s="301" t="s">
        <v>2291</v>
      </c>
      <c r="AD523" s="67" t="s">
        <v>889</v>
      </c>
      <c r="AE523" s="302"/>
      <c r="AF523" s="67"/>
      <c r="AG523" s="67"/>
      <c r="AH523" s="302" t="s">
        <v>2290</v>
      </c>
    </row>
    <row r="524" spans="1:34">
      <c r="A524" s="51">
        <v>515</v>
      </c>
      <c r="B524" s="81" t="str">
        <f t="shared" si="21"/>
        <v>0203</v>
      </c>
      <c r="C524" s="416" t="s">
        <v>1779</v>
      </c>
      <c r="D524" s="94" t="s">
        <v>2011</v>
      </c>
      <c r="E524" s="295" t="s">
        <v>1233</v>
      </c>
      <c r="F524" s="169" t="s">
        <v>1056</v>
      </c>
      <c r="G524" s="169" t="s">
        <v>347</v>
      </c>
      <c r="H524" s="282" t="s">
        <v>637</v>
      </c>
      <c r="I524" s="295" t="s">
        <v>815</v>
      </c>
      <c r="J524" s="127" t="s">
        <v>1</v>
      </c>
      <c r="K524" s="55" t="s">
        <v>750</v>
      </c>
      <c r="L524" s="64" t="s">
        <v>856</v>
      </c>
      <c r="M524" s="55" t="s">
        <v>1612</v>
      </c>
      <c r="N524" s="282" t="s">
        <v>1215</v>
      </c>
      <c r="O524" s="238" t="s">
        <v>825</v>
      </c>
      <c r="P524" s="297" t="str">
        <f ca="1">IF(AND(OR(INDIRECT("K" &amp; ROW())="NAV-Premium",INDIRECT("K" &amp; ROW())="DA-Premium"),INDIRECT("M" &amp; ROW())="PARTITION_SCHEMA128__NavPiviJpn", INDIRECT("O" &amp; ROW())="JPN_SDB"),'SDB vs GN'!$B$41, IF(INDIRECT("H" &amp; ROW())="Chenc",'SDB vs GN'!$B$40, VLOOKUP(INDIRECT("O" &amp; ROW()),'SDB vs GN'!$A$16:$B$38,2,FALSE)))</f>
        <v>831_AUSKRJPN</v>
      </c>
      <c r="Q524" s="79" t="s">
        <v>396</v>
      </c>
      <c r="R524" s="64" t="s">
        <v>59</v>
      </c>
      <c r="S524" s="103" t="s">
        <v>10</v>
      </c>
      <c r="T524" s="295" t="s">
        <v>449</v>
      </c>
      <c r="U524" s="332" t="s">
        <v>816</v>
      </c>
      <c r="V524" s="172" t="s">
        <v>544</v>
      </c>
      <c r="W524" s="298" t="s">
        <v>447</v>
      </c>
      <c r="X524" s="297" t="s">
        <v>521</v>
      </c>
      <c r="Y524" s="282" t="s">
        <v>1286</v>
      </c>
      <c r="Z524" s="282" t="s">
        <v>1592</v>
      </c>
      <c r="AA524" s="299"/>
      <c r="AB524" s="300" t="s">
        <v>225</v>
      </c>
      <c r="AC524" s="399" t="s">
        <v>2006</v>
      </c>
      <c r="AD524" s="67" t="s">
        <v>889</v>
      </c>
      <c r="AE524" s="302"/>
      <c r="AF524" s="67"/>
      <c r="AG524" s="67"/>
      <c r="AH524" s="403" t="s">
        <v>2009</v>
      </c>
    </row>
    <row r="525" spans="1:34">
      <c r="A525" s="51">
        <v>516</v>
      </c>
      <c r="B525" s="81" t="str">
        <f t="shared" si="21"/>
        <v>0204</v>
      </c>
      <c r="C525" s="414" t="s">
        <v>1776</v>
      </c>
      <c r="D525" s="94" t="s">
        <v>2011</v>
      </c>
      <c r="E525" s="282" t="s">
        <v>1233</v>
      </c>
      <c r="F525" s="169" t="s">
        <v>1056</v>
      </c>
      <c r="G525" s="169" t="s">
        <v>347</v>
      </c>
      <c r="H525" s="282" t="s">
        <v>637</v>
      </c>
      <c r="I525" s="295" t="s">
        <v>815</v>
      </c>
      <c r="J525" s="127" t="s">
        <v>1</v>
      </c>
      <c r="K525" s="55" t="s">
        <v>750</v>
      </c>
      <c r="L525" s="64" t="s">
        <v>856</v>
      </c>
      <c r="M525" s="55" t="s">
        <v>1613</v>
      </c>
      <c r="N525" s="282" t="s">
        <v>1215</v>
      </c>
      <c r="O525" s="239" t="s">
        <v>54</v>
      </c>
      <c r="P525" s="297" t="str">
        <f ca="1">IF(AND(OR(INDIRECT("K" &amp; ROW())="NAV-Premium",INDIRECT("K" &amp; ROW())="DA-Premium"),INDIRECT("M" &amp; ROW())="PARTITION_SCHEMA128__NavPiviJpn", INDIRECT("O" &amp; ROW())="JPN_SDB"),'SDB vs GN'!$B$41, IF(INDIRECT("H" &amp; ROW())="Chenc",'SDB vs GN'!$B$40, VLOOKUP(INDIRECT("O" &amp; ROW()),'SDB vs GN'!$A$16:$B$38,2,FALSE)))</f>
        <v>731_EUR</v>
      </c>
      <c r="Q525" s="79" t="s">
        <v>396</v>
      </c>
      <c r="R525" s="64" t="s">
        <v>59</v>
      </c>
      <c r="S525" s="103" t="s">
        <v>10</v>
      </c>
      <c r="T525" s="295" t="s">
        <v>449</v>
      </c>
      <c r="U525" s="332" t="s">
        <v>816</v>
      </c>
      <c r="V525" s="172" t="s">
        <v>528</v>
      </c>
      <c r="W525" s="298" t="s">
        <v>447</v>
      </c>
      <c r="X525" s="297" t="s">
        <v>521</v>
      </c>
      <c r="Y525" s="282" t="s">
        <v>1286</v>
      </c>
      <c r="Z525" s="282" t="s">
        <v>1592</v>
      </c>
      <c r="AA525" s="299"/>
      <c r="AB525" s="300" t="s">
        <v>225</v>
      </c>
      <c r="AC525" s="399" t="s">
        <v>2007</v>
      </c>
      <c r="AD525" s="67" t="s">
        <v>889</v>
      </c>
      <c r="AE525" s="302"/>
      <c r="AF525" s="67"/>
      <c r="AG525" s="67"/>
      <c r="AH525" s="403" t="s">
        <v>2010</v>
      </c>
    </row>
    <row r="526" spans="1:34">
      <c r="A526" s="51">
        <v>517</v>
      </c>
      <c r="B526" s="81" t="str">
        <f t="shared" si="21"/>
        <v>0205</v>
      </c>
      <c r="C526" s="414" t="s">
        <v>1783</v>
      </c>
      <c r="D526" s="94" t="s">
        <v>2011</v>
      </c>
      <c r="E526" s="282" t="s">
        <v>1233</v>
      </c>
      <c r="F526" s="169" t="s">
        <v>1056</v>
      </c>
      <c r="G526" s="169" t="s">
        <v>347</v>
      </c>
      <c r="H526" s="282" t="s">
        <v>637</v>
      </c>
      <c r="I526" s="295" t="s">
        <v>815</v>
      </c>
      <c r="J526" s="127" t="s">
        <v>1</v>
      </c>
      <c r="K526" s="55" t="s">
        <v>750</v>
      </c>
      <c r="L526" s="64" t="s">
        <v>856</v>
      </c>
      <c r="M526" s="55" t="s">
        <v>1612</v>
      </c>
      <c r="N526" s="282" t="s">
        <v>1215</v>
      </c>
      <c r="O526" s="238" t="s">
        <v>826</v>
      </c>
      <c r="P526" s="297" t="str">
        <f ca="1">IF(AND(OR(INDIRECT("K" &amp; ROW())="NAV-Premium",INDIRECT("K" &amp; ROW())="DA-Premium"),INDIRECT("M" &amp; ROW())="PARTITION_SCHEMA128__NavPiviJpn", INDIRECT("O" &amp; ROW())="JPN_SDB"),'SDB vs GN'!$B$41, IF(INDIRECT("H" &amp; ROW())="Chenc",'SDB vs GN'!$B$40, VLOOKUP(INDIRECT("O" &amp; ROW()),'SDB vs GN'!$A$16:$B$38,2,FALSE)))</f>
        <v>731_EUR</v>
      </c>
      <c r="Q526" s="79" t="s">
        <v>396</v>
      </c>
      <c r="R526" s="64" t="s">
        <v>59</v>
      </c>
      <c r="S526" s="103" t="s">
        <v>10</v>
      </c>
      <c r="T526" s="295" t="s">
        <v>449</v>
      </c>
      <c r="U526" s="332" t="s">
        <v>816</v>
      </c>
      <c r="V526" s="172" t="s">
        <v>552</v>
      </c>
      <c r="W526" s="298" t="s">
        <v>447</v>
      </c>
      <c r="X526" s="297" t="s">
        <v>521</v>
      </c>
      <c r="Y526" s="282" t="s">
        <v>1286</v>
      </c>
      <c r="Z526" s="282" t="s">
        <v>1592</v>
      </c>
      <c r="AA526" s="299"/>
      <c r="AB526" s="300" t="s">
        <v>225</v>
      </c>
      <c r="AC526" s="399" t="s">
        <v>2005</v>
      </c>
      <c r="AD526" s="67" t="s">
        <v>889</v>
      </c>
      <c r="AE526" s="302"/>
      <c r="AF526" s="67"/>
      <c r="AG526" s="67"/>
      <c r="AH526" s="403" t="s">
        <v>2008</v>
      </c>
    </row>
    <row r="527" spans="1:34" ht="66">
      <c r="A527" s="51">
        <v>518</v>
      </c>
      <c r="B527" s="81" t="str">
        <f t="shared" ref="B527:B528" si="22">DEC2HEX(A527,4)</f>
        <v>0206</v>
      </c>
      <c r="C527" s="155" t="s">
        <v>854</v>
      </c>
      <c r="D527" s="61" t="s">
        <v>2059</v>
      </c>
      <c r="E527" s="323" t="s">
        <v>1233</v>
      </c>
      <c r="F527" s="78" t="s">
        <v>1052</v>
      </c>
      <c r="G527" s="78" t="s">
        <v>761</v>
      </c>
      <c r="H527" s="55" t="s">
        <v>637</v>
      </c>
      <c r="I527" s="79" t="s">
        <v>815</v>
      </c>
      <c r="J527" s="127" t="s">
        <v>1</v>
      </c>
      <c r="K527" s="79" t="s">
        <v>749</v>
      </c>
      <c r="L527" s="64" t="s">
        <v>856</v>
      </c>
      <c r="M527" s="55" t="s">
        <v>1614</v>
      </c>
      <c r="N527" s="282" t="s">
        <v>1215</v>
      </c>
      <c r="O527" s="238" t="s">
        <v>54</v>
      </c>
      <c r="P527" s="64" t="str">
        <f ca="1">IF(AND(OR(INDIRECT("K" &amp; ROW())="NAV-Premium",INDIRECT("K" &amp; ROW())="DA-Premium"),INDIRECT("M" &amp; ROW())="PARTITION_SCHEMA128__NavPiviJpn", INDIRECT("O" &amp; ROW())="JPN_SDB"),'SDB vs GN'!$B$41, IF(INDIRECT("H" &amp; ROW())="Chenc",'SDB vs GN'!$B$40, VLOOKUP(INDIRECT("O" &amp; ROW()),'SDB vs GN'!$A$16:$B$38,2,FALSE)))</f>
        <v>731_EUR</v>
      </c>
      <c r="Q527" s="79" t="s">
        <v>396</v>
      </c>
      <c r="R527" s="165" t="s">
        <v>61</v>
      </c>
      <c r="S527" s="157" t="s">
        <v>10</v>
      </c>
      <c r="T527" s="64" t="s">
        <v>449</v>
      </c>
      <c r="U527" s="104" t="s">
        <v>12</v>
      </c>
      <c r="V527" s="101" t="s">
        <v>553</v>
      </c>
      <c r="W527" s="76" t="s">
        <v>447</v>
      </c>
      <c r="X527" s="64" t="s">
        <v>521</v>
      </c>
      <c r="Y527" s="282" t="s">
        <v>1286</v>
      </c>
      <c r="Z527" s="282" t="s">
        <v>1592</v>
      </c>
      <c r="AA527" s="96"/>
      <c r="AB527" s="154" t="s">
        <v>225</v>
      </c>
      <c r="AC527" s="229" t="s">
        <v>2392</v>
      </c>
      <c r="AD527" s="67" t="s">
        <v>889</v>
      </c>
      <c r="AE527" s="302" t="s">
        <v>2493</v>
      </c>
      <c r="AF527" s="194"/>
      <c r="AG527" s="194"/>
      <c r="AH527" s="67" t="s">
        <v>2391</v>
      </c>
    </row>
    <row r="528" spans="1:34" ht="52.8">
      <c r="A528" s="51">
        <v>519</v>
      </c>
      <c r="B528" s="81" t="str">
        <f t="shared" si="22"/>
        <v>0207</v>
      </c>
      <c r="C528" s="135" t="s">
        <v>963</v>
      </c>
      <c r="D528" s="79" t="s">
        <v>2060</v>
      </c>
      <c r="E528" s="295" t="s">
        <v>1233</v>
      </c>
      <c r="F528" s="78" t="s">
        <v>1052</v>
      </c>
      <c r="G528" s="78" t="s">
        <v>761</v>
      </c>
      <c r="H528" s="55" t="s">
        <v>637</v>
      </c>
      <c r="I528" s="79" t="s">
        <v>815</v>
      </c>
      <c r="J528" s="127" t="s">
        <v>1</v>
      </c>
      <c r="K528" s="55" t="s">
        <v>749</v>
      </c>
      <c r="L528" s="64" t="s">
        <v>856</v>
      </c>
      <c r="M528" s="55" t="s">
        <v>1614</v>
      </c>
      <c r="N528" s="282" t="s">
        <v>1215</v>
      </c>
      <c r="O528" s="239" t="s">
        <v>54</v>
      </c>
      <c r="P528" s="64" t="str">
        <f ca="1">IF(AND(OR(INDIRECT("K" &amp; ROW())="NAV-Premium",INDIRECT("K" &amp; ROW())="DA-Premium"),INDIRECT("M" &amp; ROW())="PARTITION_SCHEMA128__NavPiviJpn", INDIRECT("O" &amp; ROW())="JPN_SDB"),'SDB vs GN'!$B$41, IF(INDIRECT("H" &amp; ROW())="Chenc",'SDB vs GN'!$B$40, VLOOKUP(INDIRECT("O" &amp; ROW()),'SDB vs GN'!$A$16:$B$38,2,FALSE)))</f>
        <v>731_EUR</v>
      </c>
      <c r="Q528" s="79" t="s">
        <v>20</v>
      </c>
      <c r="R528" s="165" t="s">
        <v>61</v>
      </c>
      <c r="S528" s="157" t="s">
        <v>10</v>
      </c>
      <c r="T528" s="79" t="s">
        <v>449</v>
      </c>
      <c r="U528" s="104" t="s">
        <v>12</v>
      </c>
      <c r="V528" s="101" t="s">
        <v>553</v>
      </c>
      <c r="W528" s="129" t="s">
        <v>447</v>
      </c>
      <c r="X528" s="64" t="s">
        <v>521</v>
      </c>
      <c r="Y528" s="282" t="s">
        <v>1286</v>
      </c>
      <c r="Z528" s="282" t="s">
        <v>1592</v>
      </c>
      <c r="AA528" s="96"/>
      <c r="AB528" s="105" t="s">
        <v>225</v>
      </c>
      <c r="AC528" s="224" t="s">
        <v>2389</v>
      </c>
      <c r="AD528" s="67" t="s">
        <v>889</v>
      </c>
      <c r="AE528" s="302" t="s">
        <v>2499</v>
      </c>
      <c r="AF528" s="67"/>
      <c r="AG528" s="67"/>
      <c r="AH528" s="67" t="s">
        <v>2390</v>
      </c>
    </row>
    <row r="529" spans="1:34" ht="39.6">
      <c r="A529" s="51">
        <v>520</v>
      </c>
      <c r="B529" s="81" t="str">
        <f t="shared" ref="B529:B543" si="23">DEC2HEX(A529,4)</f>
        <v>0208</v>
      </c>
      <c r="C529" s="64" t="s">
        <v>1019</v>
      </c>
      <c r="D529" s="61" t="s">
        <v>2059</v>
      </c>
      <c r="E529" s="323" t="s">
        <v>1233</v>
      </c>
      <c r="F529" s="78" t="s">
        <v>1052</v>
      </c>
      <c r="G529" s="78" t="s">
        <v>761</v>
      </c>
      <c r="H529" s="55" t="s">
        <v>637</v>
      </c>
      <c r="I529" s="79" t="s">
        <v>815</v>
      </c>
      <c r="J529" s="127" t="s">
        <v>1</v>
      </c>
      <c r="K529" s="55" t="s">
        <v>749</v>
      </c>
      <c r="L529" s="64" t="s">
        <v>856</v>
      </c>
      <c r="M529" s="55" t="s">
        <v>1614</v>
      </c>
      <c r="N529" s="282" t="s">
        <v>1215</v>
      </c>
      <c r="O529" s="238" t="s">
        <v>826</v>
      </c>
      <c r="P529" s="64" t="str">
        <f ca="1">IF(AND(OR(INDIRECT("K" &amp; ROW())="NAV-Premium",INDIRECT("K" &amp; ROW())="DA-Premium"),INDIRECT("M" &amp; ROW())="PARTITION_SCHEMA128__NavPiviJpn", INDIRECT("O" &amp; ROW())="JPN_SDB"),'SDB vs GN'!$B$41, IF(INDIRECT("H" &amp; ROW())="Chenc",'SDB vs GN'!$B$40, VLOOKUP(INDIRECT("O" &amp; ROW()),'SDB vs GN'!$A$16:$B$38,2,FALSE)))</f>
        <v>731_EUR</v>
      </c>
      <c r="Q529" s="79" t="s">
        <v>396</v>
      </c>
      <c r="R529" s="165" t="s">
        <v>61</v>
      </c>
      <c r="S529" s="157" t="s">
        <v>10</v>
      </c>
      <c r="T529" s="64" t="s">
        <v>449</v>
      </c>
      <c r="U529" s="104" t="s">
        <v>12</v>
      </c>
      <c r="V529" s="101" t="s">
        <v>564</v>
      </c>
      <c r="W529" s="76" t="s">
        <v>447</v>
      </c>
      <c r="X529" s="64" t="s">
        <v>521</v>
      </c>
      <c r="Y529" s="282" t="s">
        <v>1286</v>
      </c>
      <c r="Z529" s="282" t="s">
        <v>1592</v>
      </c>
      <c r="AA529" s="96"/>
      <c r="AB529" s="131" t="s">
        <v>225</v>
      </c>
      <c r="AC529" s="229" t="s">
        <v>2277</v>
      </c>
      <c r="AD529" s="67" t="s">
        <v>889</v>
      </c>
      <c r="AE529" s="302"/>
      <c r="AF529" s="67"/>
      <c r="AG529" s="67"/>
      <c r="AH529" s="67" t="s">
        <v>2276</v>
      </c>
    </row>
    <row r="530" spans="1:34" ht="39.6">
      <c r="A530" s="51">
        <v>521</v>
      </c>
      <c r="B530" s="81" t="str">
        <f t="shared" si="23"/>
        <v>0209</v>
      </c>
      <c r="C530" s="155" t="s">
        <v>1018</v>
      </c>
      <c r="D530" s="61" t="s">
        <v>2059</v>
      </c>
      <c r="E530" s="323" t="s">
        <v>1233</v>
      </c>
      <c r="F530" s="78" t="s">
        <v>1052</v>
      </c>
      <c r="G530" s="78" t="s">
        <v>761</v>
      </c>
      <c r="H530" s="55" t="s">
        <v>637</v>
      </c>
      <c r="I530" s="79" t="s">
        <v>815</v>
      </c>
      <c r="J530" s="127" t="s">
        <v>1</v>
      </c>
      <c r="K530" s="55" t="s">
        <v>749</v>
      </c>
      <c r="L530" s="64" t="s">
        <v>856</v>
      </c>
      <c r="M530" s="55" t="s">
        <v>1614</v>
      </c>
      <c r="N530" s="282" t="s">
        <v>1215</v>
      </c>
      <c r="O530" s="238" t="s">
        <v>825</v>
      </c>
      <c r="P530" s="64" t="str">
        <f ca="1">IF(AND(OR(INDIRECT("K" &amp; ROW())="NAV-Premium",INDIRECT("K" &amp; ROW())="DA-Premium"),INDIRECT("M" &amp; ROW())="PARTITION_SCHEMA128__NavPiviJpn", INDIRECT("O" &amp; ROW())="JPN_SDB"),'SDB vs GN'!$B$41, IF(INDIRECT("H" &amp; ROW())="Chenc",'SDB vs GN'!$B$40, VLOOKUP(INDIRECT("O" &amp; ROW()),'SDB vs GN'!$A$16:$B$38,2,FALSE)))</f>
        <v>831_AUSKRJPN</v>
      </c>
      <c r="Q530" s="79" t="s">
        <v>396</v>
      </c>
      <c r="R530" s="165" t="s">
        <v>61</v>
      </c>
      <c r="S530" s="157" t="s">
        <v>10</v>
      </c>
      <c r="T530" s="64" t="s">
        <v>449</v>
      </c>
      <c r="U530" s="104" t="s">
        <v>12</v>
      </c>
      <c r="V530" s="174" t="s">
        <v>558</v>
      </c>
      <c r="W530" s="76" t="s">
        <v>447</v>
      </c>
      <c r="X530" s="64" t="s">
        <v>521</v>
      </c>
      <c r="Y530" s="282" t="s">
        <v>1286</v>
      </c>
      <c r="Z530" s="282" t="s">
        <v>1592</v>
      </c>
      <c r="AA530" s="96"/>
      <c r="AB530" s="131" t="s">
        <v>225</v>
      </c>
      <c r="AC530" s="229" t="s">
        <v>2279</v>
      </c>
      <c r="AD530" s="67" t="s">
        <v>889</v>
      </c>
      <c r="AE530" s="302"/>
      <c r="AF530" s="67"/>
      <c r="AG530" s="67"/>
      <c r="AH530" s="67" t="s">
        <v>2278</v>
      </c>
    </row>
    <row r="531" spans="1:34" ht="52.8">
      <c r="A531" s="51">
        <v>522</v>
      </c>
      <c r="B531" s="81" t="str">
        <f t="shared" si="23"/>
        <v>020A</v>
      </c>
      <c r="C531" s="155" t="s">
        <v>855</v>
      </c>
      <c r="D531" s="61" t="s">
        <v>2059</v>
      </c>
      <c r="E531" s="323" t="s">
        <v>1233</v>
      </c>
      <c r="F531" s="78" t="s">
        <v>1052</v>
      </c>
      <c r="G531" s="78" t="s">
        <v>761</v>
      </c>
      <c r="H531" s="55" t="s">
        <v>637</v>
      </c>
      <c r="I531" s="94" t="s">
        <v>3</v>
      </c>
      <c r="J531" s="127" t="s">
        <v>1</v>
      </c>
      <c r="K531" s="79" t="s">
        <v>749</v>
      </c>
      <c r="L531" s="64" t="s">
        <v>856</v>
      </c>
      <c r="M531" s="55" t="s">
        <v>1614</v>
      </c>
      <c r="N531" s="282" t="s">
        <v>1215</v>
      </c>
      <c r="O531" s="238" t="s">
        <v>55</v>
      </c>
      <c r="P531" s="64" t="str">
        <f ca="1">IF(AND(OR(INDIRECT("K" &amp; ROW())="NAV-Premium",INDIRECT("K" &amp; ROW())="DA-Premium"),INDIRECT("M" &amp; ROW())="PARTITION_SCHEMA128__NavPiviJpn", INDIRECT("O" &amp; ROW())="JPN_SDB"),'SDB vs GN'!$B$41, IF(INDIRECT("H" &amp; ROW())="Chenc",'SDB vs GN'!$B$40, VLOOKUP(INDIRECT("O" &amp; ROW()),'SDB vs GN'!$A$16:$B$38,2,FALSE)))</f>
        <v>742_JPN_831_AUSKRJPN</v>
      </c>
      <c r="Q531" s="79" t="s">
        <v>396</v>
      </c>
      <c r="R531" s="165" t="s">
        <v>61</v>
      </c>
      <c r="S531" s="157" t="s">
        <v>10</v>
      </c>
      <c r="T531" s="64" t="s">
        <v>449</v>
      </c>
      <c r="U531" s="104" t="s">
        <v>12</v>
      </c>
      <c r="V531" s="68" t="s">
        <v>555</v>
      </c>
      <c r="W531" s="76" t="s">
        <v>447</v>
      </c>
      <c r="X531" s="64" t="s">
        <v>521</v>
      </c>
      <c r="Y531" s="282" t="s">
        <v>1286</v>
      </c>
      <c r="Z531" s="282" t="s">
        <v>1592</v>
      </c>
      <c r="AA531" s="96"/>
      <c r="AB531" s="154" t="s">
        <v>225</v>
      </c>
      <c r="AC531" s="229" t="s">
        <v>2611</v>
      </c>
      <c r="AD531" s="67" t="s">
        <v>889</v>
      </c>
      <c r="AE531" s="302"/>
      <c r="AF531" s="194"/>
      <c r="AG531" s="194"/>
      <c r="AH531" s="67" t="s">
        <v>2610</v>
      </c>
    </row>
    <row r="532" spans="1:34" ht="26.4">
      <c r="A532" s="51">
        <v>523</v>
      </c>
      <c r="B532" s="51" t="str">
        <f t="shared" si="23"/>
        <v>020B</v>
      </c>
      <c r="C532" s="79" t="s">
        <v>1273</v>
      </c>
      <c r="D532" s="55" t="s">
        <v>2060</v>
      </c>
      <c r="E532" s="282" t="s">
        <v>1233</v>
      </c>
      <c r="F532" s="78" t="s">
        <v>1052</v>
      </c>
      <c r="G532" s="78" t="s">
        <v>761</v>
      </c>
      <c r="H532" s="55" t="s">
        <v>637</v>
      </c>
      <c r="I532" s="94" t="s">
        <v>3</v>
      </c>
      <c r="J532" s="127" t="s">
        <v>1</v>
      </c>
      <c r="K532" s="79" t="s">
        <v>749</v>
      </c>
      <c r="L532" s="64" t="s">
        <v>856</v>
      </c>
      <c r="M532" s="55" t="s">
        <v>1614</v>
      </c>
      <c r="N532" s="282" t="s">
        <v>1215</v>
      </c>
      <c r="O532" s="238" t="s">
        <v>55</v>
      </c>
      <c r="P532" s="64" t="str">
        <f ca="1">IF(AND(OR(INDIRECT("K" &amp; ROW())="NAV-Premium",INDIRECT("K" &amp; ROW())="DA-Premium"),INDIRECT("M" &amp; ROW())="PARTITION_SCHEMA128__NavPiviJpn", INDIRECT("O" &amp; ROW())="JPN_SDB"),'SDB vs GN'!$B$41, IF(INDIRECT("H" &amp; ROW())="Chenc",'SDB vs GN'!$B$40, VLOOKUP(INDIRECT("O" &amp; ROW()),'SDB vs GN'!$A$16:$B$38,2,FALSE)))</f>
        <v>742_JPN_831_AUSKRJPN</v>
      </c>
      <c r="Q532" s="79" t="s">
        <v>396</v>
      </c>
      <c r="R532" s="238" t="s">
        <v>248</v>
      </c>
      <c r="S532" s="157" t="s">
        <v>10</v>
      </c>
      <c r="T532" s="79" t="s">
        <v>449</v>
      </c>
      <c r="U532" s="104" t="s">
        <v>12</v>
      </c>
      <c r="V532" s="68" t="s">
        <v>555</v>
      </c>
      <c r="W532" s="129" t="s">
        <v>447</v>
      </c>
      <c r="X532" s="64" t="s">
        <v>521</v>
      </c>
      <c r="Y532" s="282" t="s">
        <v>1286</v>
      </c>
      <c r="Z532" s="282" t="s">
        <v>1592</v>
      </c>
      <c r="AA532" s="37"/>
      <c r="AB532" s="154" t="s">
        <v>225</v>
      </c>
      <c r="AC532" s="229" t="s">
        <v>2273</v>
      </c>
      <c r="AD532" s="67" t="s">
        <v>889</v>
      </c>
      <c r="AE532" s="302"/>
      <c r="AF532" s="67"/>
      <c r="AG532" s="67"/>
      <c r="AH532" s="389" t="s">
        <v>2272</v>
      </c>
    </row>
    <row r="533" spans="1:34">
      <c r="A533" s="51">
        <v>524</v>
      </c>
      <c r="B533" s="81" t="str">
        <f t="shared" si="23"/>
        <v>020C</v>
      </c>
      <c r="C533" s="416" t="s">
        <v>961</v>
      </c>
      <c r="D533" s="55" t="s">
        <v>2060</v>
      </c>
      <c r="E533" s="282" t="s">
        <v>1233</v>
      </c>
      <c r="F533" s="78" t="s">
        <v>1052</v>
      </c>
      <c r="G533" s="78" t="s">
        <v>761</v>
      </c>
      <c r="H533" s="55" t="s">
        <v>637</v>
      </c>
      <c r="I533" s="155" t="s">
        <v>815</v>
      </c>
      <c r="J533" s="127" t="s">
        <v>1</v>
      </c>
      <c r="K533" s="79" t="s">
        <v>749</v>
      </c>
      <c r="L533" s="64" t="s">
        <v>856</v>
      </c>
      <c r="M533" s="55" t="s">
        <v>1614</v>
      </c>
      <c r="N533" s="282" t="s">
        <v>1215</v>
      </c>
      <c r="O533" s="238" t="s">
        <v>825</v>
      </c>
      <c r="P533" s="64" t="str">
        <f ca="1">IF(AND(OR(INDIRECT("K" &amp; ROW())="NAV-Premium",INDIRECT("K" &amp; ROW())="DA-Premium"),INDIRECT("M" &amp; ROW())="PARTITION_SCHEMA128__NavPiviJpn", INDIRECT("O" &amp; ROW())="JPN_SDB"),'SDB vs GN'!$B$41, IF(INDIRECT("H" &amp; ROW())="Chenc",'SDB vs GN'!$B$40, VLOOKUP(INDIRECT("O" &amp; ROW()),'SDB vs GN'!$A$16:$B$38,2,FALSE)))</f>
        <v>831_AUSKRJPN</v>
      </c>
      <c r="Q533" s="79" t="s">
        <v>396</v>
      </c>
      <c r="R533" s="238" t="s">
        <v>248</v>
      </c>
      <c r="S533" s="157" t="s">
        <v>10</v>
      </c>
      <c r="T533" s="79" t="s">
        <v>449</v>
      </c>
      <c r="U533" s="104" t="s">
        <v>12</v>
      </c>
      <c r="V533" s="174" t="s">
        <v>558</v>
      </c>
      <c r="W533" s="129" t="s">
        <v>447</v>
      </c>
      <c r="X533" s="64" t="s">
        <v>521</v>
      </c>
      <c r="Y533" s="282" t="s">
        <v>1286</v>
      </c>
      <c r="Z533" s="282" t="s">
        <v>1592</v>
      </c>
      <c r="AA533" s="37"/>
      <c r="AB533" s="131" t="s">
        <v>225</v>
      </c>
      <c r="AC533" s="398" t="s">
        <v>2061</v>
      </c>
      <c r="AD533" s="67" t="s">
        <v>889</v>
      </c>
      <c r="AE533" s="302"/>
      <c r="AF533" s="67"/>
      <c r="AG533" s="67"/>
      <c r="AH533" s="398" t="s">
        <v>2067</v>
      </c>
    </row>
    <row r="534" spans="1:34">
      <c r="A534" s="51">
        <v>525</v>
      </c>
      <c r="B534" s="81" t="str">
        <f t="shared" si="23"/>
        <v>020D</v>
      </c>
      <c r="C534" s="417" t="s">
        <v>991</v>
      </c>
      <c r="D534" s="55" t="s">
        <v>2060</v>
      </c>
      <c r="E534" s="295" t="s">
        <v>1233</v>
      </c>
      <c r="F534" s="78" t="s">
        <v>1052</v>
      </c>
      <c r="G534" s="78" t="s">
        <v>761</v>
      </c>
      <c r="H534" s="55" t="s">
        <v>637</v>
      </c>
      <c r="I534" s="155" t="s">
        <v>815</v>
      </c>
      <c r="J534" s="127" t="s">
        <v>1</v>
      </c>
      <c r="K534" s="79" t="s">
        <v>749</v>
      </c>
      <c r="L534" s="64" t="s">
        <v>856</v>
      </c>
      <c r="M534" s="55" t="s">
        <v>1614</v>
      </c>
      <c r="N534" s="282" t="s">
        <v>1215</v>
      </c>
      <c r="O534" s="239" t="s">
        <v>54</v>
      </c>
      <c r="P534" s="64" t="str">
        <f ca="1">IF(AND(OR(INDIRECT("K" &amp; ROW())="NAV-Premium",INDIRECT("K" &amp; ROW())="DA-Premium"),INDIRECT("M" &amp; ROW())="PARTITION_SCHEMA128__NavPiviJpn", INDIRECT("O" &amp; ROW())="JPN_SDB"),'SDB vs GN'!$B$41, IF(INDIRECT("H" &amp; ROW())="Chenc",'SDB vs GN'!$B$40, VLOOKUP(INDIRECT("O" &amp; ROW()),'SDB vs GN'!$A$16:$B$38,2,FALSE)))</f>
        <v>731_EUR</v>
      </c>
      <c r="Q534" s="79" t="s">
        <v>20</v>
      </c>
      <c r="R534" s="238" t="s">
        <v>248</v>
      </c>
      <c r="S534" s="157" t="s">
        <v>10</v>
      </c>
      <c r="T534" s="79" t="s">
        <v>449</v>
      </c>
      <c r="U534" s="104" t="s">
        <v>12</v>
      </c>
      <c r="V534" s="101" t="s">
        <v>553</v>
      </c>
      <c r="W534" s="129" t="s">
        <v>447</v>
      </c>
      <c r="X534" s="64" t="s">
        <v>521</v>
      </c>
      <c r="Y534" s="282" t="s">
        <v>1286</v>
      </c>
      <c r="Z534" s="282" t="s">
        <v>1592</v>
      </c>
      <c r="AA534" s="37"/>
      <c r="AB534" s="131" t="s">
        <v>225</v>
      </c>
      <c r="AC534" s="398" t="s">
        <v>2062</v>
      </c>
      <c r="AD534" s="67" t="s">
        <v>889</v>
      </c>
      <c r="AE534" s="302"/>
      <c r="AF534" s="67"/>
      <c r="AG534" s="67"/>
      <c r="AH534" s="398" t="s">
        <v>2068</v>
      </c>
    </row>
    <row r="535" spans="1:34" ht="26.4">
      <c r="A535" s="51">
        <v>526</v>
      </c>
      <c r="B535" s="81" t="str">
        <f t="shared" si="23"/>
        <v>020E</v>
      </c>
      <c r="C535" s="67" t="s">
        <v>1165</v>
      </c>
      <c r="D535" s="55" t="s">
        <v>2060</v>
      </c>
      <c r="E535" s="295" t="s">
        <v>1233</v>
      </c>
      <c r="F535" s="78" t="s">
        <v>1052</v>
      </c>
      <c r="G535" s="78" t="s">
        <v>761</v>
      </c>
      <c r="H535" s="55" t="s">
        <v>637</v>
      </c>
      <c r="I535" s="79" t="s">
        <v>815</v>
      </c>
      <c r="J535" s="127" t="s">
        <v>1</v>
      </c>
      <c r="K535" s="55" t="s">
        <v>749</v>
      </c>
      <c r="L535" s="64" t="s">
        <v>856</v>
      </c>
      <c r="M535" s="55" t="s">
        <v>1614</v>
      </c>
      <c r="N535" s="282" t="s">
        <v>1215</v>
      </c>
      <c r="O535" s="238" t="s">
        <v>825</v>
      </c>
      <c r="P535" s="64" t="str">
        <f ca="1">IF(AND(OR(INDIRECT("K" &amp; ROW())="NAV-Premium",INDIRECT("K" &amp; ROW())="DA-Premium"),INDIRECT("M" &amp; ROW())="PARTITION_SCHEMA128__NavPiviJpn", INDIRECT("O" &amp; ROW())="JPN_SDB"),'SDB vs GN'!$B$41, IF(INDIRECT("H" &amp; ROW())="Chenc",'SDB vs GN'!$B$40, VLOOKUP(INDIRECT("O" &amp; ROW()),'SDB vs GN'!$A$16:$B$38,2,FALSE)))</f>
        <v>831_AUSKRJPN</v>
      </c>
      <c r="Q535" s="79" t="s">
        <v>396</v>
      </c>
      <c r="R535" s="238" t="s">
        <v>248</v>
      </c>
      <c r="S535" s="157" t="s">
        <v>10</v>
      </c>
      <c r="T535" s="64" t="s">
        <v>449</v>
      </c>
      <c r="U535" s="104" t="s">
        <v>12</v>
      </c>
      <c r="V535" s="172" t="s">
        <v>546</v>
      </c>
      <c r="W535" s="76" t="s">
        <v>447</v>
      </c>
      <c r="X535" s="64" t="s">
        <v>521</v>
      </c>
      <c r="Y535" s="282" t="s">
        <v>1286</v>
      </c>
      <c r="Z535" s="282" t="s">
        <v>1592</v>
      </c>
      <c r="AA535" s="96"/>
      <c r="AB535" s="131" t="s">
        <v>225</v>
      </c>
      <c r="AC535" s="229" t="s">
        <v>2283</v>
      </c>
      <c r="AD535" s="67" t="s">
        <v>889</v>
      </c>
      <c r="AE535" s="302"/>
      <c r="AF535" s="67"/>
      <c r="AG535" s="67"/>
      <c r="AH535" s="229" t="s">
        <v>2282</v>
      </c>
    </row>
    <row r="536" spans="1:34">
      <c r="A536" s="51">
        <v>527</v>
      </c>
      <c r="B536" s="81" t="str">
        <f t="shared" si="23"/>
        <v>020F</v>
      </c>
      <c r="C536" s="399" t="s">
        <v>1167</v>
      </c>
      <c r="D536" s="55" t="s">
        <v>2060</v>
      </c>
      <c r="E536" s="295" t="s">
        <v>1233</v>
      </c>
      <c r="F536" s="78" t="s">
        <v>1052</v>
      </c>
      <c r="G536" s="78" t="s">
        <v>761</v>
      </c>
      <c r="H536" s="55" t="s">
        <v>637</v>
      </c>
      <c r="I536" s="79" t="s">
        <v>815</v>
      </c>
      <c r="J536" s="127" t="s">
        <v>1</v>
      </c>
      <c r="K536" s="55" t="s">
        <v>749</v>
      </c>
      <c r="L536" s="64" t="s">
        <v>856</v>
      </c>
      <c r="M536" s="55" t="s">
        <v>1614</v>
      </c>
      <c r="N536" s="282" t="s">
        <v>1215</v>
      </c>
      <c r="O536" s="238" t="s">
        <v>97</v>
      </c>
      <c r="P536" s="64" t="str">
        <f ca="1">IF(AND(OR(INDIRECT("K" &amp; ROW())="NAV-Premium",INDIRECT("K" &amp; ROW())="DA-Premium"),INDIRECT("M" &amp; ROW())="PARTITION_SCHEMA128__NavPiviJpn", INDIRECT("O" &amp; ROW())="JPN_SDB"),'SDB vs GN'!$B$41, IF(INDIRECT("H" &amp; ROW())="Chenc",'SDB vs GN'!$B$40, VLOOKUP(INDIRECT("O" &amp; ROW()),'SDB vs GN'!$A$16:$B$38,2,FALSE)))</f>
        <v>734_CN_831_AUSKRJPN</v>
      </c>
      <c r="Q536" s="79" t="s">
        <v>396</v>
      </c>
      <c r="R536" s="238" t="s">
        <v>248</v>
      </c>
      <c r="S536" s="157" t="s">
        <v>10</v>
      </c>
      <c r="T536" s="64" t="s">
        <v>449</v>
      </c>
      <c r="U536" s="104" t="s">
        <v>12</v>
      </c>
      <c r="V536" s="172" t="s">
        <v>563</v>
      </c>
      <c r="W536" s="76" t="s">
        <v>447</v>
      </c>
      <c r="X536" s="64" t="s">
        <v>521</v>
      </c>
      <c r="Y536" s="282" t="s">
        <v>1286</v>
      </c>
      <c r="Z536" s="282" t="s">
        <v>1592</v>
      </c>
      <c r="AA536" s="96"/>
      <c r="AB536" s="131" t="s">
        <v>225</v>
      </c>
      <c r="AC536" s="398" t="s">
        <v>2063</v>
      </c>
      <c r="AD536" s="67" t="s">
        <v>889</v>
      </c>
      <c r="AE536" s="302"/>
      <c r="AF536" s="67"/>
      <c r="AG536" s="67"/>
      <c r="AH536" s="398" t="s">
        <v>2069</v>
      </c>
    </row>
    <row r="537" spans="1:34" ht="26.4">
      <c r="A537" s="51">
        <v>528</v>
      </c>
      <c r="B537" s="81" t="str">
        <f t="shared" si="23"/>
        <v>0210</v>
      </c>
      <c r="C537" s="67" t="s">
        <v>1166</v>
      </c>
      <c r="D537" s="55" t="s">
        <v>2060</v>
      </c>
      <c r="E537" s="295" t="s">
        <v>1233</v>
      </c>
      <c r="F537" s="78" t="s">
        <v>1052</v>
      </c>
      <c r="G537" s="78" t="s">
        <v>761</v>
      </c>
      <c r="H537" s="55" t="s">
        <v>637</v>
      </c>
      <c r="I537" s="79" t="s">
        <v>815</v>
      </c>
      <c r="J537" s="127" t="s">
        <v>1</v>
      </c>
      <c r="K537" s="55" t="s">
        <v>749</v>
      </c>
      <c r="L537" s="64" t="s">
        <v>856</v>
      </c>
      <c r="M537" s="55" t="s">
        <v>1614</v>
      </c>
      <c r="N537" s="282" t="s">
        <v>1215</v>
      </c>
      <c r="O537" s="238" t="s">
        <v>825</v>
      </c>
      <c r="P537" s="64" t="str">
        <f ca="1">IF(AND(OR(INDIRECT("K" &amp; ROW())="NAV-Premium",INDIRECT("K" &amp; ROW())="DA-Premium"),INDIRECT("M" &amp; ROW())="PARTITION_SCHEMA128__NavPiviJpn", INDIRECT("O" &amp; ROW())="JPN_SDB"),'SDB vs GN'!$B$41, IF(INDIRECT("H" &amp; ROW())="Chenc",'SDB vs GN'!$B$40, VLOOKUP(INDIRECT("O" &amp; ROW()),'SDB vs GN'!$A$16:$B$38,2,FALSE)))</f>
        <v>831_AUSKRJPN</v>
      </c>
      <c r="Q537" s="79" t="s">
        <v>396</v>
      </c>
      <c r="R537" s="238" t="s">
        <v>248</v>
      </c>
      <c r="S537" s="157" t="s">
        <v>10</v>
      </c>
      <c r="T537" s="64" t="s">
        <v>449</v>
      </c>
      <c r="U537" s="104" t="s">
        <v>12</v>
      </c>
      <c r="V537" s="172" t="s">
        <v>559</v>
      </c>
      <c r="W537" s="76" t="s">
        <v>447</v>
      </c>
      <c r="X537" s="64" t="s">
        <v>521</v>
      </c>
      <c r="Y537" s="282" t="s">
        <v>1286</v>
      </c>
      <c r="Z537" s="282" t="s">
        <v>1592</v>
      </c>
      <c r="AA537" s="96"/>
      <c r="AB537" s="131" t="s">
        <v>225</v>
      </c>
      <c r="AC537" s="229" t="s">
        <v>2275</v>
      </c>
      <c r="AD537" s="67" t="s">
        <v>889</v>
      </c>
      <c r="AE537" s="302"/>
      <c r="AF537" s="67"/>
      <c r="AG537" s="67"/>
      <c r="AH537" s="229" t="s">
        <v>2274</v>
      </c>
    </row>
    <row r="538" spans="1:34" ht="26.4">
      <c r="A538" s="51">
        <v>529</v>
      </c>
      <c r="B538" s="81" t="str">
        <f t="shared" si="23"/>
        <v>0211</v>
      </c>
      <c r="C538" s="226" t="s">
        <v>1168</v>
      </c>
      <c r="D538" s="55" t="s">
        <v>2060</v>
      </c>
      <c r="E538" s="295" t="s">
        <v>1233</v>
      </c>
      <c r="F538" s="78" t="s">
        <v>1052</v>
      </c>
      <c r="G538" s="78" t="s">
        <v>761</v>
      </c>
      <c r="H538" s="55" t="s">
        <v>637</v>
      </c>
      <c r="I538" s="79" t="s">
        <v>815</v>
      </c>
      <c r="J538" s="127" t="s">
        <v>1</v>
      </c>
      <c r="K538" s="55" t="s">
        <v>749</v>
      </c>
      <c r="L538" s="64" t="s">
        <v>856</v>
      </c>
      <c r="M538" s="55" t="s">
        <v>1614</v>
      </c>
      <c r="N538" s="282" t="s">
        <v>1215</v>
      </c>
      <c r="O538" s="239" t="s">
        <v>54</v>
      </c>
      <c r="P538" s="64" t="str">
        <f ca="1">IF(AND(OR(INDIRECT("K" &amp; ROW())="NAV-Premium",INDIRECT("K" &amp; ROW())="DA-Premium"),INDIRECT("M" &amp; ROW())="PARTITION_SCHEMA128__NavPiviJpn", INDIRECT("O" &amp; ROW())="JPN_SDB"),'SDB vs GN'!$B$41, IF(INDIRECT("H" &amp; ROW())="Chenc",'SDB vs GN'!$B$40, VLOOKUP(INDIRECT("O" &amp; ROW()),'SDB vs GN'!$A$16:$B$38,2,FALSE)))</f>
        <v>731_EUR</v>
      </c>
      <c r="Q538" s="79" t="s">
        <v>396</v>
      </c>
      <c r="R538" s="238" t="s">
        <v>248</v>
      </c>
      <c r="S538" s="157" t="s">
        <v>10</v>
      </c>
      <c r="T538" s="64" t="s">
        <v>449</v>
      </c>
      <c r="U538" s="104" t="s">
        <v>12</v>
      </c>
      <c r="V538" s="172" t="s">
        <v>560</v>
      </c>
      <c r="W538" s="76" t="s">
        <v>447</v>
      </c>
      <c r="X538" s="64" t="s">
        <v>521</v>
      </c>
      <c r="Y538" s="282" t="s">
        <v>1286</v>
      </c>
      <c r="Z538" s="282" t="s">
        <v>1592</v>
      </c>
      <c r="AA538" s="96"/>
      <c r="AB538" s="131" t="s">
        <v>225</v>
      </c>
      <c r="AC538" s="229" t="s">
        <v>2269</v>
      </c>
      <c r="AD538" s="67" t="s">
        <v>889</v>
      </c>
      <c r="AE538" s="302"/>
      <c r="AF538" s="67"/>
      <c r="AG538" s="67"/>
      <c r="AH538" s="229" t="s">
        <v>2268</v>
      </c>
    </row>
    <row r="539" spans="1:34">
      <c r="A539" s="51">
        <v>530</v>
      </c>
      <c r="B539" s="81" t="str">
        <f t="shared" si="23"/>
        <v>0212</v>
      </c>
      <c r="C539" s="399" t="s">
        <v>1191</v>
      </c>
      <c r="D539" s="55" t="s">
        <v>2060</v>
      </c>
      <c r="E539" s="295" t="s">
        <v>1233</v>
      </c>
      <c r="F539" s="78" t="s">
        <v>1052</v>
      </c>
      <c r="G539" s="78" t="s">
        <v>761</v>
      </c>
      <c r="H539" s="55" t="s">
        <v>637</v>
      </c>
      <c r="I539" s="79" t="s">
        <v>815</v>
      </c>
      <c r="J539" s="127" t="s">
        <v>1</v>
      </c>
      <c r="K539" s="79" t="s">
        <v>749</v>
      </c>
      <c r="L539" s="64" t="s">
        <v>856</v>
      </c>
      <c r="M539" s="55" t="s">
        <v>1614</v>
      </c>
      <c r="N539" s="282" t="s">
        <v>1215</v>
      </c>
      <c r="O539" s="238" t="s">
        <v>126</v>
      </c>
      <c r="P539" s="64" t="str">
        <f ca="1">IF(AND(OR(INDIRECT("K" &amp; ROW())="NAV-Premium",INDIRECT("K" &amp; ROW())="DA-Premium"),INDIRECT("M" &amp; ROW())="PARTITION_SCHEMA128__NavPiviJpn", INDIRECT("O" &amp; ROW())="JPN_SDB"),'SDB vs GN'!$B$41, IF(INDIRECT("H" &amp; ROW())="Chenc",'SDB vs GN'!$B$40, VLOOKUP(INDIRECT("O" &amp; ROW()),'SDB vs GN'!$A$16:$B$38,2,FALSE)))</f>
        <v>735_LA</v>
      </c>
      <c r="Q539" s="79" t="s">
        <v>396</v>
      </c>
      <c r="R539" s="238" t="s">
        <v>248</v>
      </c>
      <c r="S539" s="157" t="s">
        <v>10</v>
      </c>
      <c r="T539" s="79" t="s">
        <v>449</v>
      </c>
      <c r="U539" s="104" t="s">
        <v>12</v>
      </c>
      <c r="V539" s="172" t="s">
        <v>556</v>
      </c>
      <c r="W539" s="76" t="s">
        <v>447</v>
      </c>
      <c r="X539" s="64" t="s">
        <v>521</v>
      </c>
      <c r="Y539" s="282" t="s">
        <v>1286</v>
      </c>
      <c r="Z539" s="282" t="s">
        <v>1592</v>
      </c>
      <c r="AA539" s="96"/>
      <c r="AB539" s="131" t="s">
        <v>225</v>
      </c>
      <c r="AC539" s="398" t="s">
        <v>2064</v>
      </c>
      <c r="AD539" s="67" t="s">
        <v>889</v>
      </c>
      <c r="AE539" s="302"/>
      <c r="AF539" s="67"/>
      <c r="AG539" s="67"/>
      <c r="AH539" s="398" t="s">
        <v>2070</v>
      </c>
    </row>
    <row r="540" spans="1:34">
      <c r="A540" s="51">
        <v>531</v>
      </c>
      <c r="B540" s="81" t="str">
        <f t="shared" si="23"/>
        <v>0213</v>
      </c>
      <c r="C540" s="399" t="s">
        <v>1192</v>
      </c>
      <c r="D540" s="55" t="s">
        <v>2060</v>
      </c>
      <c r="E540" s="295" t="s">
        <v>1233</v>
      </c>
      <c r="F540" s="78" t="s">
        <v>1052</v>
      </c>
      <c r="G540" s="78" t="s">
        <v>761</v>
      </c>
      <c r="H540" s="55" t="s">
        <v>637</v>
      </c>
      <c r="I540" s="79" t="s">
        <v>815</v>
      </c>
      <c r="J540" s="127" t="s">
        <v>1</v>
      </c>
      <c r="K540" s="79" t="s">
        <v>749</v>
      </c>
      <c r="L540" s="64" t="s">
        <v>856</v>
      </c>
      <c r="M540" s="55" t="s">
        <v>1614</v>
      </c>
      <c r="N540" s="282" t="s">
        <v>1215</v>
      </c>
      <c r="O540" s="238" t="s">
        <v>126</v>
      </c>
      <c r="P540" s="64" t="str">
        <f ca="1">IF(AND(OR(INDIRECT("K" &amp; ROW())="NAV-Premium",INDIRECT("K" &amp; ROW())="DA-Premium"),INDIRECT("M" &amp; ROW())="PARTITION_SCHEMA128__NavPiviJpn", INDIRECT("O" &amp; ROW())="JPN_SDB"),'SDB vs GN'!$B$41, IF(INDIRECT("H" &amp; ROW())="Chenc",'SDB vs GN'!$B$40, VLOOKUP(INDIRECT("O" &amp; ROW()),'SDB vs GN'!$A$16:$B$38,2,FALSE)))</f>
        <v>735_LA</v>
      </c>
      <c r="Q540" s="79" t="s">
        <v>396</v>
      </c>
      <c r="R540" s="238" t="s">
        <v>248</v>
      </c>
      <c r="S540" s="103" t="s">
        <v>10</v>
      </c>
      <c r="T540" s="79" t="s">
        <v>449</v>
      </c>
      <c r="U540" s="104" t="s">
        <v>12</v>
      </c>
      <c r="V540" s="172" t="s">
        <v>557</v>
      </c>
      <c r="W540" s="76" t="s">
        <v>447</v>
      </c>
      <c r="X540" s="64" t="s">
        <v>521</v>
      </c>
      <c r="Y540" s="282" t="s">
        <v>1286</v>
      </c>
      <c r="Z540" s="282" t="s">
        <v>1592</v>
      </c>
      <c r="AA540" s="96"/>
      <c r="AB540" s="154" t="s">
        <v>225</v>
      </c>
      <c r="AC540" s="398" t="s">
        <v>2065</v>
      </c>
      <c r="AD540" s="67" t="s">
        <v>889</v>
      </c>
      <c r="AE540" s="302"/>
      <c r="AF540" s="194"/>
      <c r="AG540" s="194"/>
      <c r="AH540" s="398" t="s">
        <v>2071</v>
      </c>
    </row>
    <row r="541" spans="1:34">
      <c r="A541" s="51">
        <v>532</v>
      </c>
      <c r="B541" s="81" t="str">
        <f t="shared" si="23"/>
        <v>0214</v>
      </c>
      <c r="C541" s="413" t="s">
        <v>1378</v>
      </c>
      <c r="D541" s="55" t="s">
        <v>2060</v>
      </c>
      <c r="E541" s="314" t="s">
        <v>1233</v>
      </c>
      <c r="F541" s="78" t="s">
        <v>1052</v>
      </c>
      <c r="G541" s="78" t="s">
        <v>761</v>
      </c>
      <c r="H541" s="282" t="s">
        <v>637</v>
      </c>
      <c r="I541" s="295" t="s">
        <v>815</v>
      </c>
      <c r="J541" s="127" t="s">
        <v>1</v>
      </c>
      <c r="K541" s="79" t="s">
        <v>749</v>
      </c>
      <c r="L541" s="64" t="s">
        <v>856</v>
      </c>
      <c r="M541" s="282" t="s">
        <v>1614</v>
      </c>
      <c r="N541" s="282" t="s">
        <v>1215</v>
      </c>
      <c r="O541" s="296" t="s">
        <v>84</v>
      </c>
      <c r="P541" s="64" t="str">
        <f ca="1">IF(AND(OR(INDIRECT("K" &amp; ROW())="NAV-Premium",INDIRECT("K" &amp; ROW())="DA-Premium"),INDIRECT("M" &amp; ROW())="PARTITION_SCHEMA128__NavPiviJpn", INDIRECT("O" &amp; ROW())="JPN_SDB"),'SDB vs GN'!$B$41, IF(INDIRECT("H" &amp; ROW())="Chenc",'SDB vs GN'!$B$40, VLOOKUP(INDIRECT("O" &amp; ROW()),'SDB vs GN'!$A$16:$B$38,2,FALSE)))</f>
        <v>727_NAM</v>
      </c>
      <c r="Q541" s="79" t="s">
        <v>396</v>
      </c>
      <c r="R541" s="64" t="s">
        <v>60</v>
      </c>
      <c r="S541" s="103" t="s">
        <v>10</v>
      </c>
      <c r="T541" s="295" t="s">
        <v>449</v>
      </c>
      <c r="U541" s="104" t="s">
        <v>12</v>
      </c>
      <c r="V541" s="68" t="s">
        <v>529</v>
      </c>
      <c r="W541" s="298" t="s">
        <v>447</v>
      </c>
      <c r="X541" s="64" t="s">
        <v>521</v>
      </c>
      <c r="Y541" s="282" t="s">
        <v>1286</v>
      </c>
      <c r="Z541" s="282" t="s">
        <v>1592</v>
      </c>
      <c r="AA541" s="299"/>
      <c r="AB541" s="300" t="s">
        <v>225</v>
      </c>
      <c r="AC541" s="398" t="s">
        <v>2066</v>
      </c>
      <c r="AD541" s="67" t="s">
        <v>889</v>
      </c>
      <c r="AE541" s="302"/>
      <c r="AF541" s="67"/>
      <c r="AG541" s="67"/>
      <c r="AH541" s="398" t="s">
        <v>2072</v>
      </c>
    </row>
    <row r="542" spans="1:34" ht="52.8">
      <c r="A542" s="51">
        <v>533</v>
      </c>
      <c r="B542" s="81" t="str">
        <f t="shared" si="23"/>
        <v>0215</v>
      </c>
      <c r="C542" s="168" t="s">
        <v>1870</v>
      </c>
      <c r="D542" s="55" t="s">
        <v>2060</v>
      </c>
      <c r="E542" s="282" t="s">
        <v>1233</v>
      </c>
      <c r="F542" s="78" t="s">
        <v>1052</v>
      </c>
      <c r="G542" s="78" t="s">
        <v>761</v>
      </c>
      <c r="H542" s="282" t="s">
        <v>637</v>
      </c>
      <c r="I542" s="295" t="s">
        <v>815</v>
      </c>
      <c r="J542" s="127" t="s">
        <v>1</v>
      </c>
      <c r="K542" s="282" t="s">
        <v>749</v>
      </c>
      <c r="L542" s="64" t="s">
        <v>856</v>
      </c>
      <c r="M542" s="55" t="s">
        <v>1614</v>
      </c>
      <c r="N542" s="282" t="s">
        <v>1215</v>
      </c>
      <c r="O542" s="238" t="s">
        <v>97</v>
      </c>
      <c r="P542" s="64" t="str">
        <f ca="1">IF(AND(OR(INDIRECT("K" &amp; ROW())="NAV-Premium",INDIRECT("K" &amp; ROW())="DA-Premium"),INDIRECT("M" &amp; ROW())="PARTITION_SCHEMA128__NavPiviJpn", INDIRECT("O" &amp; ROW())="JPN_SDB"),'SDB vs GN'!$B$41, IF(INDIRECT("H" &amp; ROW())="Chenc",'SDB vs GN'!$B$40, VLOOKUP(INDIRECT("O" &amp; ROW()),'SDB vs GN'!$A$16:$B$38,2,FALSE)))</f>
        <v>734_CN_831_AUSKRJPN</v>
      </c>
      <c r="Q542" s="79" t="s">
        <v>396</v>
      </c>
      <c r="R542" s="165" t="s">
        <v>61</v>
      </c>
      <c r="S542" s="157" t="s">
        <v>10</v>
      </c>
      <c r="T542" s="295" t="s">
        <v>449</v>
      </c>
      <c r="U542" s="332" t="s">
        <v>12</v>
      </c>
      <c r="V542" s="172" t="s">
        <v>563</v>
      </c>
      <c r="W542" s="298" t="s">
        <v>447</v>
      </c>
      <c r="X542" s="297" t="s">
        <v>521</v>
      </c>
      <c r="Y542" s="282" t="s">
        <v>1286</v>
      </c>
      <c r="Z542" s="282" t="s">
        <v>1592</v>
      </c>
      <c r="AA542" s="299"/>
      <c r="AB542" s="300" t="s">
        <v>225</v>
      </c>
      <c r="AC542" s="229" t="s">
        <v>2293</v>
      </c>
      <c r="AD542" s="67" t="s">
        <v>889</v>
      </c>
      <c r="AE542" s="302"/>
      <c r="AF542" s="302"/>
      <c r="AG542" s="302"/>
      <c r="AH542" s="229" t="s">
        <v>2292</v>
      </c>
    </row>
    <row r="543" spans="1:34" ht="26.4">
      <c r="A543" s="51">
        <v>534</v>
      </c>
      <c r="B543" s="81" t="str">
        <f t="shared" si="23"/>
        <v>0216</v>
      </c>
      <c r="C543" s="72" t="s">
        <v>1868</v>
      </c>
      <c r="D543" s="55" t="s">
        <v>2060</v>
      </c>
      <c r="E543" s="323" t="s">
        <v>1233</v>
      </c>
      <c r="F543" s="78" t="s">
        <v>1052</v>
      </c>
      <c r="G543" s="78" t="s">
        <v>761</v>
      </c>
      <c r="H543" s="282" t="s">
        <v>637</v>
      </c>
      <c r="I543" s="295" t="s">
        <v>815</v>
      </c>
      <c r="J543" s="127" t="s">
        <v>1</v>
      </c>
      <c r="K543" s="282" t="s">
        <v>749</v>
      </c>
      <c r="L543" s="64" t="s">
        <v>856</v>
      </c>
      <c r="M543" s="55" t="s">
        <v>1614</v>
      </c>
      <c r="N543" s="282" t="s">
        <v>1215</v>
      </c>
      <c r="O543" s="238" t="s">
        <v>825</v>
      </c>
      <c r="P543" s="64" t="str">
        <f ca="1">IF(AND(OR(INDIRECT("K" &amp; ROW())="NAV-Premium",INDIRECT("K" &amp; ROW())="DA-Premium"),INDIRECT("M" &amp; ROW())="PARTITION_SCHEMA128__NavPiviJpn", INDIRECT("O" &amp; ROW())="JPN_SDB"),'SDB vs GN'!$B$41, IF(INDIRECT("H" &amp; ROW())="Chenc",'SDB vs GN'!$B$40, VLOOKUP(INDIRECT("O" &amp; ROW()),'SDB vs GN'!$A$16:$B$38,2,FALSE)))</f>
        <v>831_AUSKRJPN</v>
      </c>
      <c r="Q543" s="79" t="s">
        <v>396</v>
      </c>
      <c r="R543" s="64" t="s">
        <v>61</v>
      </c>
      <c r="S543" s="157" t="s">
        <v>10</v>
      </c>
      <c r="T543" s="295" t="s">
        <v>449</v>
      </c>
      <c r="U543" s="332" t="s">
        <v>12</v>
      </c>
      <c r="V543" s="174" t="s">
        <v>558</v>
      </c>
      <c r="W543" s="298" t="s">
        <v>447</v>
      </c>
      <c r="X543" s="297" t="s">
        <v>521</v>
      </c>
      <c r="Y543" s="282" t="s">
        <v>1286</v>
      </c>
      <c r="Z543" s="282" t="s">
        <v>1592</v>
      </c>
      <c r="AA543" s="299"/>
      <c r="AB543" s="300" t="s">
        <v>225</v>
      </c>
      <c r="AC543" s="229" t="s">
        <v>2285</v>
      </c>
      <c r="AD543" s="67" t="s">
        <v>889</v>
      </c>
      <c r="AE543" s="302"/>
      <c r="AF543" s="302"/>
      <c r="AG543" s="302"/>
      <c r="AH543" s="229" t="s">
        <v>2284</v>
      </c>
    </row>
    <row r="544" spans="1:34" s="36" customFormat="1" ht="26.4">
      <c r="A544" s="51">
        <v>535</v>
      </c>
      <c r="B544" s="81" t="str">
        <f t="shared" ref="B544:B545" si="24">DEC2HEX(A544,4)</f>
        <v>0217</v>
      </c>
      <c r="C544" s="170" t="s">
        <v>2073</v>
      </c>
      <c r="D544" s="61" t="s">
        <v>476</v>
      </c>
      <c r="E544" s="323" t="s">
        <v>1233</v>
      </c>
      <c r="F544" s="115" t="s">
        <v>1049</v>
      </c>
      <c r="G544" s="115" t="s">
        <v>346</v>
      </c>
      <c r="H544" s="55" t="s">
        <v>637</v>
      </c>
      <c r="I544" s="155" t="s">
        <v>815</v>
      </c>
      <c r="J544" s="55" t="s">
        <v>0</v>
      </c>
      <c r="K544" s="61" t="s">
        <v>454</v>
      </c>
      <c r="L544" s="100" t="s">
        <v>1317</v>
      </c>
      <c r="M544" s="55" t="s">
        <v>236</v>
      </c>
      <c r="N544" s="282" t="s">
        <v>1215</v>
      </c>
      <c r="O544" s="239" t="s">
        <v>2082</v>
      </c>
      <c r="P544" s="64" t="str">
        <f ca="1">IF(AND(OR(INDIRECT("K" &amp; ROW())="NAV-Premium",INDIRECT("K" &amp; ROW())="DA-Premium"),INDIRECT("M" &amp; ROW())="PARTITION_SCHEMA128__NavPiviJpn", INDIRECT("O" &amp; ROW())="JPN_SDB"),'SDB vs GN'!$B$41, IF(INDIRECT("H" &amp; ROW())="Chenc",'SDB vs GN'!$B$40, VLOOKUP(INDIRECT("O" &amp; ROW()),'SDB vs GN'!$A$16:$B$38,2,FALSE)))</f>
        <v>731_EUR</v>
      </c>
      <c r="Q544" s="64" t="s">
        <v>835</v>
      </c>
      <c r="R544" s="64" t="s">
        <v>61</v>
      </c>
      <c r="S544" s="103" t="s">
        <v>10</v>
      </c>
      <c r="T544" s="64" t="s">
        <v>449</v>
      </c>
      <c r="U544" s="104" t="s">
        <v>816</v>
      </c>
      <c r="V544" s="174" t="s">
        <v>598</v>
      </c>
      <c r="W544" s="76" t="s">
        <v>447</v>
      </c>
      <c r="X544" s="64" t="s">
        <v>521</v>
      </c>
      <c r="Y544" s="282" t="s">
        <v>1286</v>
      </c>
      <c r="Z544" s="282" t="s">
        <v>1592</v>
      </c>
      <c r="AA544" s="96"/>
      <c r="AB544" s="131" t="s">
        <v>225</v>
      </c>
      <c r="AC544" s="229" t="s">
        <v>2173</v>
      </c>
      <c r="AD544" s="72" t="s">
        <v>888</v>
      </c>
      <c r="AE544" s="302"/>
      <c r="AF544" s="67"/>
      <c r="AG544" s="67"/>
      <c r="AH544" s="72" t="s">
        <v>2579</v>
      </c>
    </row>
    <row r="545" spans="1:38" ht="26.4">
      <c r="A545" s="51">
        <v>536</v>
      </c>
      <c r="B545" s="81" t="str">
        <f t="shared" si="24"/>
        <v>0218</v>
      </c>
      <c r="C545" s="55" t="s">
        <v>2074</v>
      </c>
      <c r="D545" s="61" t="s">
        <v>475</v>
      </c>
      <c r="E545" s="323" t="s">
        <v>1233</v>
      </c>
      <c r="F545" s="167" t="s">
        <v>1053</v>
      </c>
      <c r="G545" s="167" t="s">
        <v>479</v>
      </c>
      <c r="H545" s="55" t="s">
        <v>637</v>
      </c>
      <c r="I545" s="94" t="s">
        <v>4</v>
      </c>
      <c r="J545" s="55" t="s">
        <v>0</v>
      </c>
      <c r="K545" s="61" t="s">
        <v>478</v>
      </c>
      <c r="L545" s="100" t="s">
        <v>1317</v>
      </c>
      <c r="M545" s="55" t="s">
        <v>1027</v>
      </c>
      <c r="N545" s="282" t="s">
        <v>1215</v>
      </c>
      <c r="O545" s="239" t="s">
        <v>2082</v>
      </c>
      <c r="P545" s="64" t="str">
        <f ca="1">IF(AND(OR(INDIRECT("K" &amp; ROW())="NAV-Premium",INDIRECT("K" &amp; ROW())="DA-Premium"),INDIRECT("M" &amp; ROW())="PARTITION_SCHEMA128__NavPiviJpn", INDIRECT("O" &amp; ROW())="JPN_SDB"),'SDB vs GN'!$B$41, IF(INDIRECT("H" &amp; ROW())="Chenc",'SDB vs GN'!$B$40, VLOOKUP(INDIRECT("O" &amp; ROW()),'SDB vs GN'!$A$16:$B$38,2,FALSE)))</f>
        <v>731_EUR</v>
      </c>
      <c r="Q545" s="64" t="s">
        <v>952</v>
      </c>
      <c r="R545" s="64" t="s">
        <v>61</v>
      </c>
      <c r="S545" s="103" t="s">
        <v>10</v>
      </c>
      <c r="T545" s="64" t="s">
        <v>449</v>
      </c>
      <c r="U545" s="104" t="s">
        <v>816</v>
      </c>
      <c r="V545" s="173" t="s">
        <v>7</v>
      </c>
      <c r="W545" s="76" t="s">
        <v>447</v>
      </c>
      <c r="X545" s="64" t="s">
        <v>521</v>
      </c>
      <c r="Y545" s="282" t="s">
        <v>1286</v>
      </c>
      <c r="Z545" s="282" t="s">
        <v>1592</v>
      </c>
      <c r="AA545" s="96"/>
      <c r="AB545" s="131" t="s">
        <v>225</v>
      </c>
      <c r="AC545" s="229" t="s">
        <v>2174</v>
      </c>
      <c r="AD545" s="72" t="s">
        <v>888</v>
      </c>
      <c r="AE545" s="302"/>
      <c r="AF545" s="67"/>
      <c r="AG545" s="67"/>
      <c r="AH545" s="261" t="s">
        <v>2175</v>
      </c>
    </row>
    <row r="546" spans="1:38" ht="105.6">
      <c r="A546" s="51">
        <v>537</v>
      </c>
      <c r="B546" s="81" t="str">
        <f t="shared" ref="B546:B553" si="25">DEC2HEX(A546,4)</f>
        <v>0219</v>
      </c>
      <c r="C546" s="76" t="s">
        <v>2158</v>
      </c>
      <c r="D546" s="55" t="s">
        <v>1013</v>
      </c>
      <c r="E546" s="295" t="s">
        <v>1233</v>
      </c>
      <c r="F546" s="354" t="s">
        <v>1055</v>
      </c>
      <c r="G546" s="354" t="s">
        <v>879</v>
      </c>
      <c r="H546" s="282" t="s">
        <v>637</v>
      </c>
      <c r="I546" s="295" t="s">
        <v>815</v>
      </c>
      <c r="J546" s="283" t="s">
        <v>0</v>
      </c>
      <c r="K546" s="282" t="s">
        <v>452</v>
      </c>
      <c r="L546" s="297" t="s">
        <v>1393</v>
      </c>
      <c r="M546" s="55" t="s">
        <v>1375</v>
      </c>
      <c r="N546" s="282" t="s">
        <v>1215</v>
      </c>
      <c r="O546" s="238" t="s">
        <v>825</v>
      </c>
      <c r="P546" s="64" t="str">
        <f ca="1">IF(AND(OR(INDIRECT("K" &amp; ROW())="NAV-Premium",INDIRECT("K" &amp; ROW())="DA-Premium"),INDIRECT("M" &amp; ROW())="PARTITION_SCHEMA128__NavPiviJpn", INDIRECT("O" &amp; ROW())="JPN_SDB"),'SDB vs GN'!$B$41, IF(INDIRECT("H" &amp; ROW())="Chenc",'SDB vs GN'!$B$40, VLOOKUP(INDIRECT("O" &amp; ROW()),'SDB vs GN'!$A$16:$B$38,2,FALSE)))</f>
        <v>831_AUSKRJPN</v>
      </c>
      <c r="Q546" s="79" t="s">
        <v>396</v>
      </c>
      <c r="R546" s="64" t="s">
        <v>59</v>
      </c>
      <c r="S546" s="340" t="s">
        <v>10</v>
      </c>
      <c r="T546" s="297" t="s">
        <v>449</v>
      </c>
      <c r="U546" s="104" t="s">
        <v>816</v>
      </c>
      <c r="V546" s="172" t="s">
        <v>1368</v>
      </c>
      <c r="W546" s="298" t="s">
        <v>447</v>
      </c>
      <c r="X546" s="64" t="s">
        <v>521</v>
      </c>
      <c r="Y546" s="282" t="s">
        <v>1286</v>
      </c>
      <c r="Z546" s="282" t="s">
        <v>1592</v>
      </c>
      <c r="AA546" s="299"/>
      <c r="AB546" s="300" t="s">
        <v>225</v>
      </c>
      <c r="AC546" s="226" t="s">
        <v>2828</v>
      </c>
      <c r="AD546" s="67" t="s">
        <v>889</v>
      </c>
      <c r="AE546" s="302"/>
      <c r="AF546" s="302"/>
      <c r="AG546" s="302"/>
      <c r="AH546" s="303" t="s">
        <v>2827</v>
      </c>
    </row>
    <row r="547" spans="1:38" ht="92.4">
      <c r="A547" s="51">
        <v>538</v>
      </c>
      <c r="B547" s="81" t="str">
        <f t="shared" si="25"/>
        <v>021A</v>
      </c>
      <c r="C547" s="329" t="s">
        <v>2106</v>
      </c>
      <c r="D547" s="55" t="s">
        <v>1013</v>
      </c>
      <c r="E547" s="314" t="s">
        <v>1233</v>
      </c>
      <c r="F547" s="354" t="s">
        <v>1055</v>
      </c>
      <c r="G547" s="354" t="s">
        <v>879</v>
      </c>
      <c r="H547" s="282" t="s">
        <v>637</v>
      </c>
      <c r="I547" s="295" t="s">
        <v>815</v>
      </c>
      <c r="J547" s="283" t="s">
        <v>0</v>
      </c>
      <c r="K547" s="282" t="s">
        <v>452</v>
      </c>
      <c r="L547" s="297" t="s">
        <v>1393</v>
      </c>
      <c r="M547" s="55" t="s">
        <v>1375</v>
      </c>
      <c r="N547" s="282" t="s">
        <v>1215</v>
      </c>
      <c r="O547" s="238" t="s">
        <v>97</v>
      </c>
      <c r="P547" s="64" t="str">
        <f ca="1">IF(AND(OR(INDIRECT("K" &amp; ROW())="NAV-Premium",INDIRECT("K" &amp; ROW())="DA-Premium"),INDIRECT("M" &amp; ROW())="PARTITION_SCHEMA128__NavPiviJpn", INDIRECT("O" &amp; ROW())="JPN_SDB"),'SDB vs GN'!$B$41, IF(INDIRECT("H" &amp; ROW())="Chenc",'SDB vs GN'!$B$40, VLOOKUP(INDIRECT("O" &amp; ROW()),'SDB vs GN'!$A$16:$B$38,2,FALSE)))</f>
        <v>734_CN_831_AUSKRJPN</v>
      </c>
      <c r="Q547" s="79" t="s">
        <v>396</v>
      </c>
      <c r="R547" s="64" t="s">
        <v>59</v>
      </c>
      <c r="S547" s="340" t="s">
        <v>10</v>
      </c>
      <c r="T547" s="295" t="s">
        <v>449</v>
      </c>
      <c r="U547" s="104" t="s">
        <v>816</v>
      </c>
      <c r="V547" s="172" t="s">
        <v>1115</v>
      </c>
      <c r="W547" s="298" t="s">
        <v>447</v>
      </c>
      <c r="X547" s="64" t="s">
        <v>521</v>
      </c>
      <c r="Y547" s="282" t="s">
        <v>1286</v>
      </c>
      <c r="Z547" s="282" t="s">
        <v>1592</v>
      </c>
      <c r="AA547" s="299"/>
      <c r="AB547" s="300" t="s">
        <v>225</v>
      </c>
      <c r="AC547" s="301" t="s">
        <v>2818</v>
      </c>
      <c r="AD547" s="67" t="s">
        <v>889</v>
      </c>
      <c r="AE547" s="302"/>
      <c r="AF547" s="302"/>
      <c r="AG547" s="302"/>
      <c r="AH547" s="303" t="s">
        <v>2817</v>
      </c>
    </row>
    <row r="548" spans="1:38" ht="39.6">
      <c r="A548" s="51">
        <v>539</v>
      </c>
      <c r="B548" s="81" t="str">
        <f t="shared" si="25"/>
        <v>021B</v>
      </c>
      <c r="C548" s="79" t="s">
        <v>2144</v>
      </c>
      <c r="D548" s="94" t="s">
        <v>136</v>
      </c>
      <c r="E548" s="314" t="s">
        <v>1233</v>
      </c>
      <c r="F548" s="177" t="s">
        <v>1046</v>
      </c>
      <c r="G548" s="177" t="s">
        <v>344</v>
      </c>
      <c r="H548" s="55" t="s">
        <v>637</v>
      </c>
      <c r="I548" s="94" t="s">
        <v>4</v>
      </c>
      <c r="J548" s="55" t="s">
        <v>0</v>
      </c>
      <c r="K548" s="127" t="s">
        <v>451</v>
      </c>
      <c r="L548" s="94" t="s">
        <v>499</v>
      </c>
      <c r="M548" s="55" t="s">
        <v>255</v>
      </c>
      <c r="N548" s="282" t="s">
        <v>1215</v>
      </c>
      <c r="O548" s="239" t="s">
        <v>2082</v>
      </c>
      <c r="P548" s="64" t="str">
        <f ca="1">IF(AND(OR(INDIRECT("K" &amp; ROW())="NAV-Premium",INDIRECT("K" &amp; ROW())="DA-Premium"),INDIRECT("M" &amp; ROW())="PARTITION_SCHEMA128__NavPiviJpn", INDIRECT("O" &amp; ROW())="JPN_SDB"),'SDB vs GN'!$B$41, IF(INDIRECT("H" &amp; ROW())="Chenc",'SDB vs GN'!$B$40, VLOOKUP(INDIRECT("O" &amp; ROW()),'SDB vs GN'!$A$16:$B$38,2,FALSE)))</f>
        <v>731_EUR</v>
      </c>
      <c r="Q548" s="79" t="s">
        <v>396</v>
      </c>
      <c r="R548" s="64" t="s">
        <v>61</v>
      </c>
      <c r="S548" s="157" t="s">
        <v>10</v>
      </c>
      <c r="T548" s="79" t="s">
        <v>449</v>
      </c>
      <c r="U548" s="104" t="s">
        <v>816</v>
      </c>
      <c r="V548" s="172" t="s">
        <v>7</v>
      </c>
      <c r="W548" s="76" t="s">
        <v>2184</v>
      </c>
      <c r="X548" s="64" t="s">
        <v>521</v>
      </c>
      <c r="Y548" s="282" t="s">
        <v>1286</v>
      </c>
      <c r="Z548" s="282" t="s">
        <v>1592</v>
      </c>
      <c r="AA548" s="37"/>
      <c r="AB548" s="154" t="s">
        <v>225</v>
      </c>
      <c r="AC548" s="229" t="s">
        <v>2240</v>
      </c>
      <c r="AD548" s="72" t="s">
        <v>808</v>
      </c>
      <c r="AE548" s="302"/>
      <c r="AF548" s="67"/>
      <c r="AG548" s="67"/>
      <c r="AH548" s="261" t="s">
        <v>2238</v>
      </c>
      <c r="AI548" s="24"/>
      <c r="AJ548" s="24"/>
      <c r="AK548" s="24"/>
      <c r="AL548" s="24"/>
    </row>
    <row r="549" spans="1:38" ht="39.6">
      <c r="A549" s="51">
        <v>540</v>
      </c>
      <c r="B549" s="81" t="str">
        <f t="shared" si="25"/>
        <v>021C</v>
      </c>
      <c r="C549" s="61" t="s">
        <v>2172</v>
      </c>
      <c r="D549" s="94" t="s">
        <v>704</v>
      </c>
      <c r="E549" s="314" t="s">
        <v>1233</v>
      </c>
      <c r="F549" s="178" t="s">
        <v>1044</v>
      </c>
      <c r="G549" s="178" t="s">
        <v>345</v>
      </c>
      <c r="H549" s="55" t="s">
        <v>637</v>
      </c>
      <c r="I549" s="79" t="s">
        <v>815</v>
      </c>
      <c r="J549" s="55" t="s">
        <v>0</v>
      </c>
      <c r="K549" s="55" t="s">
        <v>452</v>
      </c>
      <c r="L549" s="158" t="s">
        <v>499</v>
      </c>
      <c r="M549" s="55" t="s">
        <v>256</v>
      </c>
      <c r="N549" s="282" t="s">
        <v>1215</v>
      </c>
      <c r="O549" s="239" t="s">
        <v>2082</v>
      </c>
      <c r="P549" s="64" t="str">
        <f ca="1">IF(AND(OR(INDIRECT("K" &amp; ROW())="NAV-Premium",INDIRECT("K" &amp; ROW())="DA-Premium"),INDIRECT("M" &amp; ROW())="PARTITION_SCHEMA128__NavPiviJpn", INDIRECT("O" &amp; ROW())="JPN_SDB"),'SDB vs GN'!$B$41, IF(INDIRECT("H" &amp; ROW())="Chenc",'SDB vs GN'!$B$40, VLOOKUP(INDIRECT("O" &amp; ROW()),'SDB vs GN'!$A$16:$B$38,2,FALSE)))</f>
        <v>731_EUR</v>
      </c>
      <c r="Q549" s="79" t="s">
        <v>396</v>
      </c>
      <c r="R549" s="64" t="s">
        <v>61</v>
      </c>
      <c r="S549" s="103" t="s">
        <v>10</v>
      </c>
      <c r="T549" s="64" t="s">
        <v>449</v>
      </c>
      <c r="U549" s="104" t="s">
        <v>816</v>
      </c>
      <c r="V549" s="173" t="s">
        <v>1132</v>
      </c>
      <c r="W549" s="76" t="s">
        <v>447</v>
      </c>
      <c r="X549" s="64" t="s">
        <v>521</v>
      </c>
      <c r="Y549" s="282" t="s">
        <v>1286</v>
      </c>
      <c r="Z549" s="282" t="s">
        <v>1592</v>
      </c>
      <c r="AA549" s="96"/>
      <c r="AB549" s="105" t="s">
        <v>225</v>
      </c>
      <c r="AC549" s="229" t="s">
        <v>2239</v>
      </c>
      <c r="AD549" s="72" t="s">
        <v>808</v>
      </c>
      <c r="AE549" s="302"/>
      <c r="AF549" s="67"/>
      <c r="AG549" s="67"/>
      <c r="AH549" s="261" t="s">
        <v>2237</v>
      </c>
      <c r="AI549" s="24"/>
      <c r="AJ549" s="24"/>
      <c r="AK549" s="24"/>
      <c r="AL549" s="24"/>
    </row>
    <row r="550" spans="1:38" ht="79.2">
      <c r="A550" s="51">
        <v>541</v>
      </c>
      <c r="B550" s="81" t="str">
        <f t="shared" si="25"/>
        <v>021D</v>
      </c>
      <c r="C550" s="328" t="s">
        <v>2143</v>
      </c>
      <c r="D550" s="94" t="s">
        <v>136</v>
      </c>
      <c r="E550" s="314" t="s">
        <v>1233</v>
      </c>
      <c r="F550" s="327" t="s">
        <v>1054</v>
      </c>
      <c r="G550" s="327" t="s">
        <v>344</v>
      </c>
      <c r="H550" s="282" t="s">
        <v>637</v>
      </c>
      <c r="I550" s="94" t="s">
        <v>4</v>
      </c>
      <c r="J550" s="282" t="s">
        <v>0</v>
      </c>
      <c r="K550" s="282" t="s">
        <v>451</v>
      </c>
      <c r="L550" s="297" t="s">
        <v>857</v>
      </c>
      <c r="M550" s="55" t="s">
        <v>255</v>
      </c>
      <c r="N550" s="282" t="s">
        <v>1215</v>
      </c>
      <c r="O550" s="239" t="s">
        <v>2082</v>
      </c>
      <c r="P550" s="64" t="str">
        <f ca="1">IF(AND(OR(INDIRECT("K" &amp; ROW())="NAV-Premium",INDIRECT("K" &amp; ROW())="DA-Premium"),INDIRECT("M" &amp; ROW())="PARTITION_SCHEMA128__NavPiviJpn", INDIRECT("O" &amp; ROW())="JPN_SDB"),'SDB vs GN'!$B$41, IF(INDIRECT("H" &amp; ROW())="Chenc",'SDB vs GN'!$B$40, VLOOKUP(INDIRECT("O" &amp; ROW()),'SDB vs GN'!$A$16:$B$38,2,FALSE)))</f>
        <v>731_EUR</v>
      </c>
      <c r="Q550" s="79" t="s">
        <v>396</v>
      </c>
      <c r="R550" s="165" t="s">
        <v>61</v>
      </c>
      <c r="S550" s="340" t="s">
        <v>10</v>
      </c>
      <c r="T550" s="295" t="s">
        <v>449</v>
      </c>
      <c r="U550" s="104" t="s">
        <v>816</v>
      </c>
      <c r="V550" s="172" t="s">
        <v>7</v>
      </c>
      <c r="W550" s="76" t="s">
        <v>2184</v>
      </c>
      <c r="X550" s="64" t="s">
        <v>521</v>
      </c>
      <c r="Y550" s="282" t="s">
        <v>1286</v>
      </c>
      <c r="Z550" s="282" t="s">
        <v>1592</v>
      </c>
      <c r="AA550" s="299"/>
      <c r="AB550" s="300" t="s">
        <v>225</v>
      </c>
      <c r="AC550" s="229" t="s">
        <v>2549</v>
      </c>
      <c r="AD550" s="72" t="s">
        <v>808</v>
      </c>
      <c r="AE550" s="302"/>
      <c r="AF550" s="194"/>
      <c r="AG550" s="194"/>
      <c r="AH550" s="261" t="s">
        <v>2548</v>
      </c>
      <c r="AI550" s="24"/>
      <c r="AJ550" s="24"/>
      <c r="AK550" s="24"/>
      <c r="AL550" s="24"/>
    </row>
    <row r="551" spans="1:38">
      <c r="A551" s="51">
        <v>542</v>
      </c>
      <c r="B551" s="81" t="str">
        <f t="shared" si="25"/>
        <v>021E</v>
      </c>
      <c r="C551" s="414" t="s">
        <v>2141</v>
      </c>
      <c r="D551" s="55" t="s">
        <v>1013</v>
      </c>
      <c r="E551" s="282" t="s">
        <v>1233</v>
      </c>
      <c r="F551" s="267" t="s">
        <v>1055</v>
      </c>
      <c r="G551" s="252" t="s">
        <v>879</v>
      </c>
      <c r="H551" s="55" t="s">
        <v>637</v>
      </c>
      <c r="I551" s="79" t="s">
        <v>815</v>
      </c>
      <c r="J551" s="55" t="s">
        <v>0</v>
      </c>
      <c r="K551" s="55" t="s">
        <v>452</v>
      </c>
      <c r="L551" s="100" t="s">
        <v>857</v>
      </c>
      <c r="M551" s="55" t="s">
        <v>236</v>
      </c>
      <c r="N551" s="282" t="s">
        <v>1215</v>
      </c>
      <c r="O551" s="239" t="s">
        <v>2082</v>
      </c>
      <c r="P551" s="64" t="str">
        <f ca="1">IF(AND(OR(INDIRECT("K" &amp; ROW())="NAV-Premium",INDIRECT("K" &amp; ROW())="DA-Premium"),INDIRECT("M" &amp; ROW())="PARTITION_SCHEMA128__NavPiviJpn", INDIRECT("O" &amp; ROW())="JPN_SDB"),'SDB vs GN'!$B$41, IF(INDIRECT("H" &amp; ROW())="Chenc",'SDB vs GN'!$B$40, VLOOKUP(INDIRECT("O" &amp; ROW()),'SDB vs GN'!$A$16:$B$38,2,FALSE)))</f>
        <v>731_EUR</v>
      </c>
      <c r="Q551" s="79" t="s">
        <v>396</v>
      </c>
      <c r="R551" s="165" t="s">
        <v>61</v>
      </c>
      <c r="S551" s="157" t="s">
        <v>10</v>
      </c>
      <c r="T551" s="64" t="s">
        <v>449</v>
      </c>
      <c r="U551" s="104" t="s">
        <v>816</v>
      </c>
      <c r="V551" s="172" t="s">
        <v>1132</v>
      </c>
      <c r="W551" s="76" t="s">
        <v>447</v>
      </c>
      <c r="X551" s="64" t="s">
        <v>521</v>
      </c>
      <c r="Y551" s="282" t="s">
        <v>1286</v>
      </c>
      <c r="Z551" s="282" t="s">
        <v>1592</v>
      </c>
      <c r="AA551" s="96"/>
      <c r="AB551" s="131" t="s">
        <v>225</v>
      </c>
      <c r="AC551" s="398" t="s">
        <v>2139</v>
      </c>
      <c r="AD551" s="67" t="s">
        <v>888</v>
      </c>
      <c r="AE551" s="302"/>
      <c r="AF551" s="67"/>
      <c r="AG551" s="67"/>
      <c r="AH551" s="402" t="s">
        <v>2140</v>
      </c>
      <c r="AI551" s="24"/>
      <c r="AJ551" s="24"/>
      <c r="AK551" s="24"/>
      <c r="AL551" s="24"/>
    </row>
    <row r="552" spans="1:38" ht="92.4">
      <c r="A552" s="51">
        <v>543</v>
      </c>
      <c r="B552" s="81" t="str">
        <f t="shared" si="25"/>
        <v>021F</v>
      </c>
      <c r="C552" s="55" t="s">
        <v>2145</v>
      </c>
      <c r="D552" s="94" t="s">
        <v>136</v>
      </c>
      <c r="E552" s="314" t="s">
        <v>1233</v>
      </c>
      <c r="F552" s="355" t="s">
        <v>1054</v>
      </c>
      <c r="G552" s="355" t="s">
        <v>344</v>
      </c>
      <c r="H552" s="282" t="s">
        <v>637</v>
      </c>
      <c r="I552" s="94" t="s">
        <v>4</v>
      </c>
      <c r="J552" s="283" t="s">
        <v>0</v>
      </c>
      <c r="K552" s="282" t="s">
        <v>451</v>
      </c>
      <c r="L552" s="297" t="s">
        <v>1393</v>
      </c>
      <c r="M552" s="55" t="s">
        <v>255</v>
      </c>
      <c r="N552" s="282" t="s">
        <v>1215</v>
      </c>
      <c r="O552" s="239" t="s">
        <v>2082</v>
      </c>
      <c r="P552" s="297" t="str">
        <f ca="1">IF(AND(OR(INDIRECT("K" &amp; ROW())="NAV-Premium",INDIRECT("K" &amp; ROW())="DA-Premium"),INDIRECT("M" &amp; ROW())="PARTITION_SCHEMA128__NavPiviJpn", INDIRECT("O" &amp; ROW())="JPN_SDB"),'SDB vs GN'!$B$41, IF(INDIRECT("H" &amp; ROW())="Chenc",'SDB vs GN'!$B$40, VLOOKUP(INDIRECT("O" &amp; ROW()),'SDB vs GN'!$A$16:$B$38,2,FALSE)))</f>
        <v>731_EUR</v>
      </c>
      <c r="Q552" s="79" t="s">
        <v>396</v>
      </c>
      <c r="R552" s="165" t="s">
        <v>61</v>
      </c>
      <c r="S552" s="340" t="s">
        <v>10</v>
      </c>
      <c r="T552" s="295" t="s">
        <v>449</v>
      </c>
      <c r="U552" s="104" t="s">
        <v>816</v>
      </c>
      <c r="V552" s="308" t="s">
        <v>7</v>
      </c>
      <c r="W552" s="76" t="s">
        <v>2184</v>
      </c>
      <c r="X552" s="297" t="s">
        <v>521</v>
      </c>
      <c r="Y552" s="282" t="s">
        <v>1286</v>
      </c>
      <c r="Z552" s="282" t="s">
        <v>1592</v>
      </c>
      <c r="AA552" s="299"/>
      <c r="AB552" s="300" t="s">
        <v>225</v>
      </c>
      <c r="AC552" s="229" t="s">
        <v>2832</v>
      </c>
      <c r="AD552" s="67" t="s">
        <v>889</v>
      </c>
      <c r="AE552" s="302"/>
      <c r="AF552" s="302"/>
      <c r="AG552" s="302"/>
      <c r="AH552" s="261" t="s">
        <v>2831</v>
      </c>
      <c r="AI552" s="24"/>
      <c r="AJ552" s="24"/>
      <c r="AK552" s="24"/>
      <c r="AL552" s="24"/>
    </row>
    <row r="553" spans="1:38">
      <c r="A553" s="51">
        <v>544</v>
      </c>
      <c r="B553" s="81" t="str">
        <f t="shared" si="25"/>
        <v>0220</v>
      </c>
      <c r="C553" s="72" t="s">
        <v>2142</v>
      </c>
      <c r="D553" s="55" t="s">
        <v>1013</v>
      </c>
      <c r="E553" s="314" t="s">
        <v>1233</v>
      </c>
      <c r="F553" s="354" t="s">
        <v>1055</v>
      </c>
      <c r="G553" s="354" t="s">
        <v>879</v>
      </c>
      <c r="H553" s="282" t="s">
        <v>637</v>
      </c>
      <c r="I553" s="295" t="s">
        <v>815</v>
      </c>
      <c r="J553" s="283" t="s">
        <v>0</v>
      </c>
      <c r="K553" s="282" t="s">
        <v>452</v>
      </c>
      <c r="L553" s="297" t="s">
        <v>1393</v>
      </c>
      <c r="M553" s="55" t="s">
        <v>236</v>
      </c>
      <c r="N553" s="282" t="s">
        <v>1215</v>
      </c>
      <c r="O553" s="239" t="s">
        <v>2082</v>
      </c>
      <c r="P553" s="64" t="str">
        <f ca="1">IF(AND(OR(INDIRECT("K" &amp; ROW())="NAV-Premium",INDIRECT("K" &amp; ROW())="DA-Premium"),INDIRECT("M" &amp; ROW())="PARTITION_SCHEMA128__NavPiviJpn", INDIRECT("O" &amp; ROW())="JPN_SDB"),'SDB vs GN'!$B$41, IF(INDIRECT("H" &amp; ROW())="Chenc",'SDB vs GN'!$B$40, VLOOKUP(INDIRECT("O" &amp; ROW()),'SDB vs GN'!$A$16:$B$38,2,FALSE)))</f>
        <v>731_EUR</v>
      </c>
      <c r="Q553" s="79" t="s">
        <v>396</v>
      </c>
      <c r="R553" s="64" t="s">
        <v>61</v>
      </c>
      <c r="S553" s="340" t="s">
        <v>10</v>
      </c>
      <c r="T553" s="297" t="s">
        <v>449</v>
      </c>
      <c r="U553" s="104" t="s">
        <v>816</v>
      </c>
      <c r="V553" s="172" t="s">
        <v>1132</v>
      </c>
      <c r="W553" s="298" t="s">
        <v>447</v>
      </c>
      <c r="X553" s="64" t="s">
        <v>521</v>
      </c>
      <c r="Y553" s="282" t="s">
        <v>1286</v>
      </c>
      <c r="Z553" s="282" t="s">
        <v>1592</v>
      </c>
      <c r="AA553" s="299"/>
      <c r="AB553" s="300" t="s">
        <v>225</v>
      </c>
      <c r="AC553" s="229" t="s">
        <v>2146</v>
      </c>
      <c r="AD553" s="67" t="s">
        <v>889</v>
      </c>
      <c r="AE553" s="302"/>
      <c r="AF553" s="302"/>
      <c r="AG553" s="302"/>
      <c r="AH553" s="261" t="s">
        <v>2147</v>
      </c>
      <c r="AI553" s="24"/>
      <c r="AJ553" s="24"/>
      <c r="AK553" s="24"/>
      <c r="AL553" s="24"/>
    </row>
    <row r="554" spans="1:38" ht="66">
      <c r="A554" s="387">
        <v>545</v>
      </c>
      <c r="B554" s="388" t="str">
        <f t="shared" ref="B554:B555" si="26">DEC2HEX(A554,4)</f>
        <v>0221</v>
      </c>
      <c r="C554" s="224" t="s">
        <v>1785</v>
      </c>
      <c r="D554" s="94" t="s">
        <v>1735</v>
      </c>
      <c r="E554" s="282" t="s">
        <v>1233</v>
      </c>
      <c r="F554" s="192" t="s">
        <v>1085</v>
      </c>
      <c r="G554" s="192" t="s">
        <v>348</v>
      </c>
      <c r="H554" s="55" t="s">
        <v>637</v>
      </c>
      <c r="I554" s="94" t="s">
        <v>4</v>
      </c>
      <c r="J554" s="127" t="s">
        <v>1</v>
      </c>
      <c r="K554" s="282" t="s">
        <v>751</v>
      </c>
      <c r="L554" s="64" t="s">
        <v>856</v>
      </c>
      <c r="M554" s="55" t="s">
        <v>1610</v>
      </c>
      <c r="N554" s="282" t="s">
        <v>1215</v>
      </c>
      <c r="O554" s="239" t="s">
        <v>53</v>
      </c>
      <c r="P554" s="64" t="str">
        <f ca="1">IF(AND(OR(INDIRECT("K" &amp; ROW())="NAV-Premium",INDIRECT("K" &amp; ROW())="DA-Premium"),INDIRECT("M" &amp; ROW())="PARTITION_SCHEMA128__NavPiviJpn", INDIRECT("O" &amp; ROW())="JPN_SDB"),'SDB vs GN'!$B$41, IF(INDIRECT("H" &amp; ROW())="Chenc",'SDB vs GN'!$B$40, VLOOKUP(INDIRECT("O" &amp; ROW()),'SDB vs GN'!$A$16:$B$38,2,FALSE)))</f>
        <v>No_Gracenote</v>
      </c>
      <c r="Q554" s="79" t="s">
        <v>396</v>
      </c>
      <c r="R554" s="64" t="s">
        <v>59</v>
      </c>
      <c r="S554" s="103" t="s">
        <v>10</v>
      </c>
      <c r="T554" s="64" t="s">
        <v>449</v>
      </c>
      <c r="U554" s="104" t="s">
        <v>816</v>
      </c>
      <c r="V554" s="172" t="s">
        <v>7</v>
      </c>
      <c r="W554" s="76" t="s">
        <v>2184</v>
      </c>
      <c r="X554" s="64" t="s">
        <v>521</v>
      </c>
      <c r="Y554" s="282" t="s">
        <v>1286</v>
      </c>
      <c r="Z554" s="282" t="s">
        <v>1592</v>
      </c>
      <c r="AA554" s="96"/>
      <c r="AB554" s="131" t="s">
        <v>225</v>
      </c>
      <c r="AC554" s="307" t="s">
        <v>2217</v>
      </c>
      <c r="AD554" s="72" t="s">
        <v>888</v>
      </c>
      <c r="AE554" s="302"/>
      <c r="AF554" s="67"/>
      <c r="AG554" s="67"/>
      <c r="AH554" s="194" t="s">
        <v>2229</v>
      </c>
      <c r="AI554" s="24"/>
      <c r="AJ554" s="24"/>
      <c r="AK554" s="24"/>
      <c r="AL554" s="24"/>
    </row>
    <row r="555" spans="1:38" ht="26.4">
      <c r="A555" s="387">
        <v>546</v>
      </c>
      <c r="B555" s="388" t="str">
        <f t="shared" si="26"/>
        <v>0222</v>
      </c>
      <c r="C555" s="72" t="s">
        <v>1786</v>
      </c>
      <c r="D555" s="94" t="s">
        <v>1735</v>
      </c>
      <c r="E555" s="295" t="s">
        <v>1233</v>
      </c>
      <c r="F555" s="192" t="s">
        <v>1085</v>
      </c>
      <c r="G555" s="192" t="s">
        <v>348</v>
      </c>
      <c r="H555" s="282" t="s">
        <v>637</v>
      </c>
      <c r="I555" s="94" t="s">
        <v>4</v>
      </c>
      <c r="J555" s="127" t="s">
        <v>1</v>
      </c>
      <c r="K555" s="282" t="s">
        <v>751</v>
      </c>
      <c r="L555" s="64" t="s">
        <v>856</v>
      </c>
      <c r="M555" s="55" t="s">
        <v>1610</v>
      </c>
      <c r="N555" s="282" t="s">
        <v>1215</v>
      </c>
      <c r="O555" s="239" t="s">
        <v>53</v>
      </c>
      <c r="P555" s="297" t="str">
        <f ca="1">IF(AND(OR(INDIRECT("K" &amp; ROW())="NAV-Premium",INDIRECT("K" &amp; ROW())="DA-Premium"),INDIRECT("M" &amp; ROW())="PARTITION_SCHEMA128__NavPiviJpn", INDIRECT("O" &amp; ROW())="JPN_SDB"),'SDB vs GN'!$B$41, IF(INDIRECT("H" &amp; ROW())="Chenc",'SDB vs GN'!$B$40, VLOOKUP(INDIRECT("O" &amp; ROW()),'SDB vs GN'!$A$16:$B$38,2,FALSE)))</f>
        <v>No_Gracenote</v>
      </c>
      <c r="Q555" s="79" t="s">
        <v>396</v>
      </c>
      <c r="R555" s="165" t="s">
        <v>61</v>
      </c>
      <c r="S555" s="103" t="s">
        <v>10</v>
      </c>
      <c r="T555" s="295" t="s">
        <v>449</v>
      </c>
      <c r="U555" s="332" t="s">
        <v>816</v>
      </c>
      <c r="V555" s="172" t="s">
        <v>7</v>
      </c>
      <c r="W555" s="76" t="s">
        <v>2184</v>
      </c>
      <c r="X555" s="297" t="s">
        <v>521</v>
      </c>
      <c r="Y555" s="282" t="s">
        <v>1286</v>
      </c>
      <c r="Z555" s="282" t="s">
        <v>1592</v>
      </c>
      <c r="AA555" s="299"/>
      <c r="AB555" s="300" t="s">
        <v>225</v>
      </c>
      <c r="AC555" s="307" t="s">
        <v>2218</v>
      </c>
      <c r="AD555" s="72" t="s">
        <v>888</v>
      </c>
      <c r="AE555" s="302" t="s">
        <v>2496</v>
      </c>
      <c r="AF555" s="67"/>
      <c r="AG555" s="67"/>
      <c r="AH555" s="302" t="s">
        <v>2230</v>
      </c>
      <c r="AI555" s="24"/>
      <c r="AJ555" s="24"/>
      <c r="AK555" s="24"/>
      <c r="AL555" s="24"/>
    </row>
    <row r="556" spans="1:38" ht="52.8">
      <c r="A556" s="387">
        <v>547</v>
      </c>
      <c r="B556" s="388" t="str">
        <f t="shared" ref="B556" si="27">DEC2HEX(A556,4)</f>
        <v>0223</v>
      </c>
      <c r="C556" s="170" t="s">
        <v>958</v>
      </c>
      <c r="D556" s="94" t="s">
        <v>136</v>
      </c>
      <c r="E556" s="314" t="s">
        <v>1233</v>
      </c>
      <c r="F556" s="118" t="s">
        <v>1057</v>
      </c>
      <c r="G556" s="118" t="s">
        <v>760</v>
      </c>
      <c r="H556" s="55" t="s">
        <v>637</v>
      </c>
      <c r="I556" s="94" t="s">
        <v>4</v>
      </c>
      <c r="J556" s="127" t="s">
        <v>1</v>
      </c>
      <c r="K556" s="79" t="s">
        <v>747</v>
      </c>
      <c r="L556" s="64" t="s">
        <v>856</v>
      </c>
      <c r="M556" s="55" t="s">
        <v>1610</v>
      </c>
      <c r="N556" s="282" t="s">
        <v>1215</v>
      </c>
      <c r="O556" s="239" t="s">
        <v>53</v>
      </c>
      <c r="P556" s="64" t="str">
        <f ca="1">IF(AND(OR(INDIRECT("K" &amp; ROW())="NAV-Premium",INDIRECT("K" &amp; ROW())="DA-Premium"),INDIRECT("M" &amp; ROW())="PARTITION_SCHEMA128__NavPiviJpn", INDIRECT("O" &amp; ROW())="JPN_SDB"),'SDB vs GN'!$B$41, IF(INDIRECT("H" &amp; ROW())="Chenc",'SDB vs GN'!$B$40, VLOOKUP(INDIRECT("O" &amp; ROW()),'SDB vs GN'!$A$16:$B$38,2,FALSE)))</f>
        <v>No_Gracenote</v>
      </c>
      <c r="Q556" s="79" t="s">
        <v>396</v>
      </c>
      <c r="R556" s="238" t="s">
        <v>248</v>
      </c>
      <c r="S556" s="157" t="s">
        <v>10</v>
      </c>
      <c r="T556" s="79" t="s">
        <v>449</v>
      </c>
      <c r="U556" s="104" t="s">
        <v>816</v>
      </c>
      <c r="V556" s="173" t="s">
        <v>7</v>
      </c>
      <c r="W556" s="76" t="s">
        <v>2184</v>
      </c>
      <c r="X556" s="64" t="s">
        <v>521</v>
      </c>
      <c r="Y556" s="282" t="s">
        <v>1286</v>
      </c>
      <c r="Z556" s="282" t="s">
        <v>1592</v>
      </c>
      <c r="AA556" s="96"/>
      <c r="AB556" s="131" t="s">
        <v>225</v>
      </c>
      <c r="AC556" s="226" t="s">
        <v>2197</v>
      </c>
      <c r="AD556" s="72" t="s">
        <v>888</v>
      </c>
      <c r="AE556" s="302" t="s">
        <v>2495</v>
      </c>
      <c r="AF556" s="67"/>
      <c r="AG556" s="67"/>
      <c r="AH556" s="261" t="s">
        <v>2198</v>
      </c>
      <c r="AI556" s="24"/>
      <c r="AJ556" s="24"/>
      <c r="AK556" s="24"/>
      <c r="AL556" s="24"/>
    </row>
    <row r="557" spans="1:38" ht="52.8">
      <c r="A557" s="387">
        <v>548</v>
      </c>
      <c r="B557" s="388" t="str">
        <f t="shared" ref="B557:B558" si="28">DEC2HEX(A557,4)</f>
        <v>0224</v>
      </c>
      <c r="C557" s="135" t="s">
        <v>957</v>
      </c>
      <c r="D557" s="94" t="s">
        <v>136</v>
      </c>
      <c r="E557" s="314" t="s">
        <v>1233</v>
      </c>
      <c r="F557" s="118" t="s">
        <v>1057</v>
      </c>
      <c r="G557" s="118" t="s">
        <v>760</v>
      </c>
      <c r="H557" s="55" t="s">
        <v>637</v>
      </c>
      <c r="I557" s="94" t="s">
        <v>4</v>
      </c>
      <c r="J557" s="127" t="s">
        <v>1</v>
      </c>
      <c r="K557" s="79" t="s">
        <v>747</v>
      </c>
      <c r="L557" s="64" t="s">
        <v>856</v>
      </c>
      <c r="M557" s="55" t="s">
        <v>1610</v>
      </c>
      <c r="N557" s="282" t="s">
        <v>1215</v>
      </c>
      <c r="O557" s="239" t="s">
        <v>53</v>
      </c>
      <c r="P557" s="64" t="str">
        <f ca="1">IF(AND(OR(INDIRECT("K" &amp; ROW())="NAV-Premium",INDIRECT("K" &amp; ROW())="DA-Premium"),INDIRECT("M" &amp; ROW())="PARTITION_SCHEMA128__NavPiviJpn", INDIRECT("O" &amp; ROW())="JPN_SDB"),'SDB vs GN'!$B$41, IF(INDIRECT("H" &amp; ROW())="Chenc",'SDB vs GN'!$B$40, VLOOKUP(INDIRECT("O" &amp; ROW()),'SDB vs GN'!$A$16:$B$38,2,FALSE)))</f>
        <v>No_Gracenote</v>
      </c>
      <c r="Q557" s="79" t="s">
        <v>396</v>
      </c>
      <c r="R557" s="64" t="s">
        <v>61</v>
      </c>
      <c r="S557" s="157" t="s">
        <v>10</v>
      </c>
      <c r="T557" s="79" t="s">
        <v>449</v>
      </c>
      <c r="U557" s="104" t="s">
        <v>816</v>
      </c>
      <c r="V557" s="173" t="s">
        <v>7</v>
      </c>
      <c r="W557" s="76" t="s">
        <v>2184</v>
      </c>
      <c r="X557" s="64" t="s">
        <v>521</v>
      </c>
      <c r="Y557" s="282" t="s">
        <v>1286</v>
      </c>
      <c r="Z557" s="282" t="s">
        <v>1592</v>
      </c>
      <c r="AA557" s="96"/>
      <c r="AB557" s="131" t="s">
        <v>225</v>
      </c>
      <c r="AC557" s="226" t="s">
        <v>2196</v>
      </c>
      <c r="AD557" s="72" t="s">
        <v>888</v>
      </c>
      <c r="AE557" s="302" t="s">
        <v>2494</v>
      </c>
      <c r="AF557" s="67"/>
      <c r="AG557" s="67"/>
      <c r="AH557" s="261" t="s">
        <v>2199</v>
      </c>
      <c r="AI557" s="24"/>
      <c r="AJ557" s="24"/>
      <c r="AK557" s="24"/>
      <c r="AL557" s="24"/>
    </row>
    <row r="558" spans="1:38" ht="171.6">
      <c r="A558" s="51">
        <v>549</v>
      </c>
      <c r="B558" s="81" t="str">
        <f t="shared" si="28"/>
        <v>0225</v>
      </c>
      <c r="C558" s="72" t="s">
        <v>993</v>
      </c>
      <c r="D558" s="55" t="s">
        <v>704</v>
      </c>
      <c r="E558" s="282" t="s">
        <v>1233</v>
      </c>
      <c r="F558" s="169" t="s">
        <v>1056</v>
      </c>
      <c r="G558" s="169" t="s">
        <v>347</v>
      </c>
      <c r="H558" s="55" t="s">
        <v>637</v>
      </c>
      <c r="I558" s="155" t="s">
        <v>815</v>
      </c>
      <c r="J558" s="127" t="s">
        <v>1</v>
      </c>
      <c r="K558" s="79" t="s">
        <v>748</v>
      </c>
      <c r="L558" s="64" t="s">
        <v>856</v>
      </c>
      <c r="M558" s="55" t="s">
        <v>1614</v>
      </c>
      <c r="N558" s="282" t="s">
        <v>1215</v>
      </c>
      <c r="O558" s="239" t="s">
        <v>54</v>
      </c>
      <c r="P558" s="64" t="str">
        <f ca="1">IF(AND(OR(INDIRECT("K" &amp; ROW())="NAV-Premium",INDIRECT("K" &amp; ROW())="DA-Premium"),INDIRECT("M" &amp; ROW())="PARTITION_SCHEMA128__NavPiviJpn", INDIRECT("O" &amp; ROW())="JPN_SDB"),'SDB vs GN'!$B$41, IF(INDIRECT("H" &amp; ROW())="Chenc",'SDB vs GN'!$B$40, VLOOKUP(INDIRECT("O" &amp; ROW()),'SDB vs GN'!$A$16:$B$38,2,FALSE)))</f>
        <v>731_EUR</v>
      </c>
      <c r="Q558" s="79" t="s">
        <v>20</v>
      </c>
      <c r="R558" s="165" t="s">
        <v>61</v>
      </c>
      <c r="S558" s="103" t="s">
        <v>10</v>
      </c>
      <c r="T558" s="79" t="s">
        <v>449</v>
      </c>
      <c r="U558" s="104" t="s">
        <v>816</v>
      </c>
      <c r="V558" s="172" t="s">
        <v>528</v>
      </c>
      <c r="W558" s="129" t="s">
        <v>447</v>
      </c>
      <c r="X558" s="64" t="s">
        <v>521</v>
      </c>
      <c r="Y558" s="282" t="s">
        <v>1286</v>
      </c>
      <c r="Z558" s="282" t="s">
        <v>1592</v>
      </c>
      <c r="AA558" s="37"/>
      <c r="AB558" s="131" t="s">
        <v>225</v>
      </c>
      <c r="AC558" s="411" t="s">
        <v>2619</v>
      </c>
      <c r="AD558" s="72" t="s">
        <v>888</v>
      </c>
      <c r="AE558" s="302"/>
      <c r="AF558" s="67"/>
      <c r="AG558" s="67"/>
      <c r="AH558" s="67" t="s">
        <v>2618</v>
      </c>
      <c r="AI558" s="24"/>
      <c r="AJ558" s="24"/>
      <c r="AK558" s="24"/>
      <c r="AL558" s="24"/>
    </row>
    <row r="559" spans="1:38" ht="39.6">
      <c r="A559" s="51">
        <v>550</v>
      </c>
      <c r="B559" s="81" t="str">
        <f t="shared" ref="B559:B565" si="29">DEC2HEX(A559,4)</f>
        <v>0226</v>
      </c>
      <c r="C559" s="72" t="s">
        <v>1164</v>
      </c>
      <c r="D559" s="55" t="s">
        <v>704</v>
      </c>
      <c r="E559" s="282" t="s">
        <v>1233</v>
      </c>
      <c r="F559" s="169" t="s">
        <v>1056</v>
      </c>
      <c r="G559" s="169" t="s">
        <v>347</v>
      </c>
      <c r="H559" s="55" t="s">
        <v>637</v>
      </c>
      <c r="I559" s="79" t="s">
        <v>815</v>
      </c>
      <c r="J559" s="127" t="s">
        <v>1</v>
      </c>
      <c r="K559" s="127" t="s">
        <v>748</v>
      </c>
      <c r="L559" s="64" t="s">
        <v>856</v>
      </c>
      <c r="M559" s="55" t="s">
        <v>1614</v>
      </c>
      <c r="N559" s="282" t="s">
        <v>1215</v>
      </c>
      <c r="O559" s="239" t="s">
        <v>54</v>
      </c>
      <c r="P559" s="64" t="str">
        <f ca="1">IF(AND(OR(INDIRECT("K" &amp; ROW())="NAV-Premium",INDIRECT("K" &amp; ROW())="DA-Premium"),INDIRECT("M" &amp; ROW())="PARTITION_SCHEMA128__NavPiviJpn", INDIRECT("O" &amp; ROW())="JPN_SDB"),'SDB vs GN'!$B$41, IF(INDIRECT("H" &amp; ROW())="Chenc",'SDB vs GN'!$B$40, VLOOKUP(INDIRECT("O" &amp; ROW()),'SDB vs GN'!$A$16:$B$38,2,FALSE)))</f>
        <v>731_EUR</v>
      </c>
      <c r="Q559" s="79" t="s">
        <v>396</v>
      </c>
      <c r="R559" s="64" t="s">
        <v>59</v>
      </c>
      <c r="S559" s="157" t="s">
        <v>10</v>
      </c>
      <c r="T559" s="64" t="s">
        <v>449</v>
      </c>
      <c r="U559" s="104" t="s">
        <v>816</v>
      </c>
      <c r="V559" s="172" t="s">
        <v>547</v>
      </c>
      <c r="W559" s="76" t="s">
        <v>447</v>
      </c>
      <c r="X559" s="64" t="s">
        <v>521</v>
      </c>
      <c r="Y559" s="282" t="s">
        <v>1286</v>
      </c>
      <c r="Z559" s="282" t="s">
        <v>1592</v>
      </c>
      <c r="AA559" s="96"/>
      <c r="AB559" s="131" t="s">
        <v>225</v>
      </c>
      <c r="AC559" s="411" t="s">
        <v>2615</v>
      </c>
      <c r="AD559" s="72" t="s">
        <v>888</v>
      </c>
      <c r="AE559" s="302"/>
      <c r="AF559" s="67"/>
      <c r="AG559" s="67"/>
      <c r="AH559" s="67" t="s">
        <v>2614</v>
      </c>
      <c r="AI559" s="24"/>
      <c r="AJ559" s="24"/>
      <c r="AK559" s="24"/>
      <c r="AL559" s="24"/>
    </row>
    <row r="560" spans="1:38" ht="52.8">
      <c r="A560" s="51">
        <v>551</v>
      </c>
      <c r="B560" s="81" t="str">
        <f t="shared" si="29"/>
        <v>0227</v>
      </c>
      <c r="C560" s="72" t="s">
        <v>1159</v>
      </c>
      <c r="D560" s="55" t="s">
        <v>704</v>
      </c>
      <c r="E560" s="282" t="s">
        <v>1233</v>
      </c>
      <c r="F560" s="169" t="s">
        <v>1056</v>
      </c>
      <c r="G560" s="169" t="s">
        <v>347</v>
      </c>
      <c r="H560" s="55" t="s">
        <v>637</v>
      </c>
      <c r="I560" s="79" t="s">
        <v>815</v>
      </c>
      <c r="J560" s="127" t="s">
        <v>1</v>
      </c>
      <c r="K560" s="127" t="s">
        <v>748</v>
      </c>
      <c r="L560" s="64" t="s">
        <v>856</v>
      </c>
      <c r="M560" s="55" t="s">
        <v>1614</v>
      </c>
      <c r="N560" s="282" t="s">
        <v>1215</v>
      </c>
      <c r="O560" s="238" t="s">
        <v>826</v>
      </c>
      <c r="P560" s="64" t="str">
        <f ca="1">IF(AND(OR(INDIRECT("K" &amp; ROW())="NAV-Premium",INDIRECT("K" &amp; ROW())="DA-Premium"),INDIRECT("M" &amp; ROW())="PARTITION_SCHEMA128__NavPiviJpn", INDIRECT("O" &amp; ROW())="JPN_SDB"),'SDB vs GN'!$B$41, IF(INDIRECT("H" &amp; ROW())="Chenc",'SDB vs GN'!$B$40, VLOOKUP(INDIRECT("O" &amp; ROW()),'SDB vs GN'!$A$16:$B$38,2,FALSE)))</f>
        <v>731_EUR</v>
      </c>
      <c r="Q560" s="79" t="s">
        <v>396</v>
      </c>
      <c r="R560" s="64" t="s">
        <v>59</v>
      </c>
      <c r="S560" s="157" t="s">
        <v>10</v>
      </c>
      <c r="T560" s="64" t="s">
        <v>449</v>
      </c>
      <c r="U560" s="104" t="s">
        <v>816</v>
      </c>
      <c r="V560" s="172" t="s">
        <v>552</v>
      </c>
      <c r="W560" s="76" t="s">
        <v>447</v>
      </c>
      <c r="X560" s="64" t="s">
        <v>521</v>
      </c>
      <c r="Y560" s="282" t="s">
        <v>1286</v>
      </c>
      <c r="Z560" s="282" t="s">
        <v>1592</v>
      </c>
      <c r="AA560" s="96"/>
      <c r="AB560" s="131" t="s">
        <v>225</v>
      </c>
      <c r="AC560" s="411" t="s">
        <v>2617</v>
      </c>
      <c r="AD560" s="72" t="s">
        <v>888</v>
      </c>
      <c r="AE560" s="302"/>
      <c r="AF560" s="67"/>
      <c r="AG560" s="67"/>
      <c r="AH560" s="67" t="s">
        <v>2616</v>
      </c>
      <c r="AI560" s="24"/>
      <c r="AJ560" s="24"/>
      <c r="AK560" s="24"/>
      <c r="AL560" s="24"/>
    </row>
    <row r="561" spans="1:34" ht="118.8">
      <c r="A561" s="51">
        <v>552</v>
      </c>
      <c r="B561" s="81" t="str">
        <f t="shared" si="29"/>
        <v>0228</v>
      </c>
      <c r="C561" s="72" t="s">
        <v>1775</v>
      </c>
      <c r="D561" s="94" t="s">
        <v>2011</v>
      </c>
      <c r="E561" s="282" t="s">
        <v>1233</v>
      </c>
      <c r="F561" s="169" t="s">
        <v>1056</v>
      </c>
      <c r="G561" s="169" t="s">
        <v>347</v>
      </c>
      <c r="H561" s="282" t="s">
        <v>637</v>
      </c>
      <c r="I561" s="295" t="s">
        <v>815</v>
      </c>
      <c r="J561" s="127" t="s">
        <v>1</v>
      </c>
      <c r="K561" s="282" t="s">
        <v>750</v>
      </c>
      <c r="L561" s="64" t="s">
        <v>856</v>
      </c>
      <c r="M561" s="55" t="s">
        <v>1614</v>
      </c>
      <c r="N561" s="282" t="s">
        <v>1215</v>
      </c>
      <c r="O561" s="239" t="s">
        <v>54</v>
      </c>
      <c r="P561" s="297" t="str">
        <f ca="1">IF(AND(OR(INDIRECT("K" &amp; ROW())="NAV-Premium",INDIRECT("K" &amp; ROW())="DA-Premium"),INDIRECT("M" &amp; ROW())="PARTITION_SCHEMA128__NavPiviJpn", INDIRECT("O" &amp; ROW())="JPN_SDB"),'SDB vs GN'!$B$41, IF(INDIRECT("H" &amp; ROW())="Chenc",'SDB vs GN'!$B$40, VLOOKUP(INDIRECT("O" &amp; ROW()),'SDB vs GN'!$A$16:$B$38,2,FALSE)))</f>
        <v>731_EUR</v>
      </c>
      <c r="Q561" s="79" t="s">
        <v>396</v>
      </c>
      <c r="R561" s="165" t="s">
        <v>61</v>
      </c>
      <c r="S561" s="340" t="s">
        <v>10</v>
      </c>
      <c r="T561" s="295" t="s">
        <v>449</v>
      </c>
      <c r="U561" s="332" t="s">
        <v>816</v>
      </c>
      <c r="V561" s="172" t="s">
        <v>528</v>
      </c>
      <c r="W561" s="298" t="s">
        <v>447</v>
      </c>
      <c r="X561" s="297" t="s">
        <v>521</v>
      </c>
      <c r="Y561" s="282" t="s">
        <v>1286</v>
      </c>
      <c r="Z561" s="282" t="s">
        <v>1592</v>
      </c>
      <c r="AA561" s="299"/>
      <c r="AB561" s="300" t="s">
        <v>225</v>
      </c>
      <c r="AC561" s="411" t="s">
        <v>2629</v>
      </c>
      <c r="AD561" s="67" t="s">
        <v>889</v>
      </c>
      <c r="AE561" s="302"/>
      <c r="AF561" s="67"/>
      <c r="AG561" s="67"/>
      <c r="AH561" s="67" t="s">
        <v>2628</v>
      </c>
    </row>
    <row r="562" spans="1:34" ht="26.4">
      <c r="A562" s="51">
        <v>553</v>
      </c>
      <c r="B562" s="81" t="str">
        <f t="shared" si="29"/>
        <v>0229</v>
      </c>
      <c r="C562" s="72" t="s">
        <v>1777</v>
      </c>
      <c r="D562" s="94" t="s">
        <v>2011</v>
      </c>
      <c r="E562" s="314" t="s">
        <v>1233</v>
      </c>
      <c r="F562" s="169" t="s">
        <v>1056</v>
      </c>
      <c r="G562" s="169" t="s">
        <v>347</v>
      </c>
      <c r="H562" s="282" t="s">
        <v>637</v>
      </c>
      <c r="I562" s="295" t="s">
        <v>815</v>
      </c>
      <c r="J562" s="127" t="s">
        <v>1</v>
      </c>
      <c r="K562" s="282" t="s">
        <v>750</v>
      </c>
      <c r="L562" s="64" t="s">
        <v>856</v>
      </c>
      <c r="M562" s="55" t="s">
        <v>1614</v>
      </c>
      <c r="N562" s="282" t="s">
        <v>1215</v>
      </c>
      <c r="O562" s="239" t="s">
        <v>54</v>
      </c>
      <c r="P562" s="297" t="str">
        <f ca="1">IF(AND(OR(INDIRECT("K" &amp; ROW())="NAV-Premium",INDIRECT("K" &amp; ROW())="DA-Premium"),INDIRECT("M" &amp; ROW())="PARTITION_SCHEMA128__NavPiviJpn", INDIRECT("O" &amp; ROW())="JPN_SDB"),'SDB vs GN'!$B$41, IF(INDIRECT("H" &amp; ROW())="Chenc",'SDB vs GN'!$B$40, VLOOKUP(INDIRECT("O" &amp; ROW()),'SDB vs GN'!$A$16:$B$38,2,FALSE)))</f>
        <v>731_EUR</v>
      </c>
      <c r="Q562" s="79" t="s">
        <v>396</v>
      </c>
      <c r="R562" s="64" t="s">
        <v>59</v>
      </c>
      <c r="S562" s="340" t="s">
        <v>10</v>
      </c>
      <c r="T562" s="295" t="s">
        <v>449</v>
      </c>
      <c r="U562" s="332" t="s">
        <v>816</v>
      </c>
      <c r="V562" s="172" t="s">
        <v>547</v>
      </c>
      <c r="W562" s="298" t="s">
        <v>447</v>
      </c>
      <c r="X562" s="297" t="s">
        <v>521</v>
      </c>
      <c r="Y562" s="282" t="s">
        <v>1286</v>
      </c>
      <c r="Z562" s="282" t="s">
        <v>1592</v>
      </c>
      <c r="AA562" s="299"/>
      <c r="AB562" s="300" t="s">
        <v>225</v>
      </c>
      <c r="AC562" s="411" t="s">
        <v>2519</v>
      </c>
      <c r="AD562" s="67" t="s">
        <v>889</v>
      </c>
      <c r="AE562" s="302"/>
      <c r="AF562" s="67"/>
      <c r="AG562" s="67"/>
      <c r="AH562" s="67" t="s">
        <v>2520</v>
      </c>
    </row>
    <row r="563" spans="1:34">
      <c r="A563" s="51">
        <v>554</v>
      </c>
      <c r="B563" s="81" t="str">
        <f t="shared" si="29"/>
        <v>022A</v>
      </c>
      <c r="C563" s="414" t="s">
        <v>1783</v>
      </c>
      <c r="D563" s="94" t="s">
        <v>2011</v>
      </c>
      <c r="E563" s="282" t="s">
        <v>1233</v>
      </c>
      <c r="F563" s="169" t="s">
        <v>1056</v>
      </c>
      <c r="G563" s="169" t="s">
        <v>347</v>
      </c>
      <c r="H563" s="282" t="s">
        <v>637</v>
      </c>
      <c r="I563" s="295" t="s">
        <v>815</v>
      </c>
      <c r="J563" s="127" t="s">
        <v>1</v>
      </c>
      <c r="K563" s="55" t="s">
        <v>750</v>
      </c>
      <c r="L563" s="64" t="s">
        <v>856</v>
      </c>
      <c r="M563" s="55" t="s">
        <v>1614</v>
      </c>
      <c r="N563" s="282" t="s">
        <v>1215</v>
      </c>
      <c r="O563" s="238" t="s">
        <v>826</v>
      </c>
      <c r="P563" s="297" t="str">
        <f ca="1">IF(AND(OR(INDIRECT("K" &amp; ROW())="NAV-Premium",INDIRECT("K" &amp; ROW())="DA-Premium"),INDIRECT("M" &amp; ROW())="PARTITION_SCHEMA128__NavPiviJpn", INDIRECT("O" &amp; ROW())="JPN_SDB"),'SDB vs GN'!$B$41, IF(INDIRECT("H" &amp; ROW())="Chenc",'SDB vs GN'!$B$40, VLOOKUP(INDIRECT("O" &amp; ROW()),'SDB vs GN'!$A$16:$B$38,2,FALSE)))</f>
        <v>731_EUR</v>
      </c>
      <c r="Q563" s="79" t="s">
        <v>396</v>
      </c>
      <c r="R563" s="64" t="s">
        <v>59</v>
      </c>
      <c r="S563" s="103" t="s">
        <v>10</v>
      </c>
      <c r="T563" s="295" t="s">
        <v>449</v>
      </c>
      <c r="U563" s="332" t="s">
        <v>816</v>
      </c>
      <c r="V563" s="172" t="s">
        <v>552</v>
      </c>
      <c r="W563" s="298" t="s">
        <v>447</v>
      </c>
      <c r="X563" s="297" t="s">
        <v>521</v>
      </c>
      <c r="Y563" s="282" t="s">
        <v>1286</v>
      </c>
      <c r="Z563" s="282" t="s">
        <v>1592</v>
      </c>
      <c r="AA563" s="299"/>
      <c r="AB563" s="300" t="s">
        <v>225</v>
      </c>
      <c r="AC563" s="407" t="s">
        <v>2523</v>
      </c>
      <c r="AD563" s="67" t="s">
        <v>889</v>
      </c>
      <c r="AE563" s="302"/>
      <c r="AF563" s="67"/>
      <c r="AG563" s="67"/>
      <c r="AH563" s="402" t="s">
        <v>2524</v>
      </c>
    </row>
    <row r="564" spans="1:34" ht="52.8">
      <c r="A564" s="51">
        <v>555</v>
      </c>
      <c r="B564" s="81" t="str">
        <f t="shared" si="29"/>
        <v>022B</v>
      </c>
      <c r="C564" s="72" t="s">
        <v>2522</v>
      </c>
      <c r="D564" s="94" t="s">
        <v>2011</v>
      </c>
      <c r="E564" s="282" t="s">
        <v>1233</v>
      </c>
      <c r="F564" s="169" t="s">
        <v>1056</v>
      </c>
      <c r="G564" s="169" t="s">
        <v>347</v>
      </c>
      <c r="H564" s="282" t="s">
        <v>637</v>
      </c>
      <c r="I564" s="295" t="s">
        <v>815</v>
      </c>
      <c r="J564" s="127" t="s">
        <v>1</v>
      </c>
      <c r="K564" s="55" t="s">
        <v>750</v>
      </c>
      <c r="L564" s="64" t="s">
        <v>856</v>
      </c>
      <c r="M564" s="55" t="s">
        <v>1614</v>
      </c>
      <c r="N564" s="282" t="s">
        <v>1215</v>
      </c>
      <c r="O564" s="238" t="s">
        <v>826</v>
      </c>
      <c r="P564" s="297" t="str">
        <f ca="1">IF(AND(OR(INDIRECT("K" &amp; ROW())="NAV-Premium",INDIRECT("K" &amp; ROW())="DA-Premium"),INDIRECT("M" &amp; ROW())="PARTITION_SCHEMA128__NavPiviJpn", INDIRECT("O" &amp; ROW())="JPN_SDB"),'SDB vs GN'!$B$41, IF(INDIRECT("H" &amp; ROW())="Chenc",'SDB vs GN'!$B$40, VLOOKUP(INDIRECT("O" &amp; ROW()),'SDB vs GN'!$A$16:$B$38,2,FALSE)))</f>
        <v>731_EUR</v>
      </c>
      <c r="Q564" s="79" t="s">
        <v>396</v>
      </c>
      <c r="R564" s="64" t="s">
        <v>61</v>
      </c>
      <c r="S564" s="103" t="s">
        <v>10</v>
      </c>
      <c r="T564" s="295" t="s">
        <v>449</v>
      </c>
      <c r="U564" s="332" t="s">
        <v>816</v>
      </c>
      <c r="V564" s="172" t="s">
        <v>552</v>
      </c>
      <c r="W564" s="298" t="s">
        <v>447</v>
      </c>
      <c r="X564" s="297" t="s">
        <v>521</v>
      </c>
      <c r="Y564" s="282" t="s">
        <v>1286</v>
      </c>
      <c r="Z564" s="282" t="s">
        <v>1592</v>
      </c>
      <c r="AA564" s="299"/>
      <c r="AB564" s="300" t="s">
        <v>225</v>
      </c>
      <c r="AC564" s="368" t="s">
        <v>2631</v>
      </c>
      <c r="AD564" s="67" t="s">
        <v>889</v>
      </c>
      <c r="AE564" s="302"/>
      <c r="AF564" s="67"/>
      <c r="AG564" s="67"/>
      <c r="AH564" s="67" t="s">
        <v>2630</v>
      </c>
    </row>
    <row r="565" spans="1:34" ht="52.8">
      <c r="A565" s="51">
        <v>556</v>
      </c>
      <c r="B565" s="81" t="str">
        <f t="shared" si="29"/>
        <v>022C</v>
      </c>
      <c r="C565" s="72" t="s">
        <v>2521</v>
      </c>
      <c r="D565" s="94" t="s">
        <v>2011</v>
      </c>
      <c r="E565" s="314" t="s">
        <v>1233</v>
      </c>
      <c r="F565" s="169" t="s">
        <v>1056</v>
      </c>
      <c r="G565" s="169" t="s">
        <v>347</v>
      </c>
      <c r="H565" s="282" t="s">
        <v>637</v>
      </c>
      <c r="I565" s="295" t="s">
        <v>815</v>
      </c>
      <c r="J565" s="127" t="s">
        <v>1</v>
      </c>
      <c r="K565" s="282" t="s">
        <v>750</v>
      </c>
      <c r="L565" s="64" t="s">
        <v>856</v>
      </c>
      <c r="M565" s="55" t="s">
        <v>1614</v>
      </c>
      <c r="N565" s="282" t="s">
        <v>1215</v>
      </c>
      <c r="O565" s="239" t="s">
        <v>54</v>
      </c>
      <c r="P565" s="297" t="str">
        <f ca="1">IF(AND(OR(INDIRECT("K" &amp; ROW())="NAV-Premium",INDIRECT("K" &amp; ROW())="DA-Premium"),INDIRECT("M" &amp; ROW())="PARTITION_SCHEMA128__NavPiviJpn", INDIRECT("O" &amp; ROW())="JPN_SDB"),'SDB vs GN'!$B$41, IF(INDIRECT("H" &amp; ROW())="Chenc",'SDB vs GN'!$B$40, VLOOKUP(INDIRECT("O" &amp; ROW()),'SDB vs GN'!$A$16:$B$38,2,FALSE)))</f>
        <v>731_EUR</v>
      </c>
      <c r="Q565" s="79" t="s">
        <v>396</v>
      </c>
      <c r="R565" s="64" t="s">
        <v>61</v>
      </c>
      <c r="S565" s="340" t="s">
        <v>10</v>
      </c>
      <c r="T565" s="295" t="s">
        <v>449</v>
      </c>
      <c r="U565" s="332" t="s">
        <v>816</v>
      </c>
      <c r="V565" s="172" t="s">
        <v>547</v>
      </c>
      <c r="W565" s="298" t="s">
        <v>447</v>
      </c>
      <c r="X565" s="297" t="s">
        <v>521</v>
      </c>
      <c r="Y565" s="282" t="s">
        <v>1286</v>
      </c>
      <c r="Z565" s="282" t="s">
        <v>1592</v>
      </c>
      <c r="AA565" s="299"/>
      <c r="AB565" s="300" t="s">
        <v>225</v>
      </c>
      <c r="AC565" s="368" t="s">
        <v>2633</v>
      </c>
      <c r="AD565" s="67" t="s">
        <v>889</v>
      </c>
      <c r="AE565" s="302"/>
      <c r="AF565" s="67"/>
      <c r="AG565" s="67"/>
      <c r="AH565" s="67" t="s">
        <v>2632</v>
      </c>
    </row>
    <row r="566" spans="1:34">
      <c r="A566" s="51">
        <v>4096</v>
      </c>
      <c r="B566" s="81" t="str">
        <f t="shared" si="12"/>
        <v>1000</v>
      </c>
      <c r="C566" s="224" t="s">
        <v>1448</v>
      </c>
      <c r="D566" s="295" t="s">
        <v>1647</v>
      </c>
      <c r="E566" s="282" t="s">
        <v>1977</v>
      </c>
      <c r="F566" s="335" t="s">
        <v>1927</v>
      </c>
      <c r="G566" s="335" t="s">
        <v>1913</v>
      </c>
      <c r="H566" s="55" t="s">
        <v>637</v>
      </c>
      <c r="I566" s="79" t="s">
        <v>5</v>
      </c>
      <c r="J566" s="55" t="s">
        <v>0</v>
      </c>
      <c r="K566" s="55" t="s">
        <v>452</v>
      </c>
      <c r="L566" s="297" t="s">
        <v>2318</v>
      </c>
      <c r="M566" s="166" t="s">
        <v>1399</v>
      </c>
      <c r="N566" s="282" t="s">
        <v>1215</v>
      </c>
      <c r="O566" s="238" t="s">
        <v>1801</v>
      </c>
      <c r="P566" s="64" t="str">
        <f ca="1">IF(AND(OR(INDIRECT("K" &amp; ROW())="NAV-Premium",INDIRECT("K" &amp; ROW())="DA-Premium"),INDIRECT("M" &amp; ROW())="PARTITION_SCHEMA128__NavPiviJpn", INDIRECT("O" &amp; ROW())="JPN_SDB"),'SDB vs GN'!$B$41, IF(INDIRECT("H" &amp; ROW())="Chenc",'SDB vs GN'!$B$40, VLOOKUP(INDIRECT("O" &amp; ROW()),'SDB vs GN'!$A$16:$B$38,2,FALSE)))</f>
        <v>GCN1_JP_KR_LA_NA</v>
      </c>
      <c r="Q566" s="64" t="s">
        <v>1906</v>
      </c>
      <c r="R566" s="64" t="s">
        <v>133</v>
      </c>
      <c r="S566" s="103" t="s">
        <v>10</v>
      </c>
      <c r="T566" s="64" t="s">
        <v>449</v>
      </c>
      <c r="U566" s="332" t="s">
        <v>816</v>
      </c>
      <c r="V566" s="173" t="s">
        <v>615</v>
      </c>
      <c r="W566" s="76" t="s">
        <v>447</v>
      </c>
      <c r="X566" s="156" t="s">
        <v>362</v>
      </c>
      <c r="Y566" s="282" t="s">
        <v>1381</v>
      </c>
      <c r="Z566" s="283" t="s">
        <v>1594</v>
      </c>
      <c r="AA566" s="96"/>
      <c r="AB566" s="131" t="s">
        <v>225</v>
      </c>
      <c r="AC566" s="301" t="s">
        <v>1041</v>
      </c>
      <c r="AD566" s="67" t="s">
        <v>1042</v>
      </c>
      <c r="AE566" s="302"/>
      <c r="AF566" s="67"/>
      <c r="AG566" s="67"/>
      <c r="AH566" s="302" t="s">
        <v>1079</v>
      </c>
    </row>
    <row r="567" spans="1:34" ht="26.4">
      <c r="A567" s="51">
        <v>4097</v>
      </c>
      <c r="B567" s="81" t="str">
        <f t="shared" ref="B567:B578" si="30">DEC2HEX(A567,4)</f>
        <v>1001</v>
      </c>
      <c r="C567" s="224" t="s">
        <v>1448</v>
      </c>
      <c r="D567" s="295" t="s">
        <v>1648</v>
      </c>
      <c r="E567" s="282" t="s">
        <v>1977</v>
      </c>
      <c r="F567" s="335" t="s">
        <v>1927</v>
      </c>
      <c r="G567" s="335" t="s">
        <v>1913</v>
      </c>
      <c r="H567" s="55" t="s">
        <v>637</v>
      </c>
      <c r="I567" s="79" t="s">
        <v>5</v>
      </c>
      <c r="J567" s="55" t="s">
        <v>0</v>
      </c>
      <c r="K567" s="55" t="s">
        <v>452</v>
      </c>
      <c r="L567" s="297" t="s">
        <v>2318</v>
      </c>
      <c r="M567" s="166" t="s">
        <v>1399</v>
      </c>
      <c r="N567" s="282" t="s">
        <v>1215</v>
      </c>
      <c r="O567" s="238" t="s">
        <v>1801</v>
      </c>
      <c r="P567" s="64" t="str">
        <f ca="1">IF(AND(OR(INDIRECT("K" &amp; ROW())="NAV-Premium",INDIRECT("K" &amp; ROW())="DA-Premium"),INDIRECT("M" &amp; ROW())="PARTITION_SCHEMA128__NavPiviJpn", INDIRECT("O" &amp; ROW())="JPN_SDB"),'SDB vs GN'!$B$41, IF(INDIRECT("H" &amp; ROW())="Chenc",'SDB vs GN'!$B$40, VLOOKUP(INDIRECT("O" &amp; ROW()),'SDB vs GN'!$A$16:$B$38,2,FALSE)))</f>
        <v>GCN1_JP_KR_LA_NA</v>
      </c>
      <c r="Q567" s="64" t="s">
        <v>1906</v>
      </c>
      <c r="R567" s="64" t="s">
        <v>133</v>
      </c>
      <c r="S567" s="103" t="s">
        <v>10</v>
      </c>
      <c r="T567" s="64" t="s">
        <v>449</v>
      </c>
      <c r="U567" s="332" t="s">
        <v>816</v>
      </c>
      <c r="V567" s="173" t="s">
        <v>615</v>
      </c>
      <c r="W567" s="76" t="s">
        <v>447</v>
      </c>
      <c r="X567" s="156" t="s">
        <v>362</v>
      </c>
      <c r="Y567" s="282" t="s">
        <v>1381</v>
      </c>
      <c r="Z567" s="283" t="s">
        <v>1594</v>
      </c>
      <c r="AA567" s="96"/>
      <c r="AB567" s="131" t="s">
        <v>225</v>
      </c>
      <c r="AC567" s="224" t="s">
        <v>1277</v>
      </c>
      <c r="AD567" s="67" t="s">
        <v>1042</v>
      </c>
      <c r="AE567" s="302"/>
      <c r="AF567" s="67"/>
      <c r="AG567" s="67"/>
      <c r="AH567" s="302" t="s">
        <v>1278</v>
      </c>
    </row>
    <row r="568" spans="1:34">
      <c r="A568" s="51">
        <v>4098</v>
      </c>
      <c r="B568" s="81" t="str">
        <f t="shared" si="30"/>
        <v>1002</v>
      </c>
      <c r="C568" s="72" t="s">
        <v>1356</v>
      </c>
      <c r="D568" s="295" t="s">
        <v>1649</v>
      </c>
      <c r="E568" s="295" t="s">
        <v>1977</v>
      </c>
      <c r="F568" s="252" t="s">
        <v>1230</v>
      </c>
      <c r="G568" s="252" t="s">
        <v>1918</v>
      </c>
      <c r="H568" s="282" t="s">
        <v>637</v>
      </c>
      <c r="I568" s="295" t="s">
        <v>815</v>
      </c>
      <c r="J568" s="282" t="s">
        <v>0</v>
      </c>
      <c r="K568" s="282" t="s">
        <v>452</v>
      </c>
      <c r="L568" s="297" t="s">
        <v>2318</v>
      </c>
      <c r="M568" s="282" t="s">
        <v>1402</v>
      </c>
      <c r="N568" s="282" t="s">
        <v>1215</v>
      </c>
      <c r="O568" s="238" t="s">
        <v>1801</v>
      </c>
      <c r="P568" s="64" t="str">
        <f ca="1">IF(AND(OR(INDIRECT("K" &amp; ROW())="NAV-Premium",INDIRECT("K" &amp; ROW())="DA-Premium"),INDIRECT("M" &amp; ROW())="PARTITION_SCHEMA128__NavPiviJpn", INDIRECT("O" &amp; ROW())="JPN_SDB"),'SDB vs GN'!$B$41, IF(INDIRECT("H" &amp; ROW())="Chenc",'SDB vs GN'!$B$40, VLOOKUP(INDIRECT("O" &amp; ROW()),'SDB vs GN'!$A$16:$B$38,2,FALSE)))</f>
        <v>GCN1_JP_KR_LA_NA</v>
      </c>
      <c r="Q568" s="297" t="s">
        <v>1905</v>
      </c>
      <c r="R568" s="297" t="s">
        <v>1236</v>
      </c>
      <c r="S568" s="340" t="s">
        <v>10</v>
      </c>
      <c r="T568" s="365" t="s">
        <v>1743</v>
      </c>
      <c r="U568" s="332" t="s">
        <v>816</v>
      </c>
      <c r="V568" s="308" t="s">
        <v>1989</v>
      </c>
      <c r="W568" s="298" t="s">
        <v>447</v>
      </c>
      <c r="X568" s="64" t="s">
        <v>521</v>
      </c>
      <c r="Y568" s="282" t="s">
        <v>1382</v>
      </c>
      <c r="Z568" s="283" t="s">
        <v>1593</v>
      </c>
      <c r="AA568" s="299"/>
      <c r="AB568" s="300" t="s">
        <v>225</v>
      </c>
      <c r="AC568" s="301" t="s">
        <v>1219</v>
      </c>
      <c r="AD568" s="302" t="s">
        <v>1042</v>
      </c>
      <c r="AE568" s="302" t="s">
        <v>2037</v>
      </c>
      <c r="AF568" s="302"/>
      <c r="AG568" s="302"/>
      <c r="AH568" s="302" t="s">
        <v>1238</v>
      </c>
    </row>
    <row r="569" spans="1:34">
      <c r="A569" s="51">
        <v>4099</v>
      </c>
      <c r="B569" s="81" t="str">
        <f t="shared" si="30"/>
        <v>1003</v>
      </c>
      <c r="C569" s="72" t="s">
        <v>2090</v>
      </c>
      <c r="D569" s="295" t="s">
        <v>1649</v>
      </c>
      <c r="E569" s="295" t="s">
        <v>1977</v>
      </c>
      <c r="F569" s="252" t="s">
        <v>1230</v>
      </c>
      <c r="G569" s="252" t="s">
        <v>1918</v>
      </c>
      <c r="H569" s="282" t="s">
        <v>637</v>
      </c>
      <c r="I569" s="295" t="s">
        <v>815</v>
      </c>
      <c r="J569" s="282" t="s">
        <v>0</v>
      </c>
      <c r="K569" s="282" t="s">
        <v>452</v>
      </c>
      <c r="L569" s="297" t="s">
        <v>2318</v>
      </c>
      <c r="M569" s="282" t="s">
        <v>1402</v>
      </c>
      <c r="N569" s="282" t="s">
        <v>1215</v>
      </c>
      <c r="O569" s="304" t="s">
        <v>1802</v>
      </c>
      <c r="P569" s="64" t="str">
        <f ca="1">IF(AND(OR(INDIRECT("K" &amp; ROW())="NAV-Premium",INDIRECT("K" &amp; ROW())="DA-Premium"),INDIRECT("M" &amp; ROW())="PARTITION_SCHEMA128__NavPiviJpn", INDIRECT("O" &amp; ROW())="JPN_SDB"),'SDB vs GN'!$B$41, IF(INDIRECT("H" &amp; ROW())="Chenc",'SDB vs GN'!$B$40, VLOOKUP(INDIRECT("O" &amp; ROW()),'SDB vs GN'!$A$16:$B$38,2,FALSE)))</f>
        <v>GCN2_CN_EU_NA</v>
      </c>
      <c r="Q569" s="297" t="s">
        <v>1905</v>
      </c>
      <c r="R569" s="325" t="s">
        <v>1235</v>
      </c>
      <c r="S569" s="340" t="s">
        <v>10</v>
      </c>
      <c r="T569" s="297" t="s">
        <v>449</v>
      </c>
      <c r="U569" s="332" t="s">
        <v>816</v>
      </c>
      <c r="V569" s="342" t="s">
        <v>1988</v>
      </c>
      <c r="W569" s="298" t="s">
        <v>447</v>
      </c>
      <c r="X569" s="64" t="s">
        <v>521</v>
      </c>
      <c r="Y569" s="282" t="s">
        <v>1382</v>
      </c>
      <c r="Z569" s="283" t="s">
        <v>1593</v>
      </c>
      <c r="AA569" s="299"/>
      <c r="AB569" s="306" t="s">
        <v>225</v>
      </c>
      <c r="AC569" s="307" t="s">
        <v>1220</v>
      </c>
      <c r="AD569" s="302" t="s">
        <v>1042</v>
      </c>
      <c r="AE569" s="302"/>
      <c r="AF569" s="302"/>
      <c r="AG569" s="302"/>
      <c r="AH569" s="302" t="s">
        <v>1239</v>
      </c>
    </row>
    <row r="570" spans="1:34">
      <c r="A570" s="51">
        <v>4100</v>
      </c>
      <c r="B570" s="81" t="str">
        <f t="shared" si="30"/>
        <v>1004</v>
      </c>
      <c r="C570" s="226" t="s">
        <v>1357</v>
      </c>
      <c r="D570" s="295" t="s">
        <v>1649</v>
      </c>
      <c r="E570" s="295" t="s">
        <v>1977</v>
      </c>
      <c r="F570" s="252" t="s">
        <v>1230</v>
      </c>
      <c r="G570" s="252" t="s">
        <v>1918</v>
      </c>
      <c r="H570" s="283" t="s">
        <v>637</v>
      </c>
      <c r="I570" s="294" t="s">
        <v>1226</v>
      </c>
      <c r="J570" s="282" t="s">
        <v>0</v>
      </c>
      <c r="K570" s="282" t="s">
        <v>452</v>
      </c>
      <c r="L570" s="297" t="s">
        <v>2318</v>
      </c>
      <c r="M570" s="282" t="s">
        <v>1402</v>
      </c>
      <c r="N570" s="282" t="s">
        <v>1215</v>
      </c>
      <c r="O570" s="296" t="s">
        <v>1803</v>
      </c>
      <c r="P570" s="64" t="str">
        <f ca="1">IF(AND(OR(INDIRECT("K" &amp; ROW())="NAV-Premium",INDIRECT("K" &amp; ROW())="DA-Premium"),INDIRECT("M" &amp; ROW())="PARTITION_SCHEMA128__NavPiviJpn", INDIRECT("O" &amp; ROW())="JPN_SDB"),'SDB vs GN'!$B$41, IF(INDIRECT("H" &amp; ROW())="Chenc",'SDB vs GN'!$B$40, VLOOKUP(INDIRECT("O" &amp; ROW()),'SDB vs GN'!$A$16:$B$38,2,FALSE)))</f>
        <v>GCN3_CN_LA_NA</v>
      </c>
      <c r="Q570" s="297" t="s">
        <v>1905</v>
      </c>
      <c r="R570" s="325" t="s">
        <v>1234</v>
      </c>
      <c r="S570" s="340" t="s">
        <v>10</v>
      </c>
      <c r="T570" s="297" t="s">
        <v>449</v>
      </c>
      <c r="U570" s="332" t="s">
        <v>816</v>
      </c>
      <c r="V570" s="305" t="s">
        <v>1221</v>
      </c>
      <c r="W570" s="298" t="s">
        <v>447</v>
      </c>
      <c r="X570" s="64" t="s">
        <v>521</v>
      </c>
      <c r="Y570" s="282" t="s">
        <v>1382</v>
      </c>
      <c r="Z570" s="283" t="s">
        <v>1593</v>
      </c>
      <c r="AA570" s="299"/>
      <c r="AB570" s="300" t="s">
        <v>225</v>
      </c>
      <c r="AC570" s="302" t="s">
        <v>1222</v>
      </c>
      <c r="AD570" s="302" t="s">
        <v>1042</v>
      </c>
      <c r="AE570" s="302"/>
      <c r="AF570" s="302"/>
      <c r="AG570" s="302"/>
      <c r="AH570" s="302" t="s">
        <v>1240</v>
      </c>
    </row>
    <row r="571" spans="1:34">
      <c r="A571" s="51">
        <v>4101</v>
      </c>
      <c r="B571" s="81" t="str">
        <f t="shared" si="30"/>
        <v>1005</v>
      </c>
      <c r="C571" s="61" t="s">
        <v>1449</v>
      </c>
      <c r="D571" s="295" t="s">
        <v>1649</v>
      </c>
      <c r="E571" s="295" t="s">
        <v>1977</v>
      </c>
      <c r="F571" s="335" t="s">
        <v>1927</v>
      </c>
      <c r="G571" s="335" t="s">
        <v>1913</v>
      </c>
      <c r="H571" s="282" t="s">
        <v>637</v>
      </c>
      <c r="I571" s="295" t="s">
        <v>5</v>
      </c>
      <c r="J571" s="282" t="s">
        <v>0</v>
      </c>
      <c r="K571" s="282" t="s">
        <v>452</v>
      </c>
      <c r="L571" s="297" t="s">
        <v>2318</v>
      </c>
      <c r="M571" s="55" t="s">
        <v>1496</v>
      </c>
      <c r="N571" s="282" t="s">
        <v>1215</v>
      </c>
      <c r="O571" s="238" t="s">
        <v>1801</v>
      </c>
      <c r="P571" s="64" t="str">
        <f ca="1">IF(AND(OR(INDIRECT("K" &amp; ROW())="NAV-Premium",INDIRECT("K" &amp; ROW())="DA-Premium"),INDIRECT("M" &amp; ROW())="PARTITION_SCHEMA128__NavPiviJpn", INDIRECT("O" &amp; ROW())="JPN_SDB"),'SDB vs GN'!$B$41, IF(INDIRECT("H" &amp; ROW())="Chenc",'SDB vs GN'!$B$40, VLOOKUP(INDIRECT("O" &amp; ROW()),'SDB vs GN'!$A$16:$B$38,2,FALSE)))</f>
        <v>GCN1_JP_KR_LA_NA</v>
      </c>
      <c r="Q571" s="297" t="s">
        <v>1905</v>
      </c>
      <c r="R571" s="297" t="s">
        <v>1237</v>
      </c>
      <c r="S571" s="340" t="s">
        <v>10</v>
      </c>
      <c r="T571" s="295" t="s">
        <v>449</v>
      </c>
      <c r="U571" s="332" t="s">
        <v>816</v>
      </c>
      <c r="V571" s="308" t="s">
        <v>615</v>
      </c>
      <c r="W571" s="298" t="s">
        <v>447</v>
      </c>
      <c r="X571" s="64" t="s">
        <v>362</v>
      </c>
      <c r="Y571" s="282" t="s">
        <v>1382</v>
      </c>
      <c r="Z571" s="283" t="s">
        <v>1593</v>
      </c>
      <c r="AA571" s="299"/>
      <c r="AB571" s="300" t="s">
        <v>225</v>
      </c>
      <c r="AC571" s="301" t="s">
        <v>1223</v>
      </c>
      <c r="AD571" s="302" t="s">
        <v>1042</v>
      </c>
      <c r="AE571" s="302"/>
      <c r="AF571" s="302"/>
      <c r="AG571" s="302"/>
      <c r="AH571" s="302" t="s">
        <v>1241</v>
      </c>
    </row>
    <row r="572" spans="1:34">
      <c r="A572" s="51">
        <v>4102</v>
      </c>
      <c r="B572" s="81" t="str">
        <f t="shared" si="30"/>
        <v>1006</v>
      </c>
      <c r="C572" s="278" t="s">
        <v>1358</v>
      </c>
      <c r="D572" s="295" t="s">
        <v>1650</v>
      </c>
      <c r="E572" s="295" t="s">
        <v>1977</v>
      </c>
      <c r="F572" s="252" t="s">
        <v>1230</v>
      </c>
      <c r="G572" s="252" t="s">
        <v>1918</v>
      </c>
      <c r="H572" s="282" t="s">
        <v>637</v>
      </c>
      <c r="I572" s="295" t="s">
        <v>815</v>
      </c>
      <c r="J572" s="282" t="s">
        <v>0</v>
      </c>
      <c r="K572" s="282" t="s">
        <v>452</v>
      </c>
      <c r="L572" s="297" t="s">
        <v>2318</v>
      </c>
      <c r="M572" s="282" t="s">
        <v>1402</v>
      </c>
      <c r="N572" s="282" t="s">
        <v>1215</v>
      </c>
      <c r="O572" s="238" t="s">
        <v>1801</v>
      </c>
      <c r="P572" s="64" t="str">
        <f ca="1">IF(AND(OR(INDIRECT("K" &amp; ROW())="NAV-Premium",INDIRECT("K" &amp; ROW())="DA-Premium"),INDIRECT("M" &amp; ROW())="PARTITION_SCHEMA128__NavPiviJpn", INDIRECT("O" &amp; ROW())="JPN_SDB"),'SDB vs GN'!$B$41, IF(INDIRECT("H" &amp; ROW())="Chenc",'SDB vs GN'!$B$40, VLOOKUP(INDIRECT("O" &amp; ROW()),'SDB vs GN'!$A$16:$B$38,2,FALSE)))</f>
        <v>GCN1_JP_KR_LA_NA</v>
      </c>
      <c r="Q572" s="297" t="s">
        <v>1904</v>
      </c>
      <c r="R572" s="345" t="s">
        <v>1228</v>
      </c>
      <c r="S572" s="340" t="s">
        <v>10</v>
      </c>
      <c r="T572" s="365" t="s">
        <v>1743</v>
      </c>
      <c r="U572" s="332" t="s">
        <v>816</v>
      </c>
      <c r="V572" s="308" t="s">
        <v>1989</v>
      </c>
      <c r="W572" s="298" t="s">
        <v>447</v>
      </c>
      <c r="X572" s="64" t="s">
        <v>521</v>
      </c>
      <c r="Y572" s="282" t="s">
        <v>1383</v>
      </c>
      <c r="Z572" s="283" t="s">
        <v>1593</v>
      </c>
      <c r="AA572" s="299"/>
      <c r="AB572" s="300" t="s">
        <v>225</v>
      </c>
      <c r="AC572" s="301" t="s">
        <v>1224</v>
      </c>
      <c r="AD572" s="302" t="s">
        <v>1042</v>
      </c>
      <c r="AE572" s="302"/>
      <c r="AF572" s="302"/>
      <c r="AG572" s="302"/>
      <c r="AH572" s="302" t="s">
        <v>1242</v>
      </c>
    </row>
    <row r="573" spans="1:34">
      <c r="A573" s="51">
        <v>4103</v>
      </c>
      <c r="B573" s="81" t="str">
        <f t="shared" si="30"/>
        <v>1007</v>
      </c>
      <c r="C573" s="278" t="s">
        <v>1431</v>
      </c>
      <c r="D573" s="295" t="s">
        <v>1650</v>
      </c>
      <c r="E573" s="295" t="s">
        <v>1977</v>
      </c>
      <c r="F573" s="252" t="s">
        <v>1230</v>
      </c>
      <c r="G573" s="252" t="s">
        <v>1918</v>
      </c>
      <c r="H573" s="282" t="s">
        <v>637</v>
      </c>
      <c r="I573" s="295" t="s">
        <v>815</v>
      </c>
      <c r="J573" s="282" t="s">
        <v>0</v>
      </c>
      <c r="K573" s="282" t="s">
        <v>452</v>
      </c>
      <c r="L573" s="297" t="s">
        <v>2318</v>
      </c>
      <c r="M573" s="282" t="s">
        <v>1402</v>
      </c>
      <c r="N573" s="283" t="s">
        <v>1227</v>
      </c>
      <c r="O573" s="304" t="s">
        <v>1802</v>
      </c>
      <c r="P573" s="64" t="str">
        <f ca="1">IF(AND(OR(INDIRECT("K" &amp; ROW())="NAV-Premium",INDIRECT("K" &amp; ROW())="DA-Premium"),INDIRECT("M" &amp; ROW())="PARTITION_SCHEMA128__NavPiviJpn", INDIRECT("O" &amp; ROW())="JPN_SDB"),'SDB vs GN'!$B$41, IF(INDIRECT("H" &amp; ROW())="Chenc",'SDB vs GN'!$B$40, VLOOKUP(INDIRECT("O" &amp; ROW()),'SDB vs GN'!$A$16:$B$38,2,FALSE)))</f>
        <v>GCN2_CN_EU_NA</v>
      </c>
      <c r="Q573" s="297" t="s">
        <v>1904</v>
      </c>
      <c r="R573" s="345" t="s">
        <v>1229</v>
      </c>
      <c r="S573" s="340" t="s">
        <v>10</v>
      </c>
      <c r="T573" s="295" t="s">
        <v>449</v>
      </c>
      <c r="U573" s="332" t="s">
        <v>816</v>
      </c>
      <c r="V573" s="342" t="s">
        <v>1988</v>
      </c>
      <c r="W573" s="298" t="s">
        <v>447</v>
      </c>
      <c r="X573" s="64" t="s">
        <v>521</v>
      </c>
      <c r="Y573" s="282" t="s">
        <v>1383</v>
      </c>
      <c r="Z573" s="283" t="s">
        <v>1593</v>
      </c>
      <c r="AA573" s="299"/>
      <c r="AB573" s="300" t="s">
        <v>225</v>
      </c>
      <c r="AC573" s="301" t="s">
        <v>1225</v>
      </c>
      <c r="AD573" s="302" t="s">
        <v>1042</v>
      </c>
      <c r="AE573" s="302"/>
      <c r="AF573" s="302"/>
      <c r="AG573" s="302"/>
      <c r="AH573" s="302" t="s">
        <v>1243</v>
      </c>
    </row>
    <row r="574" spans="1:34">
      <c r="A574" s="51">
        <v>4104</v>
      </c>
      <c r="B574" s="81" t="str">
        <f t="shared" si="30"/>
        <v>1008</v>
      </c>
      <c r="C574" s="224" t="s">
        <v>1473</v>
      </c>
      <c r="D574" s="295" t="s">
        <v>1647</v>
      </c>
      <c r="E574" s="282" t="s">
        <v>1977</v>
      </c>
      <c r="F574" s="252" t="s">
        <v>1230</v>
      </c>
      <c r="G574" s="252" t="s">
        <v>1918</v>
      </c>
      <c r="H574" s="55" t="s">
        <v>637</v>
      </c>
      <c r="I574" s="295" t="s">
        <v>815</v>
      </c>
      <c r="J574" s="55" t="s">
        <v>0</v>
      </c>
      <c r="K574" s="55" t="s">
        <v>452</v>
      </c>
      <c r="L574" s="297" t="s">
        <v>2318</v>
      </c>
      <c r="M574" s="166" t="s">
        <v>1399</v>
      </c>
      <c r="N574" s="282" t="s">
        <v>1215</v>
      </c>
      <c r="O574" s="238" t="s">
        <v>1801</v>
      </c>
      <c r="P574" s="64" t="str">
        <f ca="1">IF(AND(OR(INDIRECT("K" &amp; ROW())="NAV-Premium",INDIRECT("K" &amp; ROW())="DA-Premium"),INDIRECT("M" &amp; ROW())="PARTITION_SCHEMA128__NavPiviJpn", INDIRECT("O" &amp; ROW())="JPN_SDB"),'SDB vs GN'!$B$41, IF(INDIRECT("H" &amp; ROW())="Chenc",'SDB vs GN'!$B$40, VLOOKUP(INDIRECT("O" &amp; ROW()),'SDB vs GN'!$A$16:$B$38,2,FALSE)))</f>
        <v>GCN1_JP_KR_LA_NA</v>
      </c>
      <c r="Q574" s="64" t="s">
        <v>1906</v>
      </c>
      <c r="R574" s="64" t="s">
        <v>59</v>
      </c>
      <c r="S574" s="103" t="s">
        <v>10</v>
      </c>
      <c r="T574" s="365" t="s">
        <v>1743</v>
      </c>
      <c r="U574" s="332" t="s">
        <v>816</v>
      </c>
      <c r="V574" s="308" t="s">
        <v>1989</v>
      </c>
      <c r="W574" s="76" t="s">
        <v>447</v>
      </c>
      <c r="X574" s="64" t="s">
        <v>521</v>
      </c>
      <c r="Y574" s="282" t="s">
        <v>1381</v>
      </c>
      <c r="Z574" s="283" t="s">
        <v>1594</v>
      </c>
      <c r="AA574" s="96"/>
      <c r="AB574" s="131" t="s">
        <v>225</v>
      </c>
      <c r="AC574" s="224" t="s">
        <v>1294</v>
      </c>
      <c r="AD574" s="67" t="s">
        <v>1042</v>
      </c>
      <c r="AE574" s="302"/>
      <c r="AF574" s="67"/>
      <c r="AG574" s="67"/>
      <c r="AH574" s="122" t="s">
        <v>1298</v>
      </c>
    </row>
    <row r="575" spans="1:34" ht="26.4">
      <c r="A575" s="51">
        <v>4105</v>
      </c>
      <c r="B575" s="81" t="str">
        <f t="shared" si="30"/>
        <v>1009</v>
      </c>
      <c r="C575" s="224" t="s">
        <v>1473</v>
      </c>
      <c r="D575" s="295" t="s">
        <v>1648</v>
      </c>
      <c r="E575" s="282" t="s">
        <v>1977</v>
      </c>
      <c r="F575" s="252" t="s">
        <v>1230</v>
      </c>
      <c r="G575" s="252" t="s">
        <v>1918</v>
      </c>
      <c r="H575" s="55" t="s">
        <v>637</v>
      </c>
      <c r="I575" s="295" t="s">
        <v>815</v>
      </c>
      <c r="J575" s="55" t="s">
        <v>0</v>
      </c>
      <c r="K575" s="55" t="s">
        <v>452</v>
      </c>
      <c r="L575" s="297" t="s">
        <v>2318</v>
      </c>
      <c r="M575" s="166" t="s">
        <v>1399</v>
      </c>
      <c r="N575" s="282" t="s">
        <v>1215</v>
      </c>
      <c r="O575" s="238" t="s">
        <v>1801</v>
      </c>
      <c r="P575" s="64" t="str">
        <f ca="1">IF(AND(OR(INDIRECT("K" &amp; ROW())="NAV-Premium",INDIRECT("K" &amp; ROW())="DA-Premium"),INDIRECT("M" &amp; ROW())="PARTITION_SCHEMA128__NavPiviJpn", INDIRECT("O" &amp; ROW())="JPN_SDB"),'SDB vs GN'!$B$41, IF(INDIRECT("H" &amp; ROW())="Chenc",'SDB vs GN'!$B$40, VLOOKUP(INDIRECT("O" &amp; ROW()),'SDB vs GN'!$A$16:$B$38,2,FALSE)))</f>
        <v>GCN1_JP_KR_LA_NA</v>
      </c>
      <c r="Q575" s="64" t="s">
        <v>1906</v>
      </c>
      <c r="R575" s="64" t="s">
        <v>59</v>
      </c>
      <c r="S575" s="103" t="s">
        <v>10</v>
      </c>
      <c r="T575" s="365" t="s">
        <v>1743</v>
      </c>
      <c r="U575" s="332" t="s">
        <v>816</v>
      </c>
      <c r="V575" s="308" t="s">
        <v>1989</v>
      </c>
      <c r="W575" s="76" t="s">
        <v>447</v>
      </c>
      <c r="X575" s="64" t="s">
        <v>521</v>
      </c>
      <c r="Y575" s="282" t="s">
        <v>1381</v>
      </c>
      <c r="Z575" s="283" t="s">
        <v>1594</v>
      </c>
      <c r="AA575" s="96"/>
      <c r="AB575" s="131" t="s">
        <v>225</v>
      </c>
      <c r="AC575" s="224" t="s">
        <v>1295</v>
      </c>
      <c r="AD575" s="67" t="s">
        <v>1042</v>
      </c>
      <c r="AE575" s="302"/>
      <c r="AF575" s="67"/>
      <c r="AG575" s="67"/>
      <c r="AH575" s="122" t="s">
        <v>1299</v>
      </c>
    </row>
    <row r="576" spans="1:34">
      <c r="A576" s="51">
        <v>4106</v>
      </c>
      <c r="B576" s="81" t="str">
        <f t="shared" si="30"/>
        <v>100A</v>
      </c>
      <c r="C576" s="224" t="s">
        <v>2091</v>
      </c>
      <c r="D576" s="295" t="s">
        <v>1647</v>
      </c>
      <c r="E576" s="282" t="s">
        <v>1977</v>
      </c>
      <c r="F576" s="252" t="s">
        <v>1230</v>
      </c>
      <c r="G576" s="252" t="s">
        <v>1918</v>
      </c>
      <c r="H576" s="55" t="s">
        <v>637</v>
      </c>
      <c r="I576" s="295" t="s">
        <v>815</v>
      </c>
      <c r="J576" s="55" t="s">
        <v>0</v>
      </c>
      <c r="K576" s="55" t="s">
        <v>452</v>
      </c>
      <c r="L576" s="297" t="s">
        <v>2318</v>
      </c>
      <c r="M576" s="166" t="s">
        <v>1399</v>
      </c>
      <c r="N576" s="282" t="s">
        <v>1215</v>
      </c>
      <c r="O576" s="304" t="s">
        <v>1802</v>
      </c>
      <c r="P576" s="64" t="str">
        <f ca="1">IF(AND(OR(INDIRECT("K" &amp; ROW())="NAV-Premium",INDIRECT("K" &amp; ROW())="DA-Premium"),INDIRECT("M" &amp; ROW())="PARTITION_SCHEMA128__NavPiviJpn", INDIRECT("O" &amp; ROW())="JPN_SDB"),'SDB vs GN'!$B$41, IF(INDIRECT("H" &amp; ROW())="Chenc",'SDB vs GN'!$B$40, VLOOKUP(INDIRECT("O" &amp; ROW()),'SDB vs GN'!$A$16:$B$38,2,FALSE)))</f>
        <v>GCN2_CN_EU_NA</v>
      </c>
      <c r="Q576" s="64" t="s">
        <v>1906</v>
      </c>
      <c r="R576" s="64" t="s">
        <v>61</v>
      </c>
      <c r="S576" s="103" t="s">
        <v>10</v>
      </c>
      <c r="T576" s="64" t="s">
        <v>449</v>
      </c>
      <c r="U576" s="332" t="s">
        <v>816</v>
      </c>
      <c r="V576" s="342" t="s">
        <v>1988</v>
      </c>
      <c r="W576" s="76" t="s">
        <v>447</v>
      </c>
      <c r="X576" s="64" t="s">
        <v>521</v>
      </c>
      <c r="Y576" s="282" t="s">
        <v>1381</v>
      </c>
      <c r="Z576" s="283" t="s">
        <v>1594</v>
      </c>
      <c r="AA576" s="96"/>
      <c r="AB576" s="131" t="s">
        <v>225</v>
      </c>
      <c r="AC576" s="224" t="s">
        <v>1292</v>
      </c>
      <c r="AD576" s="67" t="s">
        <v>1042</v>
      </c>
      <c r="AE576" s="302"/>
      <c r="AF576" s="67"/>
      <c r="AG576" s="67"/>
      <c r="AH576" s="122" t="s">
        <v>1296</v>
      </c>
    </row>
    <row r="577" spans="1:34" ht="26.4">
      <c r="A577" s="51">
        <v>4107</v>
      </c>
      <c r="B577" s="81" t="str">
        <f t="shared" si="30"/>
        <v>100B</v>
      </c>
      <c r="C577" s="224" t="s">
        <v>2091</v>
      </c>
      <c r="D577" s="295" t="s">
        <v>1648</v>
      </c>
      <c r="E577" s="282" t="s">
        <v>1977</v>
      </c>
      <c r="F577" s="252" t="s">
        <v>1230</v>
      </c>
      <c r="G577" s="252" t="s">
        <v>1918</v>
      </c>
      <c r="H577" s="55" t="s">
        <v>637</v>
      </c>
      <c r="I577" s="295" t="s">
        <v>815</v>
      </c>
      <c r="J577" s="55" t="s">
        <v>0</v>
      </c>
      <c r="K577" s="55" t="s">
        <v>452</v>
      </c>
      <c r="L577" s="297" t="s">
        <v>2318</v>
      </c>
      <c r="M577" s="166" t="s">
        <v>1399</v>
      </c>
      <c r="N577" s="282" t="s">
        <v>1215</v>
      </c>
      <c r="O577" s="304" t="s">
        <v>1802</v>
      </c>
      <c r="P577" s="64" t="str">
        <f ca="1">IF(AND(OR(INDIRECT("K" &amp; ROW())="NAV-Premium",INDIRECT("K" &amp; ROW())="DA-Premium"),INDIRECT("M" &amp; ROW())="PARTITION_SCHEMA128__NavPiviJpn", INDIRECT("O" &amp; ROW())="JPN_SDB"),'SDB vs GN'!$B$41, IF(INDIRECT("H" &amp; ROW())="Chenc",'SDB vs GN'!$B$40, VLOOKUP(INDIRECT("O" &amp; ROW()),'SDB vs GN'!$A$16:$B$38,2,FALSE)))</f>
        <v>GCN2_CN_EU_NA</v>
      </c>
      <c r="Q577" s="64" t="s">
        <v>1906</v>
      </c>
      <c r="R577" s="64" t="s">
        <v>61</v>
      </c>
      <c r="S577" s="103" t="s">
        <v>10</v>
      </c>
      <c r="T577" s="64" t="s">
        <v>449</v>
      </c>
      <c r="U577" s="332" t="s">
        <v>816</v>
      </c>
      <c r="V577" s="342" t="s">
        <v>1988</v>
      </c>
      <c r="W577" s="76" t="s">
        <v>447</v>
      </c>
      <c r="X577" s="64" t="s">
        <v>521</v>
      </c>
      <c r="Y577" s="282" t="s">
        <v>1381</v>
      </c>
      <c r="Z577" s="283" t="s">
        <v>1594</v>
      </c>
      <c r="AA577" s="96"/>
      <c r="AB577" s="131" t="s">
        <v>225</v>
      </c>
      <c r="AC577" s="224" t="s">
        <v>1293</v>
      </c>
      <c r="AD577" s="67" t="s">
        <v>1042</v>
      </c>
      <c r="AE577" s="302"/>
      <c r="AF577" s="67"/>
      <c r="AG577" s="67"/>
      <c r="AH577" s="122" t="s">
        <v>1297</v>
      </c>
    </row>
    <row r="578" spans="1:34">
      <c r="A578" s="51">
        <v>4108</v>
      </c>
      <c r="B578" s="81" t="str">
        <f t="shared" si="30"/>
        <v>100C</v>
      </c>
      <c r="C578" s="278" t="s">
        <v>1873</v>
      </c>
      <c r="D578" s="295" t="s">
        <v>1649</v>
      </c>
      <c r="E578" s="295" t="s">
        <v>1977</v>
      </c>
      <c r="F578" s="115" t="s">
        <v>1315</v>
      </c>
      <c r="G578" s="115" t="s">
        <v>1914</v>
      </c>
      <c r="H578" s="282" t="s">
        <v>637</v>
      </c>
      <c r="I578" s="295" t="s">
        <v>815</v>
      </c>
      <c r="J578" s="282" t="s">
        <v>0</v>
      </c>
      <c r="K578" s="282" t="s">
        <v>454</v>
      </c>
      <c r="L578" s="100" t="s">
        <v>1306</v>
      </c>
      <c r="M578" s="282" t="s">
        <v>1402</v>
      </c>
      <c r="N578" s="282" t="s">
        <v>1215</v>
      </c>
      <c r="O578" s="296" t="s">
        <v>1806</v>
      </c>
      <c r="P578" s="64" t="str">
        <f ca="1">IF(AND(OR(INDIRECT("K" &amp; ROW())="NAV-Premium",INDIRECT("K" &amp; ROW())="DA-Premium"),INDIRECT("M" &amp; ROW())="PARTITION_SCHEMA128__NavPiviJpn", INDIRECT("O" &amp; ROW())="JPN_SDB"),'SDB vs GN'!$B$41, IF(INDIRECT("H" &amp; ROW())="Chenc",'SDB vs GN'!$B$40, VLOOKUP(INDIRECT("O" &amp; ROW()),'SDB vs GN'!$A$16:$B$38,2,FALSE)))</f>
        <v>GCN1_JP_KR_LA_NA</v>
      </c>
      <c r="Q578" s="297" t="s">
        <v>1905</v>
      </c>
      <c r="R578" s="297" t="s">
        <v>1236</v>
      </c>
      <c r="S578" s="340" t="s">
        <v>10</v>
      </c>
      <c r="T578" s="365" t="s">
        <v>1743</v>
      </c>
      <c r="U578" s="332" t="s">
        <v>816</v>
      </c>
      <c r="V578" s="308" t="s">
        <v>604</v>
      </c>
      <c r="W578" s="298" t="s">
        <v>447</v>
      </c>
      <c r="X578" s="64" t="s">
        <v>521</v>
      </c>
      <c r="Y578" s="282" t="s">
        <v>1382</v>
      </c>
      <c r="Z578" s="283" t="s">
        <v>1593</v>
      </c>
      <c r="AA578" s="299"/>
      <c r="AB578" s="300" t="s">
        <v>225</v>
      </c>
      <c r="AC578" s="301" t="s">
        <v>1309</v>
      </c>
      <c r="AD578" s="302" t="s">
        <v>1042</v>
      </c>
      <c r="AE578" s="302"/>
      <c r="AF578" s="302"/>
      <c r="AG578" s="302"/>
      <c r="AH578" s="303" t="s">
        <v>1311</v>
      </c>
    </row>
    <row r="579" spans="1:34">
      <c r="A579" s="51">
        <v>4109</v>
      </c>
      <c r="B579" s="81" t="str">
        <f t="shared" ref="B579:B593" si="31">DEC2HEX(A579,4)</f>
        <v>100D</v>
      </c>
      <c r="C579" s="278" t="s">
        <v>1874</v>
      </c>
      <c r="D579" s="295" t="s">
        <v>1649</v>
      </c>
      <c r="E579" s="295" t="s">
        <v>1977</v>
      </c>
      <c r="F579" s="115" t="s">
        <v>1315</v>
      </c>
      <c r="G579" s="115" t="s">
        <v>1914</v>
      </c>
      <c r="H579" s="282" t="s">
        <v>637</v>
      </c>
      <c r="I579" s="295" t="s">
        <v>815</v>
      </c>
      <c r="J579" s="282" t="s">
        <v>0</v>
      </c>
      <c r="K579" s="282" t="s">
        <v>454</v>
      </c>
      <c r="L579" s="100" t="s">
        <v>1306</v>
      </c>
      <c r="M579" s="282" t="s">
        <v>1402</v>
      </c>
      <c r="N579" s="282" t="s">
        <v>1215</v>
      </c>
      <c r="O579" s="304" t="s">
        <v>1805</v>
      </c>
      <c r="P579" s="64" t="str">
        <f ca="1">IF(AND(OR(INDIRECT("K" &amp; ROW())="NAV-Premium",INDIRECT("K" &amp; ROW())="DA-Premium"),INDIRECT("M" &amp; ROW())="PARTITION_SCHEMA128__NavPiviJpn", INDIRECT("O" &amp; ROW())="JPN_SDB"),'SDB vs GN'!$B$41, IF(INDIRECT("H" &amp; ROW())="Chenc",'SDB vs GN'!$B$40, VLOOKUP(INDIRECT("O" &amp; ROW()),'SDB vs GN'!$A$16:$B$38,2,FALSE)))</f>
        <v>GCN2_CN_EU_NA</v>
      </c>
      <c r="Q579" s="297" t="s">
        <v>1905</v>
      </c>
      <c r="R579" s="325" t="s">
        <v>1235</v>
      </c>
      <c r="S579" s="340" t="s">
        <v>10</v>
      </c>
      <c r="T579" s="297" t="s">
        <v>449</v>
      </c>
      <c r="U579" s="332" t="s">
        <v>816</v>
      </c>
      <c r="V579" s="342" t="s">
        <v>598</v>
      </c>
      <c r="W579" s="298" t="s">
        <v>447</v>
      </c>
      <c r="X579" s="64" t="s">
        <v>521</v>
      </c>
      <c r="Y579" s="282" t="s">
        <v>1382</v>
      </c>
      <c r="Z579" s="283" t="s">
        <v>1593</v>
      </c>
      <c r="AA579" s="96"/>
      <c r="AB579" s="131" t="s">
        <v>225</v>
      </c>
      <c r="AC579" s="307" t="s">
        <v>1308</v>
      </c>
      <c r="AD579" s="302" t="s">
        <v>1042</v>
      </c>
      <c r="AE579" s="302"/>
      <c r="AF579" s="302"/>
      <c r="AG579" s="302"/>
      <c r="AH579" s="303" t="s">
        <v>1314</v>
      </c>
    </row>
    <row r="580" spans="1:34">
      <c r="A580" s="51">
        <v>4110</v>
      </c>
      <c r="B580" s="81" t="str">
        <f t="shared" si="31"/>
        <v>100E</v>
      </c>
      <c r="C580" s="344" t="s">
        <v>1875</v>
      </c>
      <c r="D580" s="295" t="s">
        <v>1649</v>
      </c>
      <c r="E580" s="295" t="s">
        <v>1977</v>
      </c>
      <c r="F580" s="115" t="s">
        <v>1315</v>
      </c>
      <c r="G580" s="115" t="s">
        <v>1914</v>
      </c>
      <c r="H580" s="283" t="s">
        <v>637</v>
      </c>
      <c r="I580" s="294" t="s">
        <v>1226</v>
      </c>
      <c r="J580" s="282" t="s">
        <v>0</v>
      </c>
      <c r="K580" s="282" t="s">
        <v>454</v>
      </c>
      <c r="L580" s="100" t="s">
        <v>1306</v>
      </c>
      <c r="M580" s="282" t="s">
        <v>1402</v>
      </c>
      <c r="N580" s="282" t="s">
        <v>1215</v>
      </c>
      <c r="O580" s="296" t="s">
        <v>1803</v>
      </c>
      <c r="P580" s="64" t="str">
        <f ca="1">IF(AND(OR(INDIRECT("K" &amp; ROW())="NAV-Premium",INDIRECT("K" &amp; ROW())="DA-Premium"),INDIRECT("M" &amp; ROW())="PARTITION_SCHEMA128__NavPiviJpn", INDIRECT("O" &amp; ROW())="JPN_SDB"),'SDB vs GN'!$B$41, IF(INDIRECT("H" &amp; ROW())="Chenc",'SDB vs GN'!$B$40, VLOOKUP(INDIRECT("O" &amp; ROW()),'SDB vs GN'!$A$16:$B$38,2,FALSE)))</f>
        <v>GCN3_CN_LA_NA</v>
      </c>
      <c r="Q580" s="297" t="s">
        <v>1905</v>
      </c>
      <c r="R580" s="325" t="s">
        <v>1234</v>
      </c>
      <c r="S580" s="340" t="s">
        <v>10</v>
      </c>
      <c r="T580" s="297" t="s">
        <v>449</v>
      </c>
      <c r="U580" s="332" t="s">
        <v>816</v>
      </c>
      <c r="V580" s="342" t="s">
        <v>832</v>
      </c>
      <c r="W580" s="298" t="s">
        <v>447</v>
      </c>
      <c r="X580" s="64" t="s">
        <v>521</v>
      </c>
      <c r="Y580" s="282" t="s">
        <v>1382</v>
      </c>
      <c r="Z580" s="283" t="s">
        <v>1593</v>
      </c>
      <c r="AA580" s="299"/>
      <c r="AB580" s="300" t="s">
        <v>225</v>
      </c>
      <c r="AC580" s="302" t="s">
        <v>1307</v>
      </c>
      <c r="AD580" s="302" t="s">
        <v>1042</v>
      </c>
      <c r="AE580" s="302"/>
      <c r="AF580" s="302"/>
      <c r="AG580" s="302"/>
      <c r="AH580" s="303" t="s">
        <v>1312</v>
      </c>
    </row>
    <row r="581" spans="1:34">
      <c r="A581" s="51">
        <v>4111</v>
      </c>
      <c r="B581" s="81" t="str">
        <f t="shared" si="31"/>
        <v>100F</v>
      </c>
      <c r="C581" s="278" t="s">
        <v>1876</v>
      </c>
      <c r="D581" s="295" t="s">
        <v>1649</v>
      </c>
      <c r="E581" s="295" t="s">
        <v>1977</v>
      </c>
      <c r="F581" s="115" t="s">
        <v>1315</v>
      </c>
      <c r="G581" s="115" t="s">
        <v>1914</v>
      </c>
      <c r="H581" s="282" t="s">
        <v>637</v>
      </c>
      <c r="I581" s="295" t="s">
        <v>5</v>
      </c>
      <c r="J581" s="282" t="s">
        <v>0</v>
      </c>
      <c r="K581" s="282" t="s">
        <v>454</v>
      </c>
      <c r="L581" s="100" t="s">
        <v>1306</v>
      </c>
      <c r="M581" s="55" t="s">
        <v>1496</v>
      </c>
      <c r="N581" s="282" t="s">
        <v>1215</v>
      </c>
      <c r="O581" s="296" t="s">
        <v>1806</v>
      </c>
      <c r="P581" s="64" t="str">
        <f ca="1">IF(AND(OR(INDIRECT("K" &amp; ROW())="NAV-Premium",INDIRECT("K" &amp; ROW())="DA-Premium"),INDIRECT("M" &amp; ROW())="PARTITION_SCHEMA128__NavPiviJpn", INDIRECT("O" &amp; ROW())="JPN_SDB"),'SDB vs GN'!$B$41, IF(INDIRECT("H" &amp; ROW())="Chenc",'SDB vs GN'!$B$40, VLOOKUP(INDIRECT("O" &amp; ROW()),'SDB vs GN'!$A$16:$B$38,2,FALSE)))</f>
        <v>GCN1_JP_KR_LA_NA</v>
      </c>
      <c r="Q581" s="297" t="s">
        <v>1905</v>
      </c>
      <c r="R581" s="297" t="s">
        <v>1237</v>
      </c>
      <c r="S581" s="340" t="s">
        <v>10</v>
      </c>
      <c r="T581" s="295" t="s">
        <v>449</v>
      </c>
      <c r="U581" s="332" t="s">
        <v>816</v>
      </c>
      <c r="V581" s="308" t="s">
        <v>619</v>
      </c>
      <c r="W581" s="298" t="s">
        <v>447</v>
      </c>
      <c r="X581" s="64" t="s">
        <v>362</v>
      </c>
      <c r="Y581" s="282" t="s">
        <v>1382</v>
      </c>
      <c r="Z581" s="283" t="s">
        <v>1593</v>
      </c>
      <c r="AA581" s="299"/>
      <c r="AB581" s="300" t="s">
        <v>225</v>
      </c>
      <c r="AC581" s="301" t="s">
        <v>1310</v>
      </c>
      <c r="AD581" s="302" t="s">
        <v>1042</v>
      </c>
      <c r="AE581" s="302"/>
      <c r="AF581" s="302"/>
      <c r="AG581" s="302"/>
      <c r="AH581" s="303" t="s">
        <v>1313</v>
      </c>
    </row>
    <row r="582" spans="1:34">
      <c r="A582" s="51">
        <v>4112</v>
      </c>
      <c r="B582" s="81" t="str">
        <f t="shared" si="31"/>
        <v>1010</v>
      </c>
      <c r="C582" s="278" t="s">
        <v>1438</v>
      </c>
      <c r="D582" s="295" t="s">
        <v>1650</v>
      </c>
      <c r="E582" s="295" t="s">
        <v>1977</v>
      </c>
      <c r="F582" s="335" t="s">
        <v>1927</v>
      </c>
      <c r="G582" s="335" t="s">
        <v>1913</v>
      </c>
      <c r="H582" s="282" t="s">
        <v>637</v>
      </c>
      <c r="I582" s="295" t="s">
        <v>5</v>
      </c>
      <c r="J582" s="282" t="s">
        <v>0</v>
      </c>
      <c r="K582" s="282" t="s">
        <v>452</v>
      </c>
      <c r="L582" s="297" t="s">
        <v>2318</v>
      </c>
      <c r="M582" s="55" t="s">
        <v>1496</v>
      </c>
      <c r="N582" s="282" t="s">
        <v>1215</v>
      </c>
      <c r="O582" s="238" t="s">
        <v>1801</v>
      </c>
      <c r="P582" s="64" t="str">
        <f ca="1">IF(AND(OR(INDIRECT("K" &amp; ROW())="NAV-Premium",INDIRECT("K" &amp; ROW())="DA-Premium"),INDIRECT("M" &amp; ROW())="PARTITION_SCHEMA128__NavPiviJpn", INDIRECT("O" &amp; ROW())="JPN_SDB"),'SDB vs GN'!$B$41, IF(INDIRECT("H" &amp; ROW())="Chenc",'SDB vs GN'!$B$40, VLOOKUP(INDIRECT("O" &amp; ROW()),'SDB vs GN'!$A$16:$B$38,2,FALSE)))</f>
        <v>GCN1_JP_KR_LA_NA</v>
      </c>
      <c r="Q582" s="297" t="s">
        <v>1904</v>
      </c>
      <c r="R582" s="345" t="s">
        <v>1354</v>
      </c>
      <c r="S582" s="340" t="s">
        <v>10</v>
      </c>
      <c r="T582" s="295" t="s">
        <v>449</v>
      </c>
      <c r="U582" s="332" t="s">
        <v>816</v>
      </c>
      <c r="V582" s="308" t="s">
        <v>615</v>
      </c>
      <c r="W582" s="298" t="s">
        <v>447</v>
      </c>
      <c r="X582" s="64" t="s">
        <v>362</v>
      </c>
      <c r="Y582" s="282" t="s">
        <v>1383</v>
      </c>
      <c r="Z582" s="283" t="s">
        <v>1593</v>
      </c>
      <c r="AA582" s="299"/>
      <c r="AB582" s="300" t="s">
        <v>225</v>
      </c>
      <c r="AC582" s="301" t="s">
        <v>1355</v>
      </c>
      <c r="AD582" s="302" t="s">
        <v>1042</v>
      </c>
      <c r="AE582" s="302"/>
      <c r="AF582" s="302"/>
      <c r="AG582" s="302"/>
      <c r="AH582" s="302" t="s">
        <v>1599</v>
      </c>
    </row>
    <row r="583" spans="1:34">
      <c r="A583" s="51">
        <v>4113</v>
      </c>
      <c r="B583" s="81" t="str">
        <f t="shared" si="31"/>
        <v>1011</v>
      </c>
      <c r="C583" s="278" t="s">
        <v>2094</v>
      </c>
      <c r="D583" s="295" t="s">
        <v>2308</v>
      </c>
      <c r="E583" s="295" t="s">
        <v>1977</v>
      </c>
      <c r="F583" s="177" t="s">
        <v>1359</v>
      </c>
      <c r="G583" s="177" t="s">
        <v>2109</v>
      </c>
      <c r="H583" s="282" t="s">
        <v>637</v>
      </c>
      <c r="I583" s="94" t="s">
        <v>4</v>
      </c>
      <c r="J583" s="282" t="s">
        <v>0</v>
      </c>
      <c r="K583" s="282" t="s">
        <v>451</v>
      </c>
      <c r="L583" s="297" t="s">
        <v>2318</v>
      </c>
      <c r="M583" s="55" t="s">
        <v>1403</v>
      </c>
      <c r="N583" s="282" t="s">
        <v>1215</v>
      </c>
      <c r="O583" s="238" t="s">
        <v>1801</v>
      </c>
      <c r="P583" s="64" t="str">
        <f ca="1">IF(AND(OR(INDIRECT("K" &amp; ROW())="NAV-Premium",INDIRECT("K" &amp; ROW())="DA-Premium"),INDIRECT("M" &amp; ROW())="PARTITION_SCHEMA128__NavPiviJpn", INDIRECT("O" &amp; ROW())="JPN_SDB"),'SDB vs GN'!$B$41, IF(INDIRECT("H" &amp; ROW())="Chenc",'SDB vs GN'!$B$40, VLOOKUP(INDIRECT("O" &amp; ROW()),'SDB vs GN'!$A$16:$B$38,2,FALSE)))</f>
        <v>GCN1_JP_KR_LA_NA</v>
      </c>
      <c r="Q583" s="297" t="s">
        <v>1904</v>
      </c>
      <c r="R583" s="345" t="s">
        <v>1228</v>
      </c>
      <c r="S583" s="340" t="s">
        <v>10</v>
      </c>
      <c r="T583" s="365" t="s">
        <v>1743</v>
      </c>
      <c r="U583" s="332" t="s">
        <v>816</v>
      </c>
      <c r="V583" s="173" t="s">
        <v>7</v>
      </c>
      <c r="W583" s="298" t="s">
        <v>447</v>
      </c>
      <c r="X583" s="64" t="s">
        <v>521</v>
      </c>
      <c r="Y583" s="282" t="s">
        <v>1383</v>
      </c>
      <c r="Z583" s="282" t="s">
        <v>1592</v>
      </c>
      <c r="AA583" s="299"/>
      <c r="AB583" s="300" t="s">
        <v>225</v>
      </c>
      <c r="AC583" s="301" t="s">
        <v>1360</v>
      </c>
      <c r="AD583" s="302" t="s">
        <v>1042</v>
      </c>
      <c r="AE583" s="302"/>
      <c r="AF583" s="302"/>
      <c r="AG583" s="302"/>
      <c r="AH583" s="302" t="s">
        <v>1600</v>
      </c>
    </row>
    <row r="584" spans="1:34" ht="39.6">
      <c r="A584" s="51">
        <v>4114</v>
      </c>
      <c r="B584" s="81" t="str">
        <f t="shared" si="31"/>
        <v>1012</v>
      </c>
      <c r="C584" s="278" t="s">
        <v>1430</v>
      </c>
      <c r="D584" s="295" t="s">
        <v>1651</v>
      </c>
      <c r="E584" s="295" t="s">
        <v>1977</v>
      </c>
      <c r="F584" s="252" t="s">
        <v>1230</v>
      </c>
      <c r="G584" s="252" t="s">
        <v>1918</v>
      </c>
      <c r="H584" s="282" t="s">
        <v>637</v>
      </c>
      <c r="I584" s="295" t="s">
        <v>815</v>
      </c>
      <c r="J584" s="282" t="s">
        <v>0</v>
      </c>
      <c r="K584" s="55" t="s">
        <v>452</v>
      </c>
      <c r="L584" s="297" t="s">
        <v>2318</v>
      </c>
      <c r="M584" s="282" t="s">
        <v>1401</v>
      </c>
      <c r="N584" s="282" t="s">
        <v>1400</v>
      </c>
      <c r="O584" s="238" t="s">
        <v>1801</v>
      </c>
      <c r="P584" s="64" t="str">
        <f ca="1">IF(AND(OR(INDIRECT("K" &amp; ROW())="NAV-Premium",INDIRECT("K" &amp; ROW())="DA-Premium"),INDIRECT("M" &amp; ROW())="PARTITION_SCHEMA128__NavPiviJpn", INDIRECT("O" &amp; ROW())="JPN_SDB"),'SDB vs GN'!$B$41, IF(INDIRECT("H" &amp; ROW())="Chenc",'SDB vs GN'!$B$40, VLOOKUP(INDIRECT("O" &amp; ROW()),'SDB vs GN'!$A$16:$B$38,2,FALSE)))</f>
        <v>GCN1_JP_KR_LA_NA</v>
      </c>
      <c r="Q584" s="297" t="s">
        <v>1903</v>
      </c>
      <c r="R584" s="345" t="s">
        <v>1228</v>
      </c>
      <c r="S584" s="340" t="s">
        <v>10</v>
      </c>
      <c r="T584" s="365" t="s">
        <v>1743</v>
      </c>
      <c r="U584" s="332" t="s">
        <v>816</v>
      </c>
      <c r="V584" s="308" t="s">
        <v>1989</v>
      </c>
      <c r="W584" s="298" t="s">
        <v>447</v>
      </c>
      <c r="X584" s="64" t="s">
        <v>521</v>
      </c>
      <c r="Y584" s="282" t="s">
        <v>1556</v>
      </c>
      <c r="Z584" s="282" t="s">
        <v>1593</v>
      </c>
      <c r="AA584" s="299"/>
      <c r="AB584" s="300" t="s">
        <v>225</v>
      </c>
      <c r="AC584" s="301" t="s">
        <v>1410</v>
      </c>
      <c r="AD584" s="302" t="s">
        <v>1042</v>
      </c>
      <c r="AE584" s="302"/>
      <c r="AF584" s="302"/>
      <c r="AG584" s="302"/>
      <c r="AH584" s="303" t="s">
        <v>1601</v>
      </c>
    </row>
    <row r="585" spans="1:34" ht="26.4">
      <c r="A585" s="51">
        <v>4115</v>
      </c>
      <c r="B585" s="81" t="str">
        <f t="shared" si="31"/>
        <v>1013</v>
      </c>
      <c r="C585" s="278" t="s">
        <v>1431</v>
      </c>
      <c r="D585" s="295" t="s">
        <v>1651</v>
      </c>
      <c r="E585" s="295" t="s">
        <v>1977</v>
      </c>
      <c r="F585" s="252" t="s">
        <v>1230</v>
      </c>
      <c r="G585" s="252" t="s">
        <v>1918</v>
      </c>
      <c r="H585" s="282" t="s">
        <v>637</v>
      </c>
      <c r="I585" s="295" t="s">
        <v>815</v>
      </c>
      <c r="J585" s="282" t="s">
        <v>0</v>
      </c>
      <c r="K585" s="55" t="s">
        <v>452</v>
      </c>
      <c r="L585" s="297" t="s">
        <v>2318</v>
      </c>
      <c r="M585" s="282" t="s">
        <v>1401</v>
      </c>
      <c r="N585" s="282" t="s">
        <v>1400</v>
      </c>
      <c r="O585" s="304" t="s">
        <v>1802</v>
      </c>
      <c r="P585" s="64" t="str">
        <f ca="1">IF(AND(OR(INDIRECT("K" &amp; ROW())="NAV-Premium",INDIRECT("K" &amp; ROW())="DA-Premium"),INDIRECT("M" &amp; ROW())="PARTITION_SCHEMA128__NavPiviJpn", INDIRECT("O" &amp; ROW())="JPN_SDB"),'SDB vs GN'!$B$41, IF(INDIRECT("H" &amp; ROW())="Chenc",'SDB vs GN'!$B$40, VLOOKUP(INDIRECT("O" &amp; ROW()),'SDB vs GN'!$A$16:$B$38,2,FALSE)))</f>
        <v>GCN2_CN_EU_NA</v>
      </c>
      <c r="Q585" s="297" t="s">
        <v>1903</v>
      </c>
      <c r="R585" s="345" t="s">
        <v>1229</v>
      </c>
      <c r="S585" s="340" t="s">
        <v>10</v>
      </c>
      <c r="T585" s="295" t="s">
        <v>449</v>
      </c>
      <c r="U585" s="332" t="s">
        <v>816</v>
      </c>
      <c r="V585" s="342" t="s">
        <v>1988</v>
      </c>
      <c r="W585" s="298" t="s">
        <v>447</v>
      </c>
      <c r="X585" s="64" t="s">
        <v>521</v>
      </c>
      <c r="Y585" s="282" t="s">
        <v>1556</v>
      </c>
      <c r="Z585" s="282" t="s">
        <v>1593</v>
      </c>
      <c r="AA585" s="299"/>
      <c r="AB585" s="300" t="s">
        <v>225</v>
      </c>
      <c r="AC585" s="302" t="s">
        <v>1411</v>
      </c>
      <c r="AD585" s="302" t="s">
        <v>1042</v>
      </c>
      <c r="AE585" s="302" t="s">
        <v>2038</v>
      </c>
      <c r="AF585" s="302"/>
      <c r="AG585" s="302"/>
      <c r="AH585" s="302" t="s">
        <v>1602</v>
      </c>
    </row>
    <row r="586" spans="1:34" ht="26.4">
      <c r="A586" s="51">
        <v>4116</v>
      </c>
      <c r="B586" s="81" t="str">
        <f t="shared" si="31"/>
        <v>1014</v>
      </c>
      <c r="C586" s="278" t="s">
        <v>1438</v>
      </c>
      <c r="D586" s="295" t="s">
        <v>1651</v>
      </c>
      <c r="E586" s="295" t="s">
        <v>1977</v>
      </c>
      <c r="F586" s="335" t="s">
        <v>1927</v>
      </c>
      <c r="G586" s="335" t="s">
        <v>1913</v>
      </c>
      <c r="H586" s="282" t="s">
        <v>637</v>
      </c>
      <c r="I586" s="295" t="s">
        <v>5</v>
      </c>
      <c r="J586" s="282" t="s">
        <v>0</v>
      </c>
      <c r="K586" s="55" t="s">
        <v>452</v>
      </c>
      <c r="L586" s="297" t="s">
        <v>2318</v>
      </c>
      <c r="M586" s="55" t="s">
        <v>1496</v>
      </c>
      <c r="N586" s="282" t="s">
        <v>1215</v>
      </c>
      <c r="O586" s="238" t="s">
        <v>1801</v>
      </c>
      <c r="P586" s="64" t="str">
        <f ca="1">IF(AND(OR(INDIRECT("K" &amp; ROW())="NAV-Premium",INDIRECT("K" &amp; ROW())="DA-Premium"),INDIRECT("M" &amp; ROW())="PARTITION_SCHEMA128__NavPiviJpn", INDIRECT("O" &amp; ROW())="JPN_SDB"),'SDB vs GN'!$B$41, IF(INDIRECT("H" &amp; ROW())="Chenc",'SDB vs GN'!$B$40, VLOOKUP(INDIRECT("O" &amp; ROW()),'SDB vs GN'!$A$16:$B$38,2,FALSE)))</f>
        <v>GCN1_JP_KR_LA_NA</v>
      </c>
      <c r="Q586" s="297" t="s">
        <v>1903</v>
      </c>
      <c r="R586" s="345" t="s">
        <v>1354</v>
      </c>
      <c r="S586" s="340" t="s">
        <v>10</v>
      </c>
      <c r="T586" s="295" t="s">
        <v>449</v>
      </c>
      <c r="U586" s="332" t="s">
        <v>816</v>
      </c>
      <c r="V586" s="308" t="s">
        <v>615</v>
      </c>
      <c r="W586" s="298" t="s">
        <v>447</v>
      </c>
      <c r="X586" s="64" t="s">
        <v>362</v>
      </c>
      <c r="Y586" s="282" t="s">
        <v>1556</v>
      </c>
      <c r="Z586" s="282" t="s">
        <v>1593</v>
      </c>
      <c r="AA586" s="299"/>
      <c r="AB586" s="300" t="s">
        <v>225</v>
      </c>
      <c r="AC586" s="301" t="s">
        <v>1412</v>
      </c>
      <c r="AD586" s="302" t="s">
        <v>1042</v>
      </c>
      <c r="AE586" s="302"/>
      <c r="AF586" s="302"/>
      <c r="AG586" s="302"/>
      <c r="AH586" s="302" t="s">
        <v>1603</v>
      </c>
    </row>
    <row r="587" spans="1:34" ht="26.4">
      <c r="A587" s="51">
        <v>4117</v>
      </c>
      <c r="B587" s="81" t="str">
        <f t="shared" si="31"/>
        <v>1015</v>
      </c>
      <c r="C587" s="278" t="s">
        <v>1450</v>
      </c>
      <c r="D587" s="295" t="s">
        <v>1651</v>
      </c>
      <c r="E587" s="295" t="s">
        <v>1977</v>
      </c>
      <c r="F587" s="177" t="s">
        <v>1359</v>
      </c>
      <c r="G587" s="177" t="s">
        <v>2109</v>
      </c>
      <c r="H587" s="282" t="s">
        <v>637</v>
      </c>
      <c r="I587" s="94" t="s">
        <v>4</v>
      </c>
      <c r="J587" s="282" t="s">
        <v>0</v>
      </c>
      <c r="K587" s="282" t="s">
        <v>451</v>
      </c>
      <c r="L587" s="297" t="s">
        <v>2318</v>
      </c>
      <c r="M587" s="55" t="s">
        <v>1403</v>
      </c>
      <c r="N587" s="282" t="s">
        <v>1215</v>
      </c>
      <c r="O587" s="238" t="s">
        <v>1801</v>
      </c>
      <c r="P587" s="64" t="str">
        <f ca="1">IF(AND(OR(INDIRECT("K" &amp; ROW())="NAV-Premium",INDIRECT("K" &amp; ROW())="DA-Premium"),INDIRECT("M" &amp; ROW())="PARTITION_SCHEMA128__NavPiviJpn", INDIRECT("O" &amp; ROW())="JPN_SDB"),'SDB vs GN'!$B$41, IF(INDIRECT("H" &amp; ROW())="Chenc",'SDB vs GN'!$B$40, VLOOKUP(INDIRECT("O" &amp; ROW()),'SDB vs GN'!$A$16:$B$38,2,FALSE)))</f>
        <v>GCN1_JP_KR_LA_NA</v>
      </c>
      <c r="Q587" s="297" t="s">
        <v>1903</v>
      </c>
      <c r="R587" s="345" t="s">
        <v>1228</v>
      </c>
      <c r="S587" s="340" t="s">
        <v>10</v>
      </c>
      <c r="T587" s="365" t="s">
        <v>1743</v>
      </c>
      <c r="U587" s="332" t="s">
        <v>816</v>
      </c>
      <c r="V587" s="173" t="s">
        <v>7</v>
      </c>
      <c r="W587" s="298" t="s">
        <v>447</v>
      </c>
      <c r="X587" s="64" t="s">
        <v>521</v>
      </c>
      <c r="Y587" s="282" t="s">
        <v>1556</v>
      </c>
      <c r="Z587" s="282" t="s">
        <v>1592</v>
      </c>
      <c r="AA587" s="299"/>
      <c r="AB587" s="300" t="s">
        <v>225</v>
      </c>
      <c r="AC587" s="301" t="s">
        <v>1413</v>
      </c>
      <c r="AD587" s="302" t="s">
        <v>1042</v>
      </c>
      <c r="AE587" s="302"/>
      <c r="AF587" s="302"/>
      <c r="AG587" s="302"/>
      <c r="AH587" s="302" t="s">
        <v>1604</v>
      </c>
    </row>
    <row r="588" spans="1:34">
      <c r="A588" s="51">
        <v>4118</v>
      </c>
      <c r="B588" s="81" t="str">
        <f t="shared" si="31"/>
        <v>1016</v>
      </c>
      <c r="C588" s="61" t="s">
        <v>2374</v>
      </c>
      <c r="D588" s="295" t="s">
        <v>1651</v>
      </c>
      <c r="E588" s="295" t="s">
        <v>1977</v>
      </c>
      <c r="F588" s="177" t="s">
        <v>1359</v>
      </c>
      <c r="G588" s="177" t="s">
        <v>2109</v>
      </c>
      <c r="H588" s="282" t="s">
        <v>637</v>
      </c>
      <c r="I588" s="94" t="s">
        <v>4</v>
      </c>
      <c r="J588" s="282" t="s">
        <v>0</v>
      </c>
      <c r="K588" s="282" t="s">
        <v>451</v>
      </c>
      <c r="L588" s="297" t="s">
        <v>2318</v>
      </c>
      <c r="M588" s="55" t="s">
        <v>1403</v>
      </c>
      <c r="N588" s="282" t="s">
        <v>1215</v>
      </c>
      <c r="O588" s="249" t="s">
        <v>1802</v>
      </c>
      <c r="P588" s="64" t="str">
        <f ca="1">IF(AND(OR(INDIRECT("K" &amp; ROW())="NAV-Premium",INDIRECT("K" &amp; ROW())="DA-Premium"),INDIRECT("M" &amp; ROW())="PARTITION_SCHEMA128__NavPiviJpn", INDIRECT("O" &amp; ROW())="JPN_SDB"),'SDB vs GN'!$B$41, IF(INDIRECT("H" &amp; ROW())="Chenc",'SDB vs GN'!$B$40, VLOOKUP(INDIRECT("O" &amp; ROW()),'SDB vs GN'!$A$16:$B$38,2,FALSE)))</f>
        <v>GCN2_CN_EU_NA</v>
      </c>
      <c r="Q588" s="297" t="s">
        <v>1903</v>
      </c>
      <c r="R588" s="297" t="s">
        <v>1229</v>
      </c>
      <c r="S588" s="340" t="s">
        <v>10</v>
      </c>
      <c r="T588" s="295" t="s">
        <v>449</v>
      </c>
      <c r="U588" s="332" t="s">
        <v>816</v>
      </c>
      <c r="V588" s="173" t="s">
        <v>7</v>
      </c>
      <c r="W588" s="298" t="s">
        <v>447</v>
      </c>
      <c r="X588" s="64" t="s">
        <v>521</v>
      </c>
      <c r="Y588" s="282" t="s">
        <v>1556</v>
      </c>
      <c r="Z588" s="282" t="s">
        <v>1592</v>
      </c>
      <c r="AA588" s="299"/>
      <c r="AB588" s="300" t="s">
        <v>225</v>
      </c>
      <c r="AC588" s="301" t="s">
        <v>1404</v>
      </c>
      <c r="AD588" s="302" t="s">
        <v>1042</v>
      </c>
      <c r="AE588" s="302"/>
      <c r="AF588" s="302"/>
      <c r="AG588" s="302"/>
      <c r="AH588" s="397" t="s">
        <v>2473</v>
      </c>
    </row>
    <row r="589" spans="1:34" ht="26.4">
      <c r="A589" s="51">
        <v>4119</v>
      </c>
      <c r="B589" s="81" t="str">
        <f t="shared" si="31"/>
        <v>1017</v>
      </c>
      <c r="C589" s="278" t="s">
        <v>1754</v>
      </c>
      <c r="D589" s="295" t="s">
        <v>1651</v>
      </c>
      <c r="E589" s="295" t="s">
        <v>1977</v>
      </c>
      <c r="F589" s="115" t="s">
        <v>1315</v>
      </c>
      <c r="G589" s="115" t="s">
        <v>1914</v>
      </c>
      <c r="H589" s="282" t="s">
        <v>637</v>
      </c>
      <c r="I589" s="295" t="s">
        <v>815</v>
      </c>
      <c r="J589" s="282" t="s">
        <v>0</v>
      </c>
      <c r="K589" s="55" t="s">
        <v>454</v>
      </c>
      <c r="L589" s="100" t="s">
        <v>1306</v>
      </c>
      <c r="M589" s="282" t="s">
        <v>1401</v>
      </c>
      <c r="N589" s="282" t="s">
        <v>1400</v>
      </c>
      <c r="O589" s="296" t="s">
        <v>1806</v>
      </c>
      <c r="P589" s="64" t="str">
        <f ca="1">IF(AND(OR(INDIRECT("K" &amp; ROW())="NAV-Premium",INDIRECT("K" &amp; ROW())="DA-Premium"),INDIRECT("M" &amp; ROW())="PARTITION_SCHEMA128__NavPiviJpn", INDIRECT("O" &amp; ROW())="JPN_SDB"),'SDB vs GN'!$B$41, IF(INDIRECT("H" &amp; ROW())="Chenc",'SDB vs GN'!$B$40, VLOOKUP(INDIRECT("O" &amp; ROW()),'SDB vs GN'!$A$16:$B$38,2,FALSE)))</f>
        <v>GCN1_JP_KR_LA_NA</v>
      </c>
      <c r="Q589" s="297" t="s">
        <v>1903</v>
      </c>
      <c r="R589" s="345" t="s">
        <v>1228</v>
      </c>
      <c r="S589" s="340" t="s">
        <v>10</v>
      </c>
      <c r="T589" s="365" t="s">
        <v>1743</v>
      </c>
      <c r="U589" s="332" t="s">
        <v>816</v>
      </c>
      <c r="V589" s="308" t="s">
        <v>604</v>
      </c>
      <c r="W589" s="298" t="s">
        <v>447</v>
      </c>
      <c r="X589" s="64" t="s">
        <v>521</v>
      </c>
      <c r="Y589" s="282" t="s">
        <v>1556</v>
      </c>
      <c r="Z589" s="282" t="s">
        <v>1593</v>
      </c>
      <c r="AA589" s="299"/>
      <c r="AB589" s="300" t="s">
        <v>225</v>
      </c>
      <c r="AC589" s="301" t="s">
        <v>1414</v>
      </c>
      <c r="AD589" s="302" t="s">
        <v>1042</v>
      </c>
      <c r="AE589" s="302" t="s">
        <v>2503</v>
      </c>
      <c r="AF589" s="302"/>
      <c r="AG589" s="302"/>
      <c r="AH589" s="303" t="s">
        <v>1605</v>
      </c>
    </row>
    <row r="590" spans="1:34" ht="26.4">
      <c r="A590" s="51">
        <v>4120</v>
      </c>
      <c r="B590" s="81" t="str">
        <f t="shared" si="31"/>
        <v>1018</v>
      </c>
      <c r="C590" s="278" t="s">
        <v>1755</v>
      </c>
      <c r="D590" s="295" t="s">
        <v>1651</v>
      </c>
      <c r="E590" s="295" t="s">
        <v>1977</v>
      </c>
      <c r="F590" s="167" t="s">
        <v>1408</v>
      </c>
      <c r="G590" s="167" t="s">
        <v>1915</v>
      </c>
      <c r="H590" s="282" t="s">
        <v>637</v>
      </c>
      <c r="I590" s="94" t="s">
        <v>4</v>
      </c>
      <c r="J590" s="282" t="s">
        <v>0</v>
      </c>
      <c r="K590" s="282" t="s">
        <v>478</v>
      </c>
      <c r="L590" s="100" t="s">
        <v>1306</v>
      </c>
      <c r="M590" s="55" t="s">
        <v>1403</v>
      </c>
      <c r="N590" s="282" t="s">
        <v>1215</v>
      </c>
      <c r="O590" s="296" t="s">
        <v>1806</v>
      </c>
      <c r="P590" s="64" t="str">
        <f ca="1">IF(AND(OR(INDIRECT("K" &amp; ROW())="NAV-Premium",INDIRECT("K" &amp; ROW())="DA-Premium"),INDIRECT("M" &amp; ROW())="PARTITION_SCHEMA128__NavPiviJpn", INDIRECT("O" &amp; ROW())="JPN_SDB"),'SDB vs GN'!$B$41, IF(INDIRECT("H" &amp; ROW())="Chenc",'SDB vs GN'!$B$40, VLOOKUP(INDIRECT("O" &amp; ROW()),'SDB vs GN'!$A$16:$B$38,2,FALSE)))</f>
        <v>GCN1_JP_KR_LA_NA</v>
      </c>
      <c r="Q590" s="297" t="s">
        <v>1903</v>
      </c>
      <c r="R590" s="345" t="s">
        <v>1228</v>
      </c>
      <c r="S590" s="340" t="s">
        <v>10</v>
      </c>
      <c r="T590" s="365" t="s">
        <v>1743</v>
      </c>
      <c r="U590" s="332" t="s">
        <v>816</v>
      </c>
      <c r="V590" s="173" t="s">
        <v>7</v>
      </c>
      <c r="W590" s="298" t="s">
        <v>447</v>
      </c>
      <c r="X590" s="64" t="s">
        <v>521</v>
      </c>
      <c r="Y590" s="282" t="s">
        <v>1556</v>
      </c>
      <c r="Z590" s="282" t="s">
        <v>1592</v>
      </c>
      <c r="AA590" s="299"/>
      <c r="AB590" s="300" t="s">
        <v>225</v>
      </c>
      <c r="AC590" s="301" t="s">
        <v>1415</v>
      </c>
      <c r="AD590" s="302" t="s">
        <v>1042</v>
      </c>
      <c r="AE590" s="302"/>
      <c r="AF590" s="302"/>
      <c r="AG590" s="302"/>
      <c r="AH590" s="302" t="s">
        <v>1606</v>
      </c>
    </row>
    <row r="591" spans="1:34">
      <c r="A591" s="51">
        <v>4121</v>
      </c>
      <c r="B591" s="81" t="str">
        <f t="shared" si="31"/>
        <v>1019</v>
      </c>
      <c r="C591" s="278" t="s">
        <v>1756</v>
      </c>
      <c r="D591" s="295" t="s">
        <v>1651</v>
      </c>
      <c r="E591" s="295" t="s">
        <v>1977</v>
      </c>
      <c r="F591" s="115" t="s">
        <v>1315</v>
      </c>
      <c r="G591" s="115" t="s">
        <v>1914</v>
      </c>
      <c r="H591" s="282" t="s">
        <v>637</v>
      </c>
      <c r="I591" s="295" t="s">
        <v>815</v>
      </c>
      <c r="J591" s="282" t="s">
        <v>0</v>
      </c>
      <c r="K591" s="55" t="s">
        <v>454</v>
      </c>
      <c r="L591" s="100" t="s">
        <v>1306</v>
      </c>
      <c r="M591" s="282" t="s">
        <v>1401</v>
      </c>
      <c r="N591" s="282" t="s">
        <v>1400</v>
      </c>
      <c r="O591" s="238" t="s">
        <v>1804</v>
      </c>
      <c r="P591" s="64" t="str">
        <f ca="1">IF(AND(OR(INDIRECT("K" &amp; ROW())="NAV-Premium",INDIRECT("K" &amp; ROW())="DA-Premium"),INDIRECT("M" &amp; ROW())="PARTITION_SCHEMA128__NavPiviJpn", INDIRECT("O" &amp; ROW())="JPN_SDB"),'SDB vs GN'!$B$41, IF(INDIRECT("H" &amp; ROW())="Chenc",'SDB vs GN'!$B$40, VLOOKUP(INDIRECT("O" &amp; ROW()),'SDB vs GN'!$A$16:$B$38,2,FALSE)))</f>
        <v>GCN2_CN_EU_NA</v>
      </c>
      <c r="Q591" s="297" t="s">
        <v>1903</v>
      </c>
      <c r="R591" s="345" t="s">
        <v>1229</v>
      </c>
      <c r="S591" s="340" t="s">
        <v>10</v>
      </c>
      <c r="T591" s="295" t="s">
        <v>449</v>
      </c>
      <c r="U591" s="332" t="s">
        <v>816</v>
      </c>
      <c r="V591" s="173" t="s">
        <v>599</v>
      </c>
      <c r="W591" s="298" t="s">
        <v>447</v>
      </c>
      <c r="X591" s="64" t="s">
        <v>521</v>
      </c>
      <c r="Y591" s="282" t="s">
        <v>1556</v>
      </c>
      <c r="Z591" s="282" t="s">
        <v>1593</v>
      </c>
      <c r="AA591" s="299"/>
      <c r="AB591" s="300" t="s">
        <v>225</v>
      </c>
      <c r="AC591" s="301" t="s">
        <v>1405</v>
      </c>
      <c r="AD591" s="302" t="s">
        <v>1042</v>
      </c>
      <c r="AE591" s="302"/>
      <c r="AF591" s="302"/>
      <c r="AG591" s="302"/>
      <c r="AH591" s="302" t="s">
        <v>1607</v>
      </c>
    </row>
    <row r="592" spans="1:34">
      <c r="A592" s="51">
        <v>4122</v>
      </c>
      <c r="B592" s="81" t="str">
        <f t="shared" si="31"/>
        <v>101A</v>
      </c>
      <c r="C592" s="278" t="s">
        <v>1807</v>
      </c>
      <c r="D592" s="295" t="s">
        <v>1651</v>
      </c>
      <c r="E592" s="295" t="s">
        <v>1977</v>
      </c>
      <c r="F592" s="167" t="s">
        <v>1408</v>
      </c>
      <c r="G592" s="167" t="s">
        <v>1915</v>
      </c>
      <c r="H592" s="282" t="s">
        <v>637</v>
      </c>
      <c r="I592" s="94" t="s">
        <v>4</v>
      </c>
      <c r="J592" s="282" t="s">
        <v>0</v>
      </c>
      <c r="K592" s="282" t="s">
        <v>478</v>
      </c>
      <c r="L592" s="100" t="s">
        <v>1306</v>
      </c>
      <c r="M592" s="55" t="s">
        <v>1403</v>
      </c>
      <c r="N592" s="282" t="s">
        <v>1215</v>
      </c>
      <c r="O592" s="296" t="s">
        <v>1804</v>
      </c>
      <c r="P592" s="64" t="str">
        <f ca="1">IF(AND(OR(INDIRECT("K" &amp; ROW())="NAV-Premium",INDIRECT("K" &amp; ROW())="DA-Premium"),INDIRECT("M" &amp; ROW())="PARTITION_SCHEMA128__NavPiviJpn", INDIRECT("O" &amp; ROW())="JPN_SDB"),'SDB vs GN'!$B$41, IF(INDIRECT("H" &amp; ROW())="Chenc",'SDB vs GN'!$B$40, VLOOKUP(INDIRECT("O" &amp; ROW()),'SDB vs GN'!$A$16:$B$38,2,FALSE)))</f>
        <v>GCN2_CN_EU_NA</v>
      </c>
      <c r="Q592" s="297" t="s">
        <v>1903</v>
      </c>
      <c r="R592" s="345" t="s">
        <v>1229</v>
      </c>
      <c r="S592" s="340" t="s">
        <v>10</v>
      </c>
      <c r="T592" s="295" t="s">
        <v>449</v>
      </c>
      <c r="U592" s="332" t="s">
        <v>816</v>
      </c>
      <c r="V592" s="173" t="s">
        <v>7</v>
      </c>
      <c r="W592" s="298" t="s">
        <v>447</v>
      </c>
      <c r="X592" s="64" t="s">
        <v>521</v>
      </c>
      <c r="Y592" s="282" t="s">
        <v>1556</v>
      </c>
      <c r="Z592" s="282" t="s">
        <v>1592</v>
      </c>
      <c r="AA592" s="299"/>
      <c r="AB592" s="300" t="s">
        <v>225</v>
      </c>
      <c r="AC592" s="301" t="s">
        <v>1406</v>
      </c>
      <c r="AD592" s="302" t="s">
        <v>1042</v>
      </c>
      <c r="AE592" s="302"/>
      <c r="AF592" s="302"/>
      <c r="AG592" s="302"/>
      <c r="AH592" s="302" t="s">
        <v>1608</v>
      </c>
    </row>
    <row r="593" spans="1:34">
      <c r="A593" s="51">
        <v>4123</v>
      </c>
      <c r="B593" s="81" t="str">
        <f t="shared" si="31"/>
        <v>101B</v>
      </c>
      <c r="C593" s="278" t="s">
        <v>1757</v>
      </c>
      <c r="D593" s="295" t="s">
        <v>1651</v>
      </c>
      <c r="E593" s="295" t="s">
        <v>1977</v>
      </c>
      <c r="F593" s="167" t="s">
        <v>1408</v>
      </c>
      <c r="G593" s="167" t="s">
        <v>1915</v>
      </c>
      <c r="H593" s="282" t="s">
        <v>637</v>
      </c>
      <c r="I593" s="94" t="s">
        <v>4</v>
      </c>
      <c r="J593" s="282" t="s">
        <v>0</v>
      </c>
      <c r="K593" s="282" t="s">
        <v>478</v>
      </c>
      <c r="L593" s="100" t="s">
        <v>1306</v>
      </c>
      <c r="M593" s="55" t="s">
        <v>1403</v>
      </c>
      <c r="N593" s="282" t="s">
        <v>1215</v>
      </c>
      <c r="O593" s="296" t="s">
        <v>1803</v>
      </c>
      <c r="P593" s="64" t="str">
        <f ca="1">IF(AND(OR(INDIRECT("K" &amp; ROW())="NAV-Premium",INDIRECT("K" &amp; ROW())="DA-Premium"),INDIRECT("M" &amp; ROW())="PARTITION_SCHEMA128__NavPiviJpn", INDIRECT("O" &amp; ROW())="JPN_SDB"),'SDB vs GN'!$B$41, IF(INDIRECT("H" &amp; ROW())="Chenc",'SDB vs GN'!$B$40, VLOOKUP(INDIRECT("O" &amp; ROW()),'SDB vs GN'!$A$16:$B$38,2,FALSE)))</f>
        <v>GCN3_CN_LA_NA</v>
      </c>
      <c r="Q593" s="297" t="s">
        <v>1903</v>
      </c>
      <c r="R593" s="345" t="s">
        <v>1398</v>
      </c>
      <c r="S593" s="340" t="s">
        <v>10</v>
      </c>
      <c r="T593" s="295" t="s">
        <v>449</v>
      </c>
      <c r="U593" s="332" t="s">
        <v>816</v>
      </c>
      <c r="V593" s="173" t="s">
        <v>7</v>
      </c>
      <c r="W593" s="298" t="s">
        <v>447</v>
      </c>
      <c r="X593" s="64" t="s">
        <v>521</v>
      </c>
      <c r="Y593" s="282" t="s">
        <v>1556</v>
      </c>
      <c r="Z593" s="282" t="s">
        <v>1592</v>
      </c>
      <c r="AA593" s="299"/>
      <c r="AB593" s="300" t="s">
        <v>225</v>
      </c>
      <c r="AC593" s="301" t="s">
        <v>1407</v>
      </c>
      <c r="AD593" s="302" t="s">
        <v>1042</v>
      </c>
      <c r="AE593" s="302"/>
      <c r="AF593" s="302"/>
      <c r="AG593" s="302"/>
      <c r="AH593" s="302" t="s">
        <v>1609</v>
      </c>
    </row>
    <row r="594" spans="1:34" ht="39.6">
      <c r="A594" s="51">
        <v>4124</v>
      </c>
      <c r="B594" s="81" t="str">
        <f t="shared" ref="B594:B595" si="32">DEC2HEX(A594,4)</f>
        <v>101C</v>
      </c>
      <c r="C594" s="278" t="s">
        <v>1430</v>
      </c>
      <c r="D594" s="295" t="s">
        <v>1652</v>
      </c>
      <c r="E594" s="295" t="s">
        <v>1977</v>
      </c>
      <c r="F594" s="371" t="s">
        <v>1230</v>
      </c>
      <c r="G594" s="252" t="s">
        <v>1918</v>
      </c>
      <c r="H594" s="282" t="s">
        <v>637</v>
      </c>
      <c r="I594" s="295" t="s">
        <v>815</v>
      </c>
      <c r="J594" s="282" t="s">
        <v>0</v>
      </c>
      <c r="K594" s="282" t="s">
        <v>452</v>
      </c>
      <c r="L594" s="297" t="s">
        <v>2318</v>
      </c>
      <c r="M594" s="282" t="s">
        <v>1401</v>
      </c>
      <c r="N594" s="282" t="s">
        <v>1400</v>
      </c>
      <c r="O594" s="238" t="s">
        <v>1801</v>
      </c>
      <c r="P594" s="64" t="str">
        <f ca="1">IF(AND(OR(INDIRECT("K" &amp; ROW())="NAV-Premium",INDIRECT("K" &amp; ROW())="DA-Premium"),INDIRECT("M" &amp; ROW())="PARTITION_SCHEMA128__NavPiviJpn", INDIRECT("O" &amp; ROW())="JPN_SDB"),'SDB vs GN'!$B$41, IF(INDIRECT("H" &amp; ROW())="Chenc",'SDB vs GN'!$B$40, VLOOKUP(INDIRECT("O" &amp; ROW()),'SDB vs GN'!$A$16:$B$38,2,FALSE)))</f>
        <v>GCN1_JP_KR_LA_NA</v>
      </c>
      <c r="Q594" s="297" t="s">
        <v>1903</v>
      </c>
      <c r="R594" s="345" t="s">
        <v>1228</v>
      </c>
      <c r="S594" s="340" t="s">
        <v>10</v>
      </c>
      <c r="T594" s="367" t="s">
        <v>450</v>
      </c>
      <c r="U594" s="332" t="s">
        <v>816</v>
      </c>
      <c r="V594" s="308" t="s">
        <v>1989</v>
      </c>
      <c r="W594" s="298" t="s">
        <v>447</v>
      </c>
      <c r="X594" s="297" t="s">
        <v>521</v>
      </c>
      <c r="Y594" s="282" t="s">
        <v>1556</v>
      </c>
      <c r="Z594" s="282" t="s">
        <v>1593</v>
      </c>
      <c r="AA594" s="299"/>
      <c r="AB594" s="300" t="s">
        <v>225</v>
      </c>
      <c r="AC594" s="301" t="s">
        <v>1724</v>
      </c>
      <c r="AD594" s="302" t="s">
        <v>1042</v>
      </c>
      <c r="AE594" s="302"/>
      <c r="AF594" s="302"/>
      <c r="AG594" s="302"/>
      <c r="AH594" s="302" t="s">
        <v>1723</v>
      </c>
    </row>
    <row r="595" spans="1:34" ht="26.4">
      <c r="A595" s="51">
        <v>4125</v>
      </c>
      <c r="B595" s="81" t="str">
        <f t="shared" si="32"/>
        <v>101D</v>
      </c>
      <c r="C595" s="278" t="s">
        <v>1431</v>
      </c>
      <c r="D595" s="295" t="s">
        <v>1652</v>
      </c>
      <c r="E595" s="295" t="s">
        <v>1977</v>
      </c>
      <c r="F595" s="371" t="s">
        <v>1230</v>
      </c>
      <c r="G595" s="252" t="s">
        <v>1918</v>
      </c>
      <c r="H595" s="282" t="s">
        <v>637</v>
      </c>
      <c r="I595" s="295" t="s">
        <v>815</v>
      </c>
      <c r="J595" s="282" t="s">
        <v>0</v>
      </c>
      <c r="K595" s="282" t="s">
        <v>452</v>
      </c>
      <c r="L595" s="297" t="s">
        <v>2318</v>
      </c>
      <c r="M595" s="282" t="s">
        <v>1401</v>
      </c>
      <c r="N595" s="282" t="s">
        <v>1400</v>
      </c>
      <c r="O595" s="304" t="s">
        <v>1802</v>
      </c>
      <c r="P595" s="64" t="str">
        <f ca="1">IF(AND(OR(INDIRECT("K" &amp; ROW())="NAV-Premium",INDIRECT("K" &amp; ROW())="DA-Premium"),INDIRECT("M" &amp; ROW())="PARTITION_SCHEMA128__NavPiviJpn", INDIRECT("O" &amp; ROW())="JPN_SDB"),'SDB vs GN'!$B$41, IF(INDIRECT("H" &amp; ROW())="Chenc",'SDB vs GN'!$B$40, VLOOKUP(INDIRECT("O" &amp; ROW()),'SDB vs GN'!$A$16:$B$38,2,FALSE)))</f>
        <v>GCN2_CN_EU_NA</v>
      </c>
      <c r="Q595" s="297" t="s">
        <v>1903</v>
      </c>
      <c r="R595" s="345" t="s">
        <v>1229</v>
      </c>
      <c r="S595" s="340" t="s">
        <v>10</v>
      </c>
      <c r="T595" s="295" t="s">
        <v>449</v>
      </c>
      <c r="U595" s="332" t="s">
        <v>816</v>
      </c>
      <c r="V595" s="342" t="s">
        <v>1988</v>
      </c>
      <c r="W595" s="298" t="s">
        <v>447</v>
      </c>
      <c r="X595" s="297" t="s">
        <v>521</v>
      </c>
      <c r="Y595" s="282" t="s">
        <v>1556</v>
      </c>
      <c r="Z595" s="282" t="s">
        <v>1593</v>
      </c>
      <c r="AA595" s="299"/>
      <c r="AB595" s="300" t="s">
        <v>225</v>
      </c>
      <c r="AC595" s="301" t="s">
        <v>1721</v>
      </c>
      <c r="AD595" s="302" t="s">
        <v>1042</v>
      </c>
      <c r="AE595" s="302" t="s">
        <v>2039</v>
      </c>
      <c r="AF595" s="302"/>
      <c r="AG595" s="302"/>
      <c r="AH595" s="302" t="s">
        <v>1722</v>
      </c>
    </row>
    <row r="596" spans="1:34">
      <c r="A596" s="51">
        <v>4126</v>
      </c>
      <c r="B596" s="81" t="str">
        <f t="shared" ref="B596:B621" si="33">DEC2HEX(A596,4)</f>
        <v>101E</v>
      </c>
      <c r="C596" s="278" t="s">
        <v>1746</v>
      </c>
      <c r="D596" s="295" t="s">
        <v>1652</v>
      </c>
      <c r="E596" s="295" t="s">
        <v>1977</v>
      </c>
      <c r="F596" s="371" t="s">
        <v>1230</v>
      </c>
      <c r="G596" s="252" t="s">
        <v>1918</v>
      </c>
      <c r="H596" s="282" t="s">
        <v>637</v>
      </c>
      <c r="I596" s="295" t="s">
        <v>815</v>
      </c>
      <c r="J596" s="282" t="s">
        <v>0</v>
      </c>
      <c r="K596" s="282" t="s">
        <v>452</v>
      </c>
      <c r="L596" s="297" t="s">
        <v>2318</v>
      </c>
      <c r="M596" s="282" t="s">
        <v>1401</v>
      </c>
      <c r="N596" s="282" t="s">
        <v>1400</v>
      </c>
      <c r="O596" s="238" t="s">
        <v>1804</v>
      </c>
      <c r="P596" s="64" t="str">
        <f ca="1">IF(AND(OR(INDIRECT("K" &amp; ROW())="NAV-Premium",INDIRECT("K" &amp; ROW())="DA-Premium"),INDIRECT("M" &amp; ROW())="PARTITION_SCHEMA128__NavPiviJpn", INDIRECT("O" &amp; ROW())="JPN_SDB"),'SDB vs GN'!$B$41, IF(INDIRECT("H" &amp; ROW())="Chenc",'SDB vs GN'!$B$40, VLOOKUP(INDIRECT("O" &amp; ROW()),'SDB vs GN'!$A$16:$B$38,2,FALSE)))</f>
        <v>GCN2_CN_EU_NA</v>
      </c>
      <c r="Q596" s="297" t="s">
        <v>1903</v>
      </c>
      <c r="R596" s="298" t="s">
        <v>1229</v>
      </c>
      <c r="S596" s="340" t="s">
        <v>10</v>
      </c>
      <c r="T596" s="295" t="s">
        <v>449</v>
      </c>
      <c r="U596" s="332" t="s">
        <v>816</v>
      </c>
      <c r="V596" s="342" t="s">
        <v>1244</v>
      </c>
      <c r="W596" s="298" t="s">
        <v>447</v>
      </c>
      <c r="X596" s="297" t="s">
        <v>521</v>
      </c>
      <c r="Y596" s="282" t="s">
        <v>1556</v>
      </c>
      <c r="Z596" s="282" t="s">
        <v>1593</v>
      </c>
      <c r="AA596" s="299"/>
      <c r="AB596" s="300" t="s">
        <v>225</v>
      </c>
      <c r="AC596" s="301" t="s">
        <v>1653</v>
      </c>
      <c r="AD596" s="302" t="s">
        <v>1042</v>
      </c>
      <c r="AE596" s="302"/>
      <c r="AF596" s="302"/>
      <c r="AG596" s="302"/>
      <c r="AH596" s="302" t="s">
        <v>1654</v>
      </c>
    </row>
    <row r="597" spans="1:34">
      <c r="A597" s="51">
        <v>4127</v>
      </c>
      <c r="B597" s="81" t="str">
        <f t="shared" si="33"/>
        <v>101F</v>
      </c>
      <c r="C597" s="278" t="s">
        <v>1745</v>
      </c>
      <c r="D597" s="295" t="s">
        <v>1652</v>
      </c>
      <c r="E597" s="295" t="s">
        <v>1977</v>
      </c>
      <c r="F597" s="371" t="s">
        <v>1230</v>
      </c>
      <c r="G597" s="252" t="s">
        <v>1918</v>
      </c>
      <c r="H597" s="282" t="s">
        <v>637</v>
      </c>
      <c r="I597" s="295" t="s">
        <v>815</v>
      </c>
      <c r="J597" s="282" t="s">
        <v>0</v>
      </c>
      <c r="K597" s="282" t="s">
        <v>452</v>
      </c>
      <c r="L597" s="297" t="s">
        <v>2318</v>
      </c>
      <c r="M597" s="282" t="s">
        <v>1401</v>
      </c>
      <c r="N597" s="282" t="s">
        <v>1400</v>
      </c>
      <c r="O597" s="238" t="s">
        <v>1804</v>
      </c>
      <c r="P597" s="64" t="str">
        <f ca="1">IF(AND(OR(INDIRECT("K" &amp; ROW())="NAV-Premium",INDIRECT("K" &amp; ROW())="DA-Premium"),INDIRECT("M" &amp; ROW())="PARTITION_SCHEMA128__NavPiviJpn", INDIRECT("O" &amp; ROW())="JPN_SDB"),'SDB vs GN'!$B$41, IF(INDIRECT("H" &amp; ROW())="Chenc",'SDB vs GN'!$B$40, VLOOKUP(INDIRECT("O" &amp; ROW()),'SDB vs GN'!$A$16:$B$38,2,FALSE)))</f>
        <v>GCN2_CN_EU_NA</v>
      </c>
      <c r="Q597" s="297" t="s">
        <v>1903</v>
      </c>
      <c r="R597" s="298" t="s">
        <v>1229</v>
      </c>
      <c r="S597" s="340" t="s">
        <v>10</v>
      </c>
      <c r="T597" s="295" t="s">
        <v>449</v>
      </c>
      <c r="U597" s="332" t="s">
        <v>816</v>
      </c>
      <c r="V597" s="342" t="s">
        <v>931</v>
      </c>
      <c r="W597" s="298" t="s">
        <v>447</v>
      </c>
      <c r="X597" s="297" t="s">
        <v>521</v>
      </c>
      <c r="Y597" s="282" t="s">
        <v>1556</v>
      </c>
      <c r="Z597" s="282" t="s">
        <v>1593</v>
      </c>
      <c r="AA597" s="299"/>
      <c r="AB597" s="300" t="s">
        <v>225</v>
      </c>
      <c r="AC597" s="301" t="s">
        <v>1655</v>
      </c>
      <c r="AD597" s="302" t="s">
        <v>1042</v>
      </c>
      <c r="AE597" s="302"/>
      <c r="AF597" s="302"/>
      <c r="AG597" s="302"/>
      <c r="AH597" s="302" t="s">
        <v>1656</v>
      </c>
    </row>
    <row r="598" spans="1:34">
      <c r="A598" s="51">
        <v>4128</v>
      </c>
      <c r="B598" s="81" t="str">
        <f t="shared" si="33"/>
        <v>1020</v>
      </c>
      <c r="C598" s="278" t="s">
        <v>1747</v>
      </c>
      <c r="D598" s="295" t="s">
        <v>1652</v>
      </c>
      <c r="E598" s="295" t="s">
        <v>1977</v>
      </c>
      <c r="F598" s="371" t="s">
        <v>1230</v>
      </c>
      <c r="G598" s="252" t="s">
        <v>1918</v>
      </c>
      <c r="H598" s="282" t="s">
        <v>637</v>
      </c>
      <c r="I598" s="295" t="s">
        <v>815</v>
      </c>
      <c r="J598" s="282" t="s">
        <v>0</v>
      </c>
      <c r="K598" s="282" t="s">
        <v>452</v>
      </c>
      <c r="L598" s="297" t="s">
        <v>2318</v>
      </c>
      <c r="M598" s="282" t="s">
        <v>1401</v>
      </c>
      <c r="N598" s="282" t="s">
        <v>1400</v>
      </c>
      <c r="O598" s="238" t="s">
        <v>1804</v>
      </c>
      <c r="P598" s="64" t="str">
        <f ca="1">IF(AND(OR(INDIRECT("K" &amp; ROW())="NAV-Premium",INDIRECT("K" &amp; ROW())="DA-Premium"),INDIRECT("M" &amp; ROW())="PARTITION_SCHEMA128__NavPiviJpn", INDIRECT("O" &amp; ROW())="JPN_SDB"),'SDB vs GN'!$B$41, IF(INDIRECT("H" &amp; ROW())="Chenc",'SDB vs GN'!$B$40, VLOOKUP(INDIRECT("O" &amp; ROW()),'SDB vs GN'!$A$16:$B$38,2,FALSE)))</f>
        <v>GCN2_CN_EU_NA</v>
      </c>
      <c r="Q598" s="297" t="s">
        <v>1903</v>
      </c>
      <c r="R598" s="298" t="s">
        <v>1229</v>
      </c>
      <c r="S598" s="340" t="s">
        <v>10</v>
      </c>
      <c r="T598" s="295" t="s">
        <v>449</v>
      </c>
      <c r="U598" s="332" t="s">
        <v>816</v>
      </c>
      <c r="V598" s="308" t="s">
        <v>994</v>
      </c>
      <c r="W598" s="298" t="s">
        <v>447</v>
      </c>
      <c r="X598" s="297" t="s">
        <v>521</v>
      </c>
      <c r="Y598" s="282" t="s">
        <v>1556</v>
      </c>
      <c r="Z598" s="282" t="s">
        <v>1593</v>
      </c>
      <c r="AA598" s="299"/>
      <c r="AB598" s="300" t="s">
        <v>225</v>
      </c>
      <c r="AC598" s="301" t="s">
        <v>1657</v>
      </c>
      <c r="AD598" s="302" t="s">
        <v>1042</v>
      </c>
      <c r="AE598" s="302"/>
      <c r="AF598" s="302"/>
      <c r="AG598" s="302"/>
      <c r="AH598" s="302" t="s">
        <v>1658</v>
      </c>
    </row>
    <row r="599" spans="1:34">
      <c r="A599" s="51">
        <v>4129</v>
      </c>
      <c r="B599" s="81" t="str">
        <f t="shared" si="33"/>
        <v>1021</v>
      </c>
      <c r="C599" s="278" t="s">
        <v>1748</v>
      </c>
      <c r="D599" s="295" t="s">
        <v>1652</v>
      </c>
      <c r="E599" s="295" t="s">
        <v>1977</v>
      </c>
      <c r="F599" s="371" t="s">
        <v>1230</v>
      </c>
      <c r="G599" s="252" t="s">
        <v>1918</v>
      </c>
      <c r="H599" s="282" t="s">
        <v>637</v>
      </c>
      <c r="I599" s="295" t="s">
        <v>815</v>
      </c>
      <c r="J599" s="282" t="s">
        <v>0</v>
      </c>
      <c r="K599" s="282" t="s">
        <v>452</v>
      </c>
      <c r="L599" s="297" t="s">
        <v>2318</v>
      </c>
      <c r="M599" s="282" t="s">
        <v>1401</v>
      </c>
      <c r="N599" s="282" t="s">
        <v>1400</v>
      </c>
      <c r="O599" s="304" t="s">
        <v>1805</v>
      </c>
      <c r="P599" s="64" t="str">
        <f ca="1">IF(AND(OR(INDIRECT("K" &amp; ROW())="NAV-Premium",INDIRECT("K" &amp; ROW())="DA-Premium"),INDIRECT("M" &amp; ROW())="PARTITION_SCHEMA128__NavPiviJpn", INDIRECT("O" &amp; ROW())="JPN_SDB"),'SDB vs GN'!$B$41, IF(INDIRECT("H" &amp; ROW())="Chenc",'SDB vs GN'!$B$40, VLOOKUP(INDIRECT("O" &amp; ROW()),'SDB vs GN'!$A$16:$B$38,2,FALSE)))</f>
        <v>GCN2_CN_EU_NA</v>
      </c>
      <c r="Q599" s="297" t="s">
        <v>1903</v>
      </c>
      <c r="R599" s="298" t="s">
        <v>1229</v>
      </c>
      <c r="S599" s="340" t="s">
        <v>10</v>
      </c>
      <c r="T599" s="295" t="s">
        <v>449</v>
      </c>
      <c r="U599" s="332" t="s">
        <v>816</v>
      </c>
      <c r="V599" s="342" t="s">
        <v>872</v>
      </c>
      <c r="W599" s="298" t="s">
        <v>447</v>
      </c>
      <c r="X599" s="297" t="s">
        <v>521</v>
      </c>
      <c r="Y599" s="282" t="s">
        <v>1556</v>
      </c>
      <c r="Z599" s="282" t="s">
        <v>1593</v>
      </c>
      <c r="AA599" s="299"/>
      <c r="AB599" s="300" t="s">
        <v>225</v>
      </c>
      <c r="AC599" s="301" t="s">
        <v>1659</v>
      </c>
      <c r="AD599" s="302" t="s">
        <v>1042</v>
      </c>
      <c r="AE599" s="302"/>
      <c r="AF599" s="302"/>
      <c r="AG599" s="302"/>
      <c r="AH599" s="302" t="s">
        <v>1660</v>
      </c>
    </row>
    <row r="600" spans="1:34">
      <c r="A600" s="51">
        <v>4130</v>
      </c>
      <c r="B600" s="81" t="str">
        <f t="shared" si="33"/>
        <v>1022</v>
      </c>
      <c r="C600" s="278" t="s">
        <v>1749</v>
      </c>
      <c r="D600" s="295" t="s">
        <v>1652</v>
      </c>
      <c r="E600" s="295" t="s">
        <v>1977</v>
      </c>
      <c r="F600" s="371" t="s">
        <v>1230</v>
      </c>
      <c r="G600" s="252" t="s">
        <v>1918</v>
      </c>
      <c r="H600" s="282" t="s">
        <v>637</v>
      </c>
      <c r="I600" s="295" t="s">
        <v>815</v>
      </c>
      <c r="J600" s="282" t="s">
        <v>0</v>
      </c>
      <c r="K600" s="282" t="s">
        <v>452</v>
      </c>
      <c r="L600" s="297" t="s">
        <v>2318</v>
      </c>
      <c r="M600" s="282" t="s">
        <v>1401</v>
      </c>
      <c r="N600" s="282" t="s">
        <v>1400</v>
      </c>
      <c r="O600" s="238" t="s">
        <v>1801</v>
      </c>
      <c r="P600" s="64" t="str">
        <f ca="1">IF(AND(OR(INDIRECT("K" &amp; ROW())="NAV-Premium",INDIRECT("K" &amp; ROW())="DA-Premium"),INDIRECT("M" &amp; ROW())="PARTITION_SCHEMA128__NavPiviJpn", INDIRECT("O" &amp; ROW())="JPN_SDB"),'SDB vs GN'!$B$41, IF(INDIRECT("H" &amp; ROW())="Chenc",'SDB vs GN'!$B$40, VLOOKUP(INDIRECT("O" &amp; ROW()),'SDB vs GN'!$A$16:$B$38,2,FALSE)))</f>
        <v>GCN1_JP_KR_LA_NA</v>
      </c>
      <c r="Q600" s="297" t="s">
        <v>1903</v>
      </c>
      <c r="R600" s="298" t="s">
        <v>1228</v>
      </c>
      <c r="S600" s="340" t="s">
        <v>10</v>
      </c>
      <c r="T600" s="295" t="s">
        <v>449</v>
      </c>
      <c r="U600" s="332" t="s">
        <v>816</v>
      </c>
      <c r="V600" s="308" t="s">
        <v>1989</v>
      </c>
      <c r="W600" s="298" t="s">
        <v>447</v>
      </c>
      <c r="X600" s="297" t="s">
        <v>521</v>
      </c>
      <c r="Y600" s="282" t="s">
        <v>1556</v>
      </c>
      <c r="Z600" s="282" t="s">
        <v>1593</v>
      </c>
      <c r="AA600" s="299"/>
      <c r="AB600" s="300" t="s">
        <v>225</v>
      </c>
      <c r="AC600" s="301" t="s">
        <v>1661</v>
      </c>
      <c r="AD600" s="302" t="s">
        <v>1042</v>
      </c>
      <c r="AE600" s="302"/>
      <c r="AF600" s="302"/>
      <c r="AG600" s="302"/>
      <c r="AH600" s="302" t="s">
        <v>1662</v>
      </c>
    </row>
    <row r="601" spans="1:34">
      <c r="A601" s="51">
        <v>4131</v>
      </c>
      <c r="B601" s="81" t="str">
        <f t="shared" si="33"/>
        <v>1023</v>
      </c>
      <c r="C601" s="278" t="s">
        <v>1438</v>
      </c>
      <c r="D601" s="295" t="s">
        <v>1652</v>
      </c>
      <c r="E601" s="295" t="s">
        <v>1977</v>
      </c>
      <c r="F601" s="335" t="s">
        <v>1927</v>
      </c>
      <c r="G601" s="335" t="s">
        <v>1913</v>
      </c>
      <c r="H601" s="282" t="s">
        <v>637</v>
      </c>
      <c r="I601" s="295" t="s">
        <v>5</v>
      </c>
      <c r="J601" s="282" t="s">
        <v>0</v>
      </c>
      <c r="K601" s="282" t="s">
        <v>452</v>
      </c>
      <c r="L601" s="297" t="s">
        <v>2318</v>
      </c>
      <c r="M601" s="282" t="s">
        <v>1496</v>
      </c>
      <c r="N601" s="282" t="s">
        <v>1215</v>
      </c>
      <c r="O601" s="238" t="s">
        <v>1801</v>
      </c>
      <c r="P601" s="64" t="str">
        <f ca="1">IF(AND(OR(INDIRECT("K" &amp; ROW())="NAV-Premium",INDIRECT("K" &amp; ROW())="DA-Premium"),INDIRECT("M" &amp; ROW())="PARTITION_SCHEMA128__NavPiviJpn", INDIRECT("O" &amp; ROW())="JPN_SDB"),'SDB vs GN'!$B$41, IF(INDIRECT("H" &amp; ROW())="Chenc",'SDB vs GN'!$B$40, VLOOKUP(INDIRECT("O" &amp; ROW()),'SDB vs GN'!$A$16:$B$38,2,FALSE)))</f>
        <v>GCN1_JP_KR_LA_NA</v>
      </c>
      <c r="Q601" s="297" t="s">
        <v>1903</v>
      </c>
      <c r="R601" s="298" t="s">
        <v>1354</v>
      </c>
      <c r="S601" s="340" t="s">
        <v>10</v>
      </c>
      <c r="T601" s="295" t="s">
        <v>449</v>
      </c>
      <c r="U601" s="332" t="s">
        <v>816</v>
      </c>
      <c r="V601" s="308" t="s">
        <v>615</v>
      </c>
      <c r="W601" s="298" t="s">
        <v>447</v>
      </c>
      <c r="X601" s="297" t="s">
        <v>362</v>
      </c>
      <c r="Y601" s="282" t="s">
        <v>1556</v>
      </c>
      <c r="Z601" s="282" t="s">
        <v>1593</v>
      </c>
      <c r="AA601" s="299"/>
      <c r="AB601" s="300" t="s">
        <v>225</v>
      </c>
      <c r="AC601" s="301" t="s">
        <v>1663</v>
      </c>
      <c r="AD601" s="302" t="s">
        <v>1042</v>
      </c>
      <c r="AE601" s="302" t="s">
        <v>2040</v>
      </c>
      <c r="AF601" s="302"/>
      <c r="AG601" s="302"/>
      <c r="AH601" s="302" t="s">
        <v>1664</v>
      </c>
    </row>
    <row r="602" spans="1:34">
      <c r="A602" s="51">
        <v>4132</v>
      </c>
      <c r="B602" s="81" t="str">
        <f t="shared" si="33"/>
        <v>1024</v>
      </c>
      <c r="C602" s="278" t="s">
        <v>2092</v>
      </c>
      <c r="D602" s="295" t="s">
        <v>1652</v>
      </c>
      <c r="E602" s="295" t="s">
        <v>1977</v>
      </c>
      <c r="F602" s="371" t="s">
        <v>1230</v>
      </c>
      <c r="G602" s="252" t="s">
        <v>1918</v>
      </c>
      <c r="H602" s="282" t="s">
        <v>637</v>
      </c>
      <c r="I602" s="295" t="s">
        <v>815</v>
      </c>
      <c r="J602" s="282" t="s">
        <v>0</v>
      </c>
      <c r="K602" s="282" t="s">
        <v>452</v>
      </c>
      <c r="L602" s="297" t="s">
        <v>2318</v>
      </c>
      <c r="M602" s="282" t="s">
        <v>1401</v>
      </c>
      <c r="N602" s="282" t="s">
        <v>1400</v>
      </c>
      <c r="O602" s="296" t="s">
        <v>1805</v>
      </c>
      <c r="P602" s="64" t="str">
        <f ca="1">IF(AND(OR(INDIRECT("K" &amp; ROW())="NAV-Premium",INDIRECT("K" &amp; ROW())="DA-Premium"),INDIRECT("M" &amp; ROW())="PARTITION_SCHEMA128__NavPiviJpn", INDIRECT("O" &amp; ROW())="JPN_SDB"),'SDB vs GN'!$B$41, IF(INDIRECT("H" &amp; ROW())="Chenc",'SDB vs GN'!$B$40, VLOOKUP(INDIRECT("O" &amp; ROW()),'SDB vs GN'!$A$16:$B$38,2,FALSE)))</f>
        <v>GCN2_CN_EU_NA</v>
      </c>
      <c r="Q602" s="297" t="s">
        <v>1903</v>
      </c>
      <c r="R602" s="298" t="s">
        <v>1229</v>
      </c>
      <c r="S602" s="340" t="s">
        <v>10</v>
      </c>
      <c r="T602" s="295" t="s">
        <v>449</v>
      </c>
      <c r="U602" s="332" t="s">
        <v>816</v>
      </c>
      <c r="V602" s="342" t="s">
        <v>787</v>
      </c>
      <c r="W602" s="298" t="s">
        <v>447</v>
      </c>
      <c r="X602" s="297" t="s">
        <v>521</v>
      </c>
      <c r="Y602" s="282" t="s">
        <v>1556</v>
      </c>
      <c r="Z602" s="282" t="s">
        <v>1593</v>
      </c>
      <c r="AA602" s="299"/>
      <c r="AB602" s="300" t="s">
        <v>225</v>
      </c>
      <c r="AC602" s="301" t="s">
        <v>1665</v>
      </c>
      <c r="AD602" s="302" t="s">
        <v>1042</v>
      </c>
      <c r="AE602" s="302"/>
      <c r="AF602" s="302"/>
      <c r="AG602" s="302"/>
      <c r="AH602" s="302" t="s">
        <v>1666</v>
      </c>
    </row>
    <row r="603" spans="1:34">
      <c r="A603" s="51">
        <v>4133</v>
      </c>
      <c r="B603" s="81" t="str">
        <f t="shared" si="33"/>
        <v>1025</v>
      </c>
      <c r="C603" s="278" t="s">
        <v>1750</v>
      </c>
      <c r="D603" s="295" t="s">
        <v>1652</v>
      </c>
      <c r="E603" s="295" t="s">
        <v>1977</v>
      </c>
      <c r="F603" s="371" t="s">
        <v>1230</v>
      </c>
      <c r="G603" s="252" t="s">
        <v>1918</v>
      </c>
      <c r="H603" s="282" t="s">
        <v>637</v>
      </c>
      <c r="I603" s="295" t="s">
        <v>815</v>
      </c>
      <c r="J603" s="282" t="s">
        <v>0</v>
      </c>
      <c r="K603" s="282" t="s">
        <v>452</v>
      </c>
      <c r="L603" s="297" t="s">
        <v>2318</v>
      </c>
      <c r="M603" s="282" t="s">
        <v>1401</v>
      </c>
      <c r="N603" s="282" t="s">
        <v>1400</v>
      </c>
      <c r="O603" s="296" t="s">
        <v>1803</v>
      </c>
      <c r="P603" s="64" t="str">
        <f ca="1">IF(AND(OR(INDIRECT("K" &amp; ROW())="NAV-Premium",INDIRECT("K" &amp; ROW())="DA-Premium"),INDIRECT("M" &amp; ROW())="PARTITION_SCHEMA128__NavPiviJpn", INDIRECT("O" &amp; ROW())="JPN_SDB"),'SDB vs GN'!$B$41, IF(INDIRECT("H" &amp; ROW())="Chenc",'SDB vs GN'!$B$40, VLOOKUP(INDIRECT("O" &amp; ROW()),'SDB vs GN'!$A$16:$B$38,2,FALSE)))</f>
        <v>GCN3_CN_LA_NA</v>
      </c>
      <c r="Q603" s="297" t="s">
        <v>1903</v>
      </c>
      <c r="R603" s="298" t="s">
        <v>1229</v>
      </c>
      <c r="S603" s="340" t="s">
        <v>10</v>
      </c>
      <c r="T603" s="295" t="s">
        <v>449</v>
      </c>
      <c r="U603" s="332" t="s">
        <v>816</v>
      </c>
      <c r="V603" s="342" t="s">
        <v>786</v>
      </c>
      <c r="W603" s="298" t="s">
        <v>447</v>
      </c>
      <c r="X603" s="297" t="s">
        <v>521</v>
      </c>
      <c r="Y603" s="282" t="s">
        <v>1556</v>
      </c>
      <c r="Z603" s="282" t="s">
        <v>1593</v>
      </c>
      <c r="AA603" s="299"/>
      <c r="AB603" s="300" t="s">
        <v>225</v>
      </c>
      <c r="AC603" s="301" t="s">
        <v>1667</v>
      </c>
      <c r="AD603" s="302" t="s">
        <v>1042</v>
      </c>
      <c r="AE603" s="302"/>
      <c r="AF603" s="302"/>
      <c r="AG603" s="302"/>
      <c r="AH603" s="302" t="s">
        <v>1668</v>
      </c>
    </row>
    <row r="604" spans="1:34">
      <c r="A604" s="51">
        <v>4134</v>
      </c>
      <c r="B604" s="81" t="str">
        <f t="shared" si="33"/>
        <v>1026</v>
      </c>
      <c r="C604" s="278" t="s">
        <v>1751</v>
      </c>
      <c r="D604" s="295" t="s">
        <v>1652</v>
      </c>
      <c r="E604" s="295" t="s">
        <v>1977</v>
      </c>
      <c r="F604" s="371" t="s">
        <v>1230</v>
      </c>
      <c r="G604" s="252" t="s">
        <v>1918</v>
      </c>
      <c r="H604" s="282" t="s">
        <v>637</v>
      </c>
      <c r="I604" s="295" t="s">
        <v>815</v>
      </c>
      <c r="J604" s="282" t="s">
        <v>0</v>
      </c>
      <c r="K604" s="282" t="s">
        <v>452</v>
      </c>
      <c r="L604" s="297" t="s">
        <v>2318</v>
      </c>
      <c r="M604" s="282" t="s">
        <v>1401</v>
      </c>
      <c r="N604" s="282" t="s">
        <v>1400</v>
      </c>
      <c r="O604" s="296" t="s">
        <v>1806</v>
      </c>
      <c r="P604" s="64" t="str">
        <f ca="1">IF(AND(OR(INDIRECT("K" &amp; ROW())="NAV-Premium",INDIRECT("K" &amp; ROW())="DA-Premium"),INDIRECT("M" &amp; ROW())="PARTITION_SCHEMA128__NavPiviJpn", INDIRECT("O" &amp; ROW())="JPN_SDB"),'SDB vs GN'!$B$41, IF(INDIRECT("H" &amp; ROW())="Chenc",'SDB vs GN'!$B$40, VLOOKUP(INDIRECT("O" &amp; ROW()),'SDB vs GN'!$A$16:$B$38,2,FALSE)))</f>
        <v>GCN1_JP_KR_LA_NA</v>
      </c>
      <c r="Q604" s="297" t="s">
        <v>1903</v>
      </c>
      <c r="R604" s="298" t="s">
        <v>1229</v>
      </c>
      <c r="S604" s="340" t="s">
        <v>10</v>
      </c>
      <c r="T604" s="295" t="s">
        <v>449</v>
      </c>
      <c r="U604" s="332" t="s">
        <v>816</v>
      </c>
      <c r="V604" s="342" t="s">
        <v>930</v>
      </c>
      <c r="W604" s="298" t="s">
        <v>447</v>
      </c>
      <c r="X604" s="297" t="s">
        <v>521</v>
      </c>
      <c r="Y604" s="282" t="s">
        <v>1556</v>
      </c>
      <c r="Z604" s="282" t="s">
        <v>1593</v>
      </c>
      <c r="AA604" s="299"/>
      <c r="AB604" s="300" t="s">
        <v>225</v>
      </c>
      <c r="AC604" s="301" t="s">
        <v>1669</v>
      </c>
      <c r="AD604" s="302" t="s">
        <v>1042</v>
      </c>
      <c r="AE604" s="302"/>
      <c r="AF604" s="302"/>
      <c r="AG604" s="302"/>
      <c r="AH604" s="302" t="s">
        <v>1670</v>
      </c>
    </row>
    <row r="605" spans="1:34">
      <c r="A605" s="51">
        <v>4135</v>
      </c>
      <c r="B605" s="81" t="str">
        <f t="shared" si="33"/>
        <v>1027</v>
      </c>
      <c r="C605" s="278" t="s">
        <v>1752</v>
      </c>
      <c r="D605" s="295" t="s">
        <v>1652</v>
      </c>
      <c r="E605" s="295" t="s">
        <v>1977</v>
      </c>
      <c r="F605" s="371" t="s">
        <v>1230</v>
      </c>
      <c r="G605" s="252" t="s">
        <v>1918</v>
      </c>
      <c r="H605" s="282" t="s">
        <v>637</v>
      </c>
      <c r="I605" s="295" t="s">
        <v>815</v>
      </c>
      <c r="J605" s="282" t="s">
        <v>0</v>
      </c>
      <c r="K605" s="282" t="s">
        <v>452</v>
      </c>
      <c r="L605" s="297" t="s">
        <v>2318</v>
      </c>
      <c r="M605" s="282" t="s">
        <v>1401</v>
      </c>
      <c r="N605" s="282" t="s">
        <v>1400</v>
      </c>
      <c r="O605" s="296" t="s">
        <v>1806</v>
      </c>
      <c r="P605" s="64" t="str">
        <f ca="1">IF(AND(OR(INDIRECT("K" &amp; ROW())="NAV-Premium",INDIRECT("K" &amp; ROW())="DA-Premium"),INDIRECT("M" &amp; ROW())="PARTITION_SCHEMA128__NavPiviJpn", INDIRECT("O" &amp; ROW())="JPN_SDB"),'SDB vs GN'!$B$41, IF(INDIRECT("H" &amp; ROW())="Chenc",'SDB vs GN'!$B$40, VLOOKUP(INDIRECT("O" &amp; ROW()),'SDB vs GN'!$A$16:$B$38,2,FALSE)))</f>
        <v>GCN1_JP_KR_LA_NA</v>
      </c>
      <c r="Q605" s="297" t="s">
        <v>1903</v>
      </c>
      <c r="R605" s="298" t="s">
        <v>1229</v>
      </c>
      <c r="S605" s="340" t="s">
        <v>10</v>
      </c>
      <c r="T605" s="295" t="s">
        <v>449</v>
      </c>
      <c r="U605" s="332" t="s">
        <v>816</v>
      </c>
      <c r="V605" s="342" t="s">
        <v>1133</v>
      </c>
      <c r="W605" s="298" t="s">
        <v>447</v>
      </c>
      <c r="X605" s="297" t="s">
        <v>521</v>
      </c>
      <c r="Y605" s="282" t="s">
        <v>1556</v>
      </c>
      <c r="Z605" s="282" t="s">
        <v>1593</v>
      </c>
      <c r="AA605" s="299"/>
      <c r="AB605" s="300" t="s">
        <v>225</v>
      </c>
      <c r="AC605" s="301" t="s">
        <v>1671</v>
      </c>
      <c r="AD605" s="302" t="s">
        <v>1042</v>
      </c>
      <c r="AE605" s="302"/>
      <c r="AF605" s="302"/>
      <c r="AG605" s="302"/>
      <c r="AH605" s="302" t="s">
        <v>1672</v>
      </c>
    </row>
    <row r="606" spans="1:34">
      <c r="A606" s="51">
        <v>4136</v>
      </c>
      <c r="B606" s="81" t="str">
        <f t="shared" si="33"/>
        <v>1028</v>
      </c>
      <c r="C606" s="278" t="s">
        <v>1753</v>
      </c>
      <c r="D606" s="295" t="s">
        <v>1652</v>
      </c>
      <c r="E606" s="295" t="s">
        <v>1977</v>
      </c>
      <c r="F606" s="371" t="s">
        <v>1230</v>
      </c>
      <c r="G606" s="252" t="s">
        <v>1918</v>
      </c>
      <c r="H606" s="282" t="s">
        <v>637</v>
      </c>
      <c r="I606" s="295" t="s">
        <v>815</v>
      </c>
      <c r="J606" s="282" t="s">
        <v>0</v>
      </c>
      <c r="K606" s="282" t="s">
        <v>452</v>
      </c>
      <c r="L606" s="297" t="s">
        <v>2318</v>
      </c>
      <c r="M606" s="282" t="s">
        <v>1401</v>
      </c>
      <c r="N606" s="282" t="s">
        <v>1400</v>
      </c>
      <c r="O606" s="296" t="s">
        <v>1803</v>
      </c>
      <c r="P606" s="64" t="str">
        <f ca="1">IF(AND(OR(INDIRECT("K" &amp; ROW())="NAV-Premium",INDIRECT("K" &amp; ROW())="DA-Premium"),INDIRECT("M" &amp; ROW())="PARTITION_SCHEMA128__NavPiviJpn", INDIRECT("O" &amp; ROW())="JPN_SDB"),'SDB vs GN'!$B$41, IF(INDIRECT("H" &amp; ROW())="Chenc",'SDB vs GN'!$B$40, VLOOKUP(INDIRECT("O" &amp; ROW()),'SDB vs GN'!$A$16:$B$38,2,FALSE)))</f>
        <v>GCN3_CN_LA_NA</v>
      </c>
      <c r="Q606" s="297" t="s">
        <v>1903</v>
      </c>
      <c r="R606" s="298" t="s">
        <v>1229</v>
      </c>
      <c r="S606" s="340" t="s">
        <v>10</v>
      </c>
      <c r="T606" s="295" t="s">
        <v>449</v>
      </c>
      <c r="U606" s="332" t="s">
        <v>816</v>
      </c>
      <c r="V606" s="342" t="s">
        <v>728</v>
      </c>
      <c r="W606" s="298" t="s">
        <v>447</v>
      </c>
      <c r="X606" s="297" t="s">
        <v>521</v>
      </c>
      <c r="Y606" s="282" t="s">
        <v>1556</v>
      </c>
      <c r="Z606" s="282" t="s">
        <v>1593</v>
      </c>
      <c r="AA606" s="299"/>
      <c r="AB606" s="300" t="s">
        <v>225</v>
      </c>
      <c r="AC606" s="301" t="s">
        <v>1673</v>
      </c>
      <c r="AD606" s="302" t="s">
        <v>1042</v>
      </c>
      <c r="AE606" s="302"/>
      <c r="AF606" s="302"/>
      <c r="AG606" s="302"/>
      <c r="AH606" s="302" t="s">
        <v>1674</v>
      </c>
    </row>
    <row r="607" spans="1:34" ht="26.4">
      <c r="A607" s="51">
        <v>4137</v>
      </c>
      <c r="B607" s="81" t="str">
        <f t="shared" si="33"/>
        <v>1029</v>
      </c>
      <c r="C607" s="278" t="s">
        <v>1754</v>
      </c>
      <c r="D607" s="295" t="s">
        <v>1652</v>
      </c>
      <c r="E607" s="295" t="s">
        <v>1977</v>
      </c>
      <c r="F607" s="372" t="s">
        <v>1315</v>
      </c>
      <c r="G607" s="115" t="s">
        <v>1914</v>
      </c>
      <c r="H607" s="282" t="s">
        <v>637</v>
      </c>
      <c r="I607" s="295" t="s">
        <v>815</v>
      </c>
      <c r="J607" s="282" t="s">
        <v>0</v>
      </c>
      <c r="K607" s="282" t="s">
        <v>454</v>
      </c>
      <c r="L607" s="360" t="s">
        <v>1306</v>
      </c>
      <c r="M607" s="282" t="s">
        <v>1401</v>
      </c>
      <c r="N607" s="282" t="s">
        <v>1400</v>
      </c>
      <c r="O607" s="296" t="s">
        <v>1806</v>
      </c>
      <c r="P607" s="64" t="str">
        <f ca="1">IF(AND(OR(INDIRECT("K" &amp; ROW())="NAV-Premium",INDIRECT("K" &amp; ROW())="DA-Premium"),INDIRECT("M" &amp; ROW())="PARTITION_SCHEMA128__NavPiviJpn", INDIRECT("O" &amp; ROW())="JPN_SDB"),'SDB vs GN'!$B$41, IF(INDIRECT("H" &amp; ROW())="Chenc",'SDB vs GN'!$B$40, VLOOKUP(INDIRECT("O" &amp; ROW()),'SDB vs GN'!$A$16:$B$38,2,FALSE)))</f>
        <v>GCN1_JP_KR_LA_NA</v>
      </c>
      <c r="Q607" s="297" t="s">
        <v>1903</v>
      </c>
      <c r="R607" s="298" t="s">
        <v>1228</v>
      </c>
      <c r="S607" s="340" t="s">
        <v>10</v>
      </c>
      <c r="T607" s="367" t="s">
        <v>450</v>
      </c>
      <c r="U607" s="332" t="s">
        <v>816</v>
      </c>
      <c r="V607" s="308" t="s">
        <v>604</v>
      </c>
      <c r="W607" s="298" t="s">
        <v>447</v>
      </c>
      <c r="X607" s="297" t="s">
        <v>521</v>
      </c>
      <c r="Y607" s="282" t="s">
        <v>1556</v>
      </c>
      <c r="Z607" s="282" t="s">
        <v>1593</v>
      </c>
      <c r="AA607" s="299"/>
      <c r="AB607" s="300" t="s">
        <v>225</v>
      </c>
      <c r="AC607" s="301" t="s">
        <v>1720</v>
      </c>
      <c r="AD607" s="302" t="s">
        <v>1042</v>
      </c>
      <c r="AE607" s="302" t="s">
        <v>2041</v>
      </c>
      <c r="AF607" s="302"/>
      <c r="AG607" s="302"/>
      <c r="AH607" s="302" t="s">
        <v>1719</v>
      </c>
    </row>
    <row r="608" spans="1:34">
      <c r="A608" s="51">
        <v>4138</v>
      </c>
      <c r="B608" s="81" t="str">
        <f t="shared" si="33"/>
        <v>102A</v>
      </c>
      <c r="C608" s="278" t="s">
        <v>1756</v>
      </c>
      <c r="D608" s="295" t="s">
        <v>1652</v>
      </c>
      <c r="E608" s="295" t="s">
        <v>1977</v>
      </c>
      <c r="F608" s="372" t="s">
        <v>1315</v>
      </c>
      <c r="G608" s="115" t="s">
        <v>1914</v>
      </c>
      <c r="H608" s="282" t="s">
        <v>637</v>
      </c>
      <c r="I608" s="295" t="s">
        <v>815</v>
      </c>
      <c r="J608" s="282" t="s">
        <v>0</v>
      </c>
      <c r="K608" s="282" t="s">
        <v>454</v>
      </c>
      <c r="L608" s="360" t="s">
        <v>1306</v>
      </c>
      <c r="M608" s="282" t="s">
        <v>1401</v>
      </c>
      <c r="N608" s="282" t="s">
        <v>1400</v>
      </c>
      <c r="O608" s="238" t="s">
        <v>1804</v>
      </c>
      <c r="P608" s="64" t="str">
        <f ca="1">IF(AND(OR(INDIRECT("K" &amp; ROW())="NAV-Premium",INDIRECT("K" &amp; ROW())="DA-Premium"),INDIRECT("M" &amp; ROW())="PARTITION_SCHEMA128__NavPiviJpn", INDIRECT("O" &amp; ROW())="JPN_SDB"),'SDB vs GN'!$B$41, IF(INDIRECT("H" &amp; ROW())="Chenc",'SDB vs GN'!$B$40, VLOOKUP(INDIRECT("O" &amp; ROW()),'SDB vs GN'!$A$16:$B$38,2,FALSE)))</f>
        <v>GCN2_CN_EU_NA</v>
      </c>
      <c r="Q608" s="297" t="s">
        <v>1903</v>
      </c>
      <c r="R608" s="298" t="s">
        <v>1229</v>
      </c>
      <c r="S608" s="340" t="s">
        <v>10</v>
      </c>
      <c r="T608" s="295" t="s">
        <v>449</v>
      </c>
      <c r="U608" s="332" t="s">
        <v>816</v>
      </c>
      <c r="V608" s="308" t="s">
        <v>599</v>
      </c>
      <c r="W608" s="298" t="s">
        <v>447</v>
      </c>
      <c r="X608" s="297" t="s">
        <v>521</v>
      </c>
      <c r="Y608" s="282" t="s">
        <v>1556</v>
      </c>
      <c r="Z608" s="282" t="s">
        <v>1593</v>
      </c>
      <c r="AA608" s="299"/>
      <c r="AB608" s="300" t="s">
        <v>225</v>
      </c>
      <c r="AC608" s="301" t="s">
        <v>1675</v>
      </c>
      <c r="AD608" s="302" t="s">
        <v>1042</v>
      </c>
      <c r="AE608" s="302"/>
      <c r="AF608" s="302"/>
      <c r="AG608" s="302"/>
      <c r="AH608" s="302" t="s">
        <v>1676</v>
      </c>
    </row>
    <row r="609" spans="1:34">
      <c r="A609" s="51">
        <v>4139</v>
      </c>
      <c r="B609" s="81" t="str">
        <f t="shared" si="33"/>
        <v>102B</v>
      </c>
      <c r="C609" s="278" t="s">
        <v>1762</v>
      </c>
      <c r="D609" s="295" t="s">
        <v>1652</v>
      </c>
      <c r="E609" s="295" t="s">
        <v>1977</v>
      </c>
      <c r="F609" s="372" t="s">
        <v>1315</v>
      </c>
      <c r="G609" s="115" t="s">
        <v>1914</v>
      </c>
      <c r="H609" s="282" t="s">
        <v>637</v>
      </c>
      <c r="I609" s="295" t="s">
        <v>815</v>
      </c>
      <c r="J609" s="282" t="s">
        <v>0</v>
      </c>
      <c r="K609" s="282" t="s">
        <v>454</v>
      </c>
      <c r="L609" s="360" t="s">
        <v>1306</v>
      </c>
      <c r="M609" s="282" t="s">
        <v>1401</v>
      </c>
      <c r="N609" s="282" t="s">
        <v>1400</v>
      </c>
      <c r="O609" s="296" t="s">
        <v>1806</v>
      </c>
      <c r="P609" s="64" t="str">
        <f ca="1">IF(AND(OR(INDIRECT("K" &amp; ROW())="NAV-Premium",INDIRECT("K" &amp; ROW())="DA-Premium"),INDIRECT("M" &amp; ROW())="PARTITION_SCHEMA128__NavPiviJpn", INDIRECT("O" &amp; ROW())="JPN_SDB"),'SDB vs GN'!$B$41, IF(INDIRECT("H" &amp; ROW())="Chenc",'SDB vs GN'!$B$40, VLOOKUP(INDIRECT("O" &amp; ROW()),'SDB vs GN'!$A$16:$B$38,2,FALSE)))</f>
        <v>GCN1_JP_KR_LA_NA</v>
      </c>
      <c r="Q609" s="297" t="s">
        <v>1903</v>
      </c>
      <c r="R609" s="298" t="s">
        <v>1228</v>
      </c>
      <c r="S609" s="340" t="s">
        <v>10</v>
      </c>
      <c r="T609" s="295" t="s">
        <v>449</v>
      </c>
      <c r="U609" s="332" t="s">
        <v>816</v>
      </c>
      <c r="V609" s="308" t="s">
        <v>604</v>
      </c>
      <c r="W609" s="298" t="s">
        <v>447</v>
      </c>
      <c r="X609" s="297" t="s">
        <v>521</v>
      </c>
      <c r="Y609" s="282" t="s">
        <v>1556</v>
      </c>
      <c r="Z609" s="282" t="s">
        <v>1593</v>
      </c>
      <c r="AA609" s="299"/>
      <c r="AB609" s="300" t="s">
        <v>225</v>
      </c>
      <c r="AC609" s="301" t="s">
        <v>1677</v>
      </c>
      <c r="AD609" s="302" t="s">
        <v>1042</v>
      </c>
      <c r="AE609" s="302"/>
      <c r="AF609" s="302"/>
      <c r="AG609" s="302"/>
      <c r="AH609" s="302" t="s">
        <v>1678</v>
      </c>
    </row>
    <row r="610" spans="1:34">
      <c r="A610" s="51">
        <v>4140</v>
      </c>
      <c r="B610" s="81" t="str">
        <f t="shared" si="33"/>
        <v>102C</v>
      </c>
      <c r="C610" s="278" t="s">
        <v>1768</v>
      </c>
      <c r="D610" s="295" t="s">
        <v>1652</v>
      </c>
      <c r="E610" s="295" t="s">
        <v>1977</v>
      </c>
      <c r="F610" s="372" t="s">
        <v>1315</v>
      </c>
      <c r="G610" s="115" t="s">
        <v>1914</v>
      </c>
      <c r="H610" s="282" t="s">
        <v>637</v>
      </c>
      <c r="I610" s="295" t="s">
        <v>815</v>
      </c>
      <c r="J610" s="282" t="s">
        <v>0</v>
      </c>
      <c r="K610" s="282" t="s">
        <v>454</v>
      </c>
      <c r="L610" s="360" t="s">
        <v>1306</v>
      </c>
      <c r="M610" s="282" t="s">
        <v>1401</v>
      </c>
      <c r="N610" s="282" t="s">
        <v>1400</v>
      </c>
      <c r="O610" s="296" t="s">
        <v>1806</v>
      </c>
      <c r="P610" s="64" t="str">
        <f ca="1">IF(AND(OR(INDIRECT("K" &amp; ROW())="NAV-Premium",INDIRECT("K" &amp; ROW())="DA-Premium"),INDIRECT("M" &amp; ROW())="PARTITION_SCHEMA128__NavPiviJpn", INDIRECT("O" &amp; ROW())="JPN_SDB"),'SDB vs GN'!$B$41, IF(INDIRECT("H" &amp; ROW())="Chenc",'SDB vs GN'!$B$40, VLOOKUP(INDIRECT("O" &amp; ROW()),'SDB vs GN'!$A$16:$B$38,2,FALSE)))</f>
        <v>GCN1_JP_KR_LA_NA</v>
      </c>
      <c r="Q610" s="297" t="s">
        <v>1903</v>
      </c>
      <c r="R610" s="298" t="s">
        <v>1398</v>
      </c>
      <c r="S610" s="340" t="s">
        <v>10</v>
      </c>
      <c r="T610" s="295" t="s">
        <v>449</v>
      </c>
      <c r="U610" s="332" t="s">
        <v>816</v>
      </c>
      <c r="V610" s="342" t="s">
        <v>951</v>
      </c>
      <c r="W610" s="298" t="s">
        <v>447</v>
      </c>
      <c r="X610" s="297" t="s">
        <v>521</v>
      </c>
      <c r="Y610" s="282" t="s">
        <v>1556</v>
      </c>
      <c r="Z610" s="282" t="s">
        <v>1593</v>
      </c>
      <c r="AA610" s="299"/>
      <c r="AB610" s="300" t="s">
        <v>225</v>
      </c>
      <c r="AC610" s="301" t="s">
        <v>1679</v>
      </c>
      <c r="AD610" s="302" t="s">
        <v>1042</v>
      </c>
      <c r="AE610" s="302"/>
      <c r="AF610" s="302"/>
      <c r="AG610" s="302"/>
      <c r="AH610" s="302" t="s">
        <v>1680</v>
      </c>
    </row>
    <row r="611" spans="1:34">
      <c r="A611" s="51">
        <v>4141</v>
      </c>
      <c r="B611" s="81" t="str">
        <f t="shared" si="33"/>
        <v>102D</v>
      </c>
      <c r="C611" s="182" t="s">
        <v>1769</v>
      </c>
      <c r="D611" s="295" t="s">
        <v>1652</v>
      </c>
      <c r="E611" s="295" t="s">
        <v>1977</v>
      </c>
      <c r="F611" s="372" t="s">
        <v>1315</v>
      </c>
      <c r="G611" s="115" t="s">
        <v>1914</v>
      </c>
      <c r="H611" s="282" t="s">
        <v>637</v>
      </c>
      <c r="I611" s="295" t="s">
        <v>815</v>
      </c>
      <c r="J611" s="282" t="s">
        <v>0</v>
      </c>
      <c r="K611" s="282" t="s">
        <v>454</v>
      </c>
      <c r="L611" s="360" t="s">
        <v>1306</v>
      </c>
      <c r="M611" s="282" t="s">
        <v>1401</v>
      </c>
      <c r="N611" s="282" t="s">
        <v>1400</v>
      </c>
      <c r="O611" s="296" t="s">
        <v>1803</v>
      </c>
      <c r="P611" s="64" t="str">
        <f ca="1">IF(AND(OR(INDIRECT("K" &amp; ROW())="NAV-Premium",INDIRECT("K" &amp; ROW())="DA-Premium"),INDIRECT("M" &amp; ROW())="PARTITION_SCHEMA128__NavPiviJpn", INDIRECT("O" &amp; ROW())="JPN_SDB"),'SDB vs GN'!$B$41, IF(INDIRECT("H" &amp; ROW())="Chenc",'SDB vs GN'!$B$40, VLOOKUP(INDIRECT("O" &amp; ROW()),'SDB vs GN'!$A$16:$B$38,2,FALSE)))</f>
        <v>GCN3_CN_LA_NA</v>
      </c>
      <c r="Q611" s="297" t="s">
        <v>1903</v>
      </c>
      <c r="R611" s="298" t="s">
        <v>1398</v>
      </c>
      <c r="S611" s="340" t="s">
        <v>10</v>
      </c>
      <c r="T611" s="295" t="s">
        <v>449</v>
      </c>
      <c r="U611" s="332" t="s">
        <v>816</v>
      </c>
      <c r="V611" s="342" t="s">
        <v>833</v>
      </c>
      <c r="W611" s="298" t="s">
        <v>447</v>
      </c>
      <c r="X611" s="297" t="s">
        <v>521</v>
      </c>
      <c r="Y611" s="282" t="s">
        <v>1556</v>
      </c>
      <c r="Z611" s="282" t="s">
        <v>1593</v>
      </c>
      <c r="AA611" s="299"/>
      <c r="AB611" s="300" t="s">
        <v>225</v>
      </c>
      <c r="AC611" s="301" t="s">
        <v>1681</v>
      </c>
      <c r="AD611" s="302" t="s">
        <v>1042</v>
      </c>
      <c r="AE611" s="302"/>
      <c r="AF611" s="302"/>
      <c r="AG611" s="302"/>
      <c r="AH611" s="302" t="s">
        <v>1682</v>
      </c>
    </row>
    <row r="612" spans="1:34">
      <c r="A612" s="51">
        <v>4142</v>
      </c>
      <c r="B612" s="81" t="str">
        <f t="shared" si="33"/>
        <v>102E</v>
      </c>
      <c r="C612" s="278" t="s">
        <v>1763</v>
      </c>
      <c r="D612" s="295" t="s">
        <v>1652</v>
      </c>
      <c r="E612" s="295" t="s">
        <v>1977</v>
      </c>
      <c r="F612" s="372" t="s">
        <v>1315</v>
      </c>
      <c r="G612" s="115" t="s">
        <v>1914</v>
      </c>
      <c r="H612" s="282" t="s">
        <v>637</v>
      </c>
      <c r="I612" s="295" t="s">
        <v>815</v>
      </c>
      <c r="J612" s="282" t="s">
        <v>0</v>
      </c>
      <c r="K612" s="282" t="s">
        <v>454</v>
      </c>
      <c r="L612" s="360" t="s">
        <v>1306</v>
      </c>
      <c r="M612" s="282" t="s">
        <v>1401</v>
      </c>
      <c r="N612" s="282" t="s">
        <v>1400</v>
      </c>
      <c r="O612" s="296" t="s">
        <v>1805</v>
      </c>
      <c r="P612" s="64" t="str">
        <f ca="1">IF(AND(OR(INDIRECT("K" &amp; ROW())="NAV-Premium",INDIRECT("K" &amp; ROW())="DA-Premium"),INDIRECT("M" &amp; ROW())="PARTITION_SCHEMA128__NavPiviJpn", INDIRECT("O" &amp; ROW())="JPN_SDB"),'SDB vs GN'!$B$41, IF(INDIRECT("H" &amp; ROW())="Chenc",'SDB vs GN'!$B$40, VLOOKUP(INDIRECT("O" &amp; ROW()),'SDB vs GN'!$A$16:$B$38,2,FALSE)))</f>
        <v>GCN2_CN_EU_NA</v>
      </c>
      <c r="Q612" s="297" t="s">
        <v>1903</v>
      </c>
      <c r="R612" s="298" t="s">
        <v>1229</v>
      </c>
      <c r="S612" s="340" t="s">
        <v>10</v>
      </c>
      <c r="T612" s="295" t="s">
        <v>449</v>
      </c>
      <c r="U612" s="332" t="s">
        <v>816</v>
      </c>
      <c r="V612" s="342" t="s">
        <v>831</v>
      </c>
      <c r="W612" s="298" t="s">
        <v>447</v>
      </c>
      <c r="X612" s="297" t="s">
        <v>521</v>
      </c>
      <c r="Y612" s="282" t="s">
        <v>1556</v>
      </c>
      <c r="Z612" s="282" t="s">
        <v>1593</v>
      </c>
      <c r="AA612" s="299"/>
      <c r="AB612" s="300" t="s">
        <v>225</v>
      </c>
      <c r="AC612" s="301" t="s">
        <v>1683</v>
      </c>
      <c r="AD612" s="302" t="s">
        <v>1042</v>
      </c>
      <c r="AE612" s="302"/>
      <c r="AF612" s="302"/>
      <c r="AG612" s="302"/>
      <c r="AH612" s="302" t="s">
        <v>1684</v>
      </c>
    </row>
    <row r="613" spans="1:34">
      <c r="A613" s="51">
        <v>4143</v>
      </c>
      <c r="B613" s="81" t="str">
        <f t="shared" si="33"/>
        <v>102F</v>
      </c>
      <c r="C613" s="278" t="s">
        <v>1764</v>
      </c>
      <c r="D613" s="295" t="s">
        <v>1652</v>
      </c>
      <c r="E613" s="295" t="s">
        <v>1977</v>
      </c>
      <c r="F613" s="372" t="s">
        <v>1315</v>
      </c>
      <c r="G613" s="115" t="s">
        <v>1914</v>
      </c>
      <c r="H613" s="282" t="s">
        <v>637</v>
      </c>
      <c r="I613" s="295" t="s">
        <v>815</v>
      </c>
      <c r="J613" s="282" t="s">
        <v>0</v>
      </c>
      <c r="K613" s="282" t="s">
        <v>454</v>
      </c>
      <c r="L613" s="360" t="s">
        <v>1306</v>
      </c>
      <c r="M613" s="282" t="s">
        <v>1401</v>
      </c>
      <c r="N613" s="282" t="s">
        <v>1400</v>
      </c>
      <c r="O613" s="238" t="s">
        <v>1804</v>
      </c>
      <c r="P613" s="64" t="str">
        <f ca="1">IF(AND(OR(INDIRECT("K" &amp; ROW())="NAV-Premium",INDIRECT("K" &amp; ROW())="DA-Premium"),INDIRECT("M" &amp; ROW())="PARTITION_SCHEMA128__NavPiviJpn", INDIRECT("O" &amp; ROW())="JPN_SDB"),'SDB vs GN'!$B$41, IF(INDIRECT("H" &amp; ROW())="Chenc",'SDB vs GN'!$B$40, VLOOKUP(INDIRECT("O" &amp; ROW()),'SDB vs GN'!$A$16:$B$38,2,FALSE)))</f>
        <v>GCN2_CN_EU_NA</v>
      </c>
      <c r="Q613" s="297" t="s">
        <v>1903</v>
      </c>
      <c r="R613" s="298" t="s">
        <v>1229</v>
      </c>
      <c r="S613" s="340" t="s">
        <v>10</v>
      </c>
      <c r="T613" s="295" t="s">
        <v>449</v>
      </c>
      <c r="U613" s="332" t="s">
        <v>816</v>
      </c>
      <c r="V613" s="342" t="s">
        <v>949</v>
      </c>
      <c r="W613" s="298" t="s">
        <v>447</v>
      </c>
      <c r="X613" s="297" t="s">
        <v>521</v>
      </c>
      <c r="Y613" s="282" t="s">
        <v>1556</v>
      </c>
      <c r="Z613" s="282" t="s">
        <v>1593</v>
      </c>
      <c r="AA613" s="299"/>
      <c r="AB613" s="300" t="s">
        <v>225</v>
      </c>
      <c r="AC613" s="301" t="s">
        <v>1685</v>
      </c>
      <c r="AD613" s="302" t="s">
        <v>1042</v>
      </c>
      <c r="AE613" s="302"/>
      <c r="AF613" s="302"/>
      <c r="AG613" s="302"/>
      <c r="AH613" s="302" t="s">
        <v>1686</v>
      </c>
    </row>
    <row r="614" spans="1:34">
      <c r="A614" s="51">
        <v>4144</v>
      </c>
      <c r="B614" s="81" t="str">
        <f t="shared" si="33"/>
        <v>1030</v>
      </c>
      <c r="C614" s="278" t="s">
        <v>1767</v>
      </c>
      <c r="D614" s="295" t="s">
        <v>1652</v>
      </c>
      <c r="E614" s="295" t="s">
        <v>1977</v>
      </c>
      <c r="F614" s="372" t="s">
        <v>1315</v>
      </c>
      <c r="G614" s="115" t="s">
        <v>1914</v>
      </c>
      <c r="H614" s="282" t="s">
        <v>637</v>
      </c>
      <c r="I614" s="295" t="s">
        <v>815</v>
      </c>
      <c r="J614" s="282" t="s">
        <v>0</v>
      </c>
      <c r="K614" s="282" t="s">
        <v>454</v>
      </c>
      <c r="L614" s="360" t="s">
        <v>1306</v>
      </c>
      <c r="M614" s="282" t="s">
        <v>1401</v>
      </c>
      <c r="N614" s="282" t="s">
        <v>1400</v>
      </c>
      <c r="O614" s="296" t="s">
        <v>1806</v>
      </c>
      <c r="P614" s="64" t="str">
        <f ca="1">IF(AND(OR(INDIRECT("K" &amp; ROW())="NAV-Premium",INDIRECT("K" &amp; ROW())="DA-Premium"),INDIRECT("M" &amp; ROW())="PARTITION_SCHEMA128__NavPiviJpn", INDIRECT("O" &amp; ROW())="JPN_SDB"),'SDB vs GN'!$B$41, IF(INDIRECT("H" &amp; ROW())="Chenc",'SDB vs GN'!$B$40, VLOOKUP(INDIRECT("O" &amp; ROW()),'SDB vs GN'!$A$16:$B$38,2,FALSE)))</f>
        <v>GCN1_JP_KR_LA_NA</v>
      </c>
      <c r="Q614" s="297" t="s">
        <v>1903</v>
      </c>
      <c r="R614" s="298" t="s">
        <v>1398</v>
      </c>
      <c r="S614" s="340" t="s">
        <v>10</v>
      </c>
      <c r="T614" s="295" t="s">
        <v>449</v>
      </c>
      <c r="U614" s="332" t="s">
        <v>816</v>
      </c>
      <c r="V614" s="342" t="s">
        <v>834</v>
      </c>
      <c r="W614" s="298" t="s">
        <v>447</v>
      </c>
      <c r="X614" s="297" t="s">
        <v>521</v>
      </c>
      <c r="Y614" s="282" t="s">
        <v>1556</v>
      </c>
      <c r="Z614" s="282" t="s">
        <v>1593</v>
      </c>
      <c r="AA614" s="299"/>
      <c r="AB614" s="300" t="s">
        <v>225</v>
      </c>
      <c r="AC614" s="301" t="s">
        <v>1687</v>
      </c>
      <c r="AD614" s="302" t="s">
        <v>1042</v>
      </c>
      <c r="AE614" s="302"/>
      <c r="AF614" s="302"/>
      <c r="AG614" s="302"/>
      <c r="AH614" s="302" t="s">
        <v>1688</v>
      </c>
    </row>
    <row r="615" spans="1:34">
      <c r="A615" s="51">
        <v>4145</v>
      </c>
      <c r="B615" s="81" t="str">
        <f t="shared" si="33"/>
        <v>1031</v>
      </c>
      <c r="C615" s="278" t="s">
        <v>1766</v>
      </c>
      <c r="D615" s="295" t="s">
        <v>1652</v>
      </c>
      <c r="E615" s="295" t="s">
        <v>1977</v>
      </c>
      <c r="F615" s="372" t="s">
        <v>1315</v>
      </c>
      <c r="G615" s="115" t="s">
        <v>1914</v>
      </c>
      <c r="H615" s="282" t="s">
        <v>637</v>
      </c>
      <c r="I615" s="295" t="s">
        <v>815</v>
      </c>
      <c r="J615" s="282" t="s">
        <v>0</v>
      </c>
      <c r="K615" s="282" t="s">
        <v>454</v>
      </c>
      <c r="L615" s="360" t="s">
        <v>1306</v>
      </c>
      <c r="M615" s="282" t="s">
        <v>1401</v>
      </c>
      <c r="N615" s="282" t="s">
        <v>1400</v>
      </c>
      <c r="O615" s="296" t="s">
        <v>1803</v>
      </c>
      <c r="P615" s="64" t="str">
        <f ca="1">IF(AND(OR(INDIRECT("K" &amp; ROW())="NAV-Premium",INDIRECT("K" &amp; ROW())="DA-Premium"),INDIRECT("M" &amp; ROW())="PARTITION_SCHEMA128__NavPiviJpn", INDIRECT("O" &amp; ROW())="JPN_SDB"),'SDB vs GN'!$B$41, IF(INDIRECT("H" &amp; ROW())="Chenc",'SDB vs GN'!$B$40, VLOOKUP(INDIRECT("O" &amp; ROW()),'SDB vs GN'!$A$16:$B$38,2,FALSE)))</f>
        <v>GCN3_CN_LA_NA</v>
      </c>
      <c r="Q615" s="297" t="s">
        <v>1903</v>
      </c>
      <c r="R615" s="298" t="s">
        <v>1398</v>
      </c>
      <c r="S615" s="340" t="s">
        <v>10</v>
      </c>
      <c r="T615" s="295" t="s">
        <v>449</v>
      </c>
      <c r="U615" s="332" t="s">
        <v>816</v>
      </c>
      <c r="V615" s="342" t="s">
        <v>607</v>
      </c>
      <c r="W615" s="298" t="s">
        <v>447</v>
      </c>
      <c r="X615" s="297" t="s">
        <v>521</v>
      </c>
      <c r="Y615" s="282" t="s">
        <v>1556</v>
      </c>
      <c r="Z615" s="282" t="s">
        <v>1593</v>
      </c>
      <c r="AA615" s="299"/>
      <c r="AB615" s="300" t="s">
        <v>225</v>
      </c>
      <c r="AC615" s="301" t="s">
        <v>1689</v>
      </c>
      <c r="AD615" s="302" t="s">
        <v>1042</v>
      </c>
      <c r="AE615" s="302"/>
      <c r="AF615" s="302"/>
      <c r="AG615" s="302"/>
      <c r="AH615" s="302" t="s">
        <v>1690</v>
      </c>
    </row>
    <row r="616" spans="1:34">
      <c r="A616" s="51">
        <v>4146</v>
      </c>
      <c r="B616" s="81" t="str">
        <f t="shared" si="33"/>
        <v>1032</v>
      </c>
      <c r="C616" s="278" t="s">
        <v>1765</v>
      </c>
      <c r="D616" s="295" t="s">
        <v>1652</v>
      </c>
      <c r="E616" s="295" t="s">
        <v>1977</v>
      </c>
      <c r="F616" s="372" t="s">
        <v>1315</v>
      </c>
      <c r="G616" s="115" t="s">
        <v>1914</v>
      </c>
      <c r="H616" s="282" t="s">
        <v>637</v>
      </c>
      <c r="I616" s="295" t="s">
        <v>815</v>
      </c>
      <c r="J616" s="282" t="s">
        <v>0</v>
      </c>
      <c r="K616" s="282" t="s">
        <v>454</v>
      </c>
      <c r="L616" s="360" t="s">
        <v>1306</v>
      </c>
      <c r="M616" s="282" t="s">
        <v>1401</v>
      </c>
      <c r="N616" s="282" t="s">
        <v>1400</v>
      </c>
      <c r="O616" s="304" t="s">
        <v>1805</v>
      </c>
      <c r="P616" s="64" t="str">
        <f ca="1">IF(AND(OR(INDIRECT("K" &amp; ROW())="NAV-Premium",INDIRECT("K" &amp; ROW())="DA-Premium"),INDIRECT("M" &amp; ROW())="PARTITION_SCHEMA128__NavPiviJpn", INDIRECT("O" &amp; ROW())="JPN_SDB"),'SDB vs GN'!$B$41, IF(INDIRECT("H" &amp; ROW())="Chenc",'SDB vs GN'!$B$40, VLOOKUP(INDIRECT("O" &amp; ROW()),'SDB vs GN'!$A$16:$B$38,2,FALSE)))</f>
        <v>GCN2_CN_EU_NA</v>
      </c>
      <c r="Q616" s="297" t="s">
        <v>1903</v>
      </c>
      <c r="R616" s="298" t="s">
        <v>1229</v>
      </c>
      <c r="S616" s="340" t="s">
        <v>10</v>
      </c>
      <c r="T616" s="295" t="s">
        <v>449</v>
      </c>
      <c r="U616" s="332" t="s">
        <v>816</v>
      </c>
      <c r="V616" s="308" t="s">
        <v>598</v>
      </c>
      <c r="W616" s="298" t="s">
        <v>447</v>
      </c>
      <c r="X616" s="297" t="s">
        <v>521</v>
      </c>
      <c r="Y616" s="282" t="s">
        <v>1556</v>
      </c>
      <c r="Z616" s="282" t="s">
        <v>1593</v>
      </c>
      <c r="AA616" s="299"/>
      <c r="AB616" s="300" t="s">
        <v>225</v>
      </c>
      <c r="AC616" s="301" t="s">
        <v>1691</v>
      </c>
      <c r="AD616" s="302" t="s">
        <v>1042</v>
      </c>
      <c r="AE616" s="302"/>
      <c r="AF616" s="302"/>
      <c r="AG616" s="302"/>
      <c r="AH616" s="302" t="s">
        <v>1692</v>
      </c>
    </row>
    <row r="617" spans="1:34" ht="26.4">
      <c r="A617" s="51">
        <v>4147</v>
      </c>
      <c r="B617" s="81" t="str">
        <f t="shared" si="33"/>
        <v>1033</v>
      </c>
      <c r="C617" s="278" t="s">
        <v>1761</v>
      </c>
      <c r="D617" s="295" t="s">
        <v>1693</v>
      </c>
      <c r="E617" s="295" t="s">
        <v>1977</v>
      </c>
      <c r="F617" s="373" t="s">
        <v>1408</v>
      </c>
      <c r="G617" s="167" t="s">
        <v>1915</v>
      </c>
      <c r="H617" s="282" t="s">
        <v>637</v>
      </c>
      <c r="I617" s="314" t="s">
        <v>4</v>
      </c>
      <c r="J617" s="282" t="s">
        <v>0</v>
      </c>
      <c r="K617" s="282" t="s">
        <v>478</v>
      </c>
      <c r="L617" s="360" t="s">
        <v>1306</v>
      </c>
      <c r="M617" s="282" t="s">
        <v>1403</v>
      </c>
      <c r="N617" s="282" t="s">
        <v>1215</v>
      </c>
      <c r="O617" s="296" t="s">
        <v>1806</v>
      </c>
      <c r="P617" s="64" t="str">
        <f ca="1">IF(AND(OR(INDIRECT("K" &amp; ROW())="NAV-Premium",INDIRECT("K" &amp; ROW())="DA-Premium"),INDIRECT("M" &amp; ROW())="PARTITION_SCHEMA128__NavPiviJpn", INDIRECT("O" &amp; ROW())="JPN_SDB"),'SDB vs GN'!$B$41, IF(INDIRECT("H" &amp; ROW())="Chenc",'SDB vs GN'!$B$40, VLOOKUP(INDIRECT("O" &amp; ROW()),'SDB vs GN'!$A$16:$B$38,2,FALSE)))</f>
        <v>GCN1_JP_KR_LA_NA</v>
      </c>
      <c r="Q617" s="297" t="s">
        <v>1903</v>
      </c>
      <c r="R617" s="298" t="s">
        <v>1228</v>
      </c>
      <c r="S617" s="340" t="s">
        <v>10</v>
      </c>
      <c r="T617" s="367" t="s">
        <v>450</v>
      </c>
      <c r="U617" s="332" t="s">
        <v>816</v>
      </c>
      <c r="V617" s="308" t="s">
        <v>7</v>
      </c>
      <c r="W617" s="298" t="s">
        <v>447</v>
      </c>
      <c r="X617" s="297" t="s">
        <v>521</v>
      </c>
      <c r="Y617" s="282" t="s">
        <v>1556</v>
      </c>
      <c r="Z617" s="282" t="s">
        <v>1592</v>
      </c>
      <c r="AA617" s="299"/>
      <c r="AB617" s="300" t="s">
        <v>225</v>
      </c>
      <c r="AC617" s="301" t="s">
        <v>1717</v>
      </c>
      <c r="AD617" s="302" t="s">
        <v>1042</v>
      </c>
      <c r="AE617" s="302" t="s">
        <v>2042</v>
      </c>
      <c r="AF617" s="302"/>
      <c r="AG617" s="302"/>
      <c r="AH617" s="302" t="s">
        <v>1718</v>
      </c>
    </row>
    <row r="618" spans="1:34">
      <c r="A618" s="51">
        <v>4148</v>
      </c>
      <c r="B618" s="81" t="str">
        <f t="shared" si="33"/>
        <v>1034</v>
      </c>
      <c r="C618" s="278" t="s">
        <v>1760</v>
      </c>
      <c r="D618" s="295" t="s">
        <v>1693</v>
      </c>
      <c r="E618" s="295" t="s">
        <v>1977</v>
      </c>
      <c r="F618" s="373" t="s">
        <v>1408</v>
      </c>
      <c r="G618" s="167" t="s">
        <v>1915</v>
      </c>
      <c r="H618" s="282" t="s">
        <v>637</v>
      </c>
      <c r="I618" s="314" t="s">
        <v>4</v>
      </c>
      <c r="J618" s="282" t="s">
        <v>0</v>
      </c>
      <c r="K618" s="282" t="s">
        <v>478</v>
      </c>
      <c r="L618" s="360" t="s">
        <v>1306</v>
      </c>
      <c r="M618" s="282" t="s">
        <v>1403</v>
      </c>
      <c r="N618" s="282" t="s">
        <v>1215</v>
      </c>
      <c r="O618" s="296" t="s">
        <v>1806</v>
      </c>
      <c r="P618" s="64" t="str">
        <f ca="1">IF(AND(OR(INDIRECT("K" &amp; ROW())="NAV-Premium",INDIRECT("K" &amp; ROW())="DA-Premium"),INDIRECT("M" &amp; ROW())="PARTITION_SCHEMA128__NavPiviJpn", INDIRECT("O" &amp; ROW())="JPN_SDB"),'SDB vs GN'!$B$41, IF(INDIRECT("H" &amp; ROW())="Chenc",'SDB vs GN'!$B$40, VLOOKUP(INDIRECT("O" &amp; ROW()),'SDB vs GN'!$A$16:$B$38,2,FALSE)))</f>
        <v>GCN1_JP_KR_LA_NA</v>
      </c>
      <c r="Q618" s="297" t="s">
        <v>1903</v>
      </c>
      <c r="R618" s="298" t="s">
        <v>1228</v>
      </c>
      <c r="S618" s="340" t="s">
        <v>10</v>
      </c>
      <c r="T618" s="295" t="s">
        <v>449</v>
      </c>
      <c r="U618" s="332" t="s">
        <v>816</v>
      </c>
      <c r="V618" s="308" t="s">
        <v>7</v>
      </c>
      <c r="W618" s="298" t="s">
        <v>447</v>
      </c>
      <c r="X618" s="297" t="s">
        <v>521</v>
      </c>
      <c r="Y618" s="282" t="s">
        <v>1556</v>
      </c>
      <c r="Z618" s="282" t="s">
        <v>1592</v>
      </c>
      <c r="AA618" s="299"/>
      <c r="AB618" s="300" t="s">
        <v>225</v>
      </c>
      <c r="AC618" s="301" t="s">
        <v>1694</v>
      </c>
      <c r="AD618" s="302" t="s">
        <v>1042</v>
      </c>
      <c r="AE618" s="302"/>
      <c r="AF618" s="302"/>
      <c r="AG618" s="302"/>
      <c r="AH618" s="302" t="s">
        <v>1695</v>
      </c>
    </row>
    <row r="619" spans="1:34">
      <c r="A619" s="51">
        <v>4149</v>
      </c>
      <c r="B619" s="81" t="str">
        <f t="shared" si="33"/>
        <v>1035</v>
      </c>
      <c r="C619" s="278" t="s">
        <v>1759</v>
      </c>
      <c r="D619" s="295" t="s">
        <v>1693</v>
      </c>
      <c r="E619" s="295" t="s">
        <v>1977</v>
      </c>
      <c r="F619" s="373" t="s">
        <v>1408</v>
      </c>
      <c r="G619" s="167" t="s">
        <v>1915</v>
      </c>
      <c r="H619" s="282" t="s">
        <v>637</v>
      </c>
      <c r="I619" s="314" t="s">
        <v>4</v>
      </c>
      <c r="J619" s="282" t="s">
        <v>0</v>
      </c>
      <c r="K619" s="282" t="s">
        <v>478</v>
      </c>
      <c r="L619" s="360" t="s">
        <v>1306</v>
      </c>
      <c r="M619" s="282" t="s">
        <v>1403</v>
      </c>
      <c r="N619" s="282" t="s">
        <v>1215</v>
      </c>
      <c r="O619" s="296" t="s">
        <v>1804</v>
      </c>
      <c r="P619" s="64" t="str">
        <f ca="1">IF(AND(OR(INDIRECT("K" &amp; ROW())="NAV-Premium",INDIRECT("K" &amp; ROW())="DA-Premium"),INDIRECT("M" &amp; ROW())="PARTITION_SCHEMA128__NavPiviJpn", INDIRECT("O" &amp; ROW())="JPN_SDB"),'SDB vs GN'!$B$41, IF(INDIRECT("H" &amp; ROW())="Chenc",'SDB vs GN'!$B$40, VLOOKUP(INDIRECT("O" &amp; ROW()),'SDB vs GN'!$A$16:$B$38,2,FALSE)))</f>
        <v>GCN2_CN_EU_NA</v>
      </c>
      <c r="Q619" s="297" t="s">
        <v>1903</v>
      </c>
      <c r="R619" s="298" t="s">
        <v>1229</v>
      </c>
      <c r="S619" s="340" t="s">
        <v>10</v>
      </c>
      <c r="T619" s="295" t="s">
        <v>449</v>
      </c>
      <c r="U619" s="332" t="s">
        <v>816</v>
      </c>
      <c r="V619" s="308" t="s">
        <v>7</v>
      </c>
      <c r="W619" s="298" t="s">
        <v>447</v>
      </c>
      <c r="X619" s="297" t="s">
        <v>521</v>
      </c>
      <c r="Y619" s="282" t="s">
        <v>1556</v>
      </c>
      <c r="Z619" s="282" t="s">
        <v>1592</v>
      </c>
      <c r="AA619" s="299"/>
      <c r="AB619" s="300" t="s">
        <v>225</v>
      </c>
      <c r="AC619" s="301" t="s">
        <v>1696</v>
      </c>
      <c r="AD619" s="302" t="s">
        <v>1042</v>
      </c>
      <c r="AE619" s="302"/>
      <c r="AF619" s="302"/>
      <c r="AG619" s="302"/>
      <c r="AH619" s="302" t="s">
        <v>1697</v>
      </c>
    </row>
    <row r="620" spans="1:34">
      <c r="A620" s="51">
        <v>4150</v>
      </c>
      <c r="B620" s="81" t="str">
        <f t="shared" si="33"/>
        <v>1036</v>
      </c>
      <c r="C620" s="278" t="s">
        <v>1808</v>
      </c>
      <c r="D620" s="295" t="s">
        <v>1693</v>
      </c>
      <c r="E620" s="295" t="s">
        <v>1977</v>
      </c>
      <c r="F620" s="373" t="s">
        <v>1408</v>
      </c>
      <c r="G620" s="167" t="s">
        <v>1915</v>
      </c>
      <c r="H620" s="282" t="s">
        <v>637</v>
      </c>
      <c r="I620" s="314" t="s">
        <v>4</v>
      </c>
      <c r="J620" s="282" t="s">
        <v>0</v>
      </c>
      <c r="K620" s="282" t="s">
        <v>478</v>
      </c>
      <c r="L620" s="360" t="s">
        <v>1306</v>
      </c>
      <c r="M620" s="282" t="s">
        <v>1403</v>
      </c>
      <c r="N620" s="282" t="s">
        <v>1215</v>
      </c>
      <c r="O620" s="296" t="s">
        <v>1803</v>
      </c>
      <c r="P620" s="64" t="str">
        <f ca="1">IF(AND(OR(INDIRECT("K" &amp; ROW())="NAV-Premium",INDIRECT("K" &amp; ROW())="DA-Premium"),INDIRECT("M" &amp; ROW())="PARTITION_SCHEMA128__NavPiviJpn", INDIRECT("O" &amp; ROW())="JPN_SDB"),'SDB vs GN'!$B$41, IF(INDIRECT("H" &amp; ROW())="Chenc",'SDB vs GN'!$B$40, VLOOKUP(INDIRECT("O" &amp; ROW()),'SDB vs GN'!$A$16:$B$38,2,FALSE)))</f>
        <v>GCN3_CN_LA_NA</v>
      </c>
      <c r="Q620" s="297" t="s">
        <v>1903</v>
      </c>
      <c r="R620" s="298" t="s">
        <v>1398</v>
      </c>
      <c r="S620" s="340" t="s">
        <v>10</v>
      </c>
      <c r="T620" s="295" t="s">
        <v>449</v>
      </c>
      <c r="U620" s="332" t="s">
        <v>816</v>
      </c>
      <c r="V620" s="308" t="s">
        <v>7</v>
      </c>
      <c r="W620" s="298" t="s">
        <v>447</v>
      </c>
      <c r="X620" s="297" t="s">
        <v>521</v>
      </c>
      <c r="Y620" s="282" t="s">
        <v>1556</v>
      </c>
      <c r="Z620" s="282" t="s">
        <v>1592</v>
      </c>
      <c r="AA620" s="299"/>
      <c r="AB620" s="300" t="s">
        <v>225</v>
      </c>
      <c r="AC620" s="301" t="s">
        <v>1698</v>
      </c>
      <c r="AD620" s="302" t="s">
        <v>1042</v>
      </c>
      <c r="AE620" s="302"/>
      <c r="AF620" s="302"/>
      <c r="AG620" s="302"/>
      <c r="AH620" s="302" t="s">
        <v>1699</v>
      </c>
    </row>
    <row r="621" spans="1:34">
      <c r="A621" s="51">
        <v>4151</v>
      </c>
      <c r="B621" s="81" t="str">
        <f t="shared" si="33"/>
        <v>1037</v>
      </c>
      <c r="C621" s="278" t="s">
        <v>1758</v>
      </c>
      <c r="D621" s="295" t="s">
        <v>1693</v>
      </c>
      <c r="E621" s="295" t="s">
        <v>1977</v>
      </c>
      <c r="F621" s="373" t="s">
        <v>1408</v>
      </c>
      <c r="G621" s="167" t="s">
        <v>1915</v>
      </c>
      <c r="H621" s="282" t="s">
        <v>637</v>
      </c>
      <c r="I621" s="314" t="s">
        <v>4</v>
      </c>
      <c r="J621" s="282" t="s">
        <v>0</v>
      </c>
      <c r="K621" s="282" t="s">
        <v>478</v>
      </c>
      <c r="L621" s="360" t="s">
        <v>1306</v>
      </c>
      <c r="M621" s="282" t="s">
        <v>1403</v>
      </c>
      <c r="N621" s="282" t="s">
        <v>1215</v>
      </c>
      <c r="O621" s="296" t="s">
        <v>1803</v>
      </c>
      <c r="P621" s="64" t="str">
        <f ca="1">IF(AND(OR(INDIRECT("K" &amp; ROW())="NAV-Premium",INDIRECT("K" &amp; ROW())="DA-Premium"),INDIRECT("M" &amp; ROW())="PARTITION_SCHEMA128__NavPiviJpn", INDIRECT("O" &amp; ROW())="JPN_SDB"),'SDB vs GN'!$B$41, IF(INDIRECT("H" &amp; ROW())="Chenc",'SDB vs GN'!$B$40, VLOOKUP(INDIRECT("O" &amp; ROW()),'SDB vs GN'!$A$16:$B$38,2,FALSE)))</f>
        <v>GCN3_CN_LA_NA</v>
      </c>
      <c r="Q621" s="297" t="s">
        <v>1903</v>
      </c>
      <c r="R621" s="298" t="s">
        <v>1398</v>
      </c>
      <c r="S621" s="340" t="s">
        <v>10</v>
      </c>
      <c r="T621" s="295" t="s">
        <v>449</v>
      </c>
      <c r="U621" s="332" t="s">
        <v>816</v>
      </c>
      <c r="V621" s="308" t="s">
        <v>7</v>
      </c>
      <c r="W621" s="298" t="s">
        <v>447</v>
      </c>
      <c r="X621" s="297" t="s">
        <v>521</v>
      </c>
      <c r="Y621" s="282" t="s">
        <v>1556</v>
      </c>
      <c r="Z621" s="282" t="s">
        <v>1592</v>
      </c>
      <c r="AA621" s="299"/>
      <c r="AB621" s="300" t="s">
        <v>225</v>
      </c>
      <c r="AC621" s="301" t="s">
        <v>1700</v>
      </c>
      <c r="AD621" s="302" t="s">
        <v>1042</v>
      </c>
      <c r="AE621" s="302"/>
      <c r="AF621" s="302"/>
      <c r="AG621" s="302"/>
      <c r="AH621" s="302" t="s">
        <v>1701</v>
      </c>
    </row>
    <row r="622" spans="1:34" ht="26.4">
      <c r="A622" s="51">
        <v>4152</v>
      </c>
      <c r="B622" s="81" t="str">
        <f t="shared" ref="B622:B623" si="34">DEC2HEX(A622,4)</f>
        <v>1038</v>
      </c>
      <c r="C622" s="278" t="s">
        <v>1430</v>
      </c>
      <c r="D622" s="295" t="s">
        <v>1855</v>
      </c>
      <c r="E622" s="295" t="s">
        <v>1977</v>
      </c>
      <c r="F622" s="371" t="s">
        <v>1926</v>
      </c>
      <c r="G622" s="371" t="s">
        <v>1916</v>
      </c>
      <c r="H622" s="282" t="s">
        <v>637</v>
      </c>
      <c r="I622" s="295" t="s">
        <v>815</v>
      </c>
      <c r="J622" s="282" t="s">
        <v>0</v>
      </c>
      <c r="K622" s="282" t="s">
        <v>452</v>
      </c>
      <c r="L622" s="297" t="s">
        <v>2318</v>
      </c>
      <c r="M622" s="369" t="s">
        <v>1496</v>
      </c>
      <c r="N622" s="282" t="s">
        <v>1215</v>
      </c>
      <c r="O622" s="238" t="s">
        <v>1801</v>
      </c>
      <c r="P622" s="64" t="str">
        <f ca="1">IF(AND(OR(INDIRECT("K" &amp; ROW())="NAV-Premium",INDIRECT("K" &amp; ROW())="DA-Premium"),INDIRECT("M" &amp; ROW())="PARTITION_SCHEMA128__NavPiviJpn", INDIRECT("O" &amp; ROW())="JPN_SDB"),'SDB vs GN'!$B$41, IF(INDIRECT("H" &amp; ROW())="Chenc",'SDB vs GN'!$B$40, VLOOKUP(INDIRECT("O" &amp; ROW()),'SDB vs GN'!$A$16:$B$38,2,FALSE)))</f>
        <v>GCN1_JP_KR_LA_NA</v>
      </c>
      <c r="Q622" s="297" t="s">
        <v>1903</v>
      </c>
      <c r="R622" s="298" t="s">
        <v>1228</v>
      </c>
      <c r="S622" s="340" t="s">
        <v>10</v>
      </c>
      <c r="T622" s="367" t="s">
        <v>450</v>
      </c>
      <c r="U622" s="332" t="s">
        <v>816</v>
      </c>
      <c r="V622" s="308" t="s">
        <v>1989</v>
      </c>
      <c r="W622" s="298" t="s">
        <v>447</v>
      </c>
      <c r="X622" s="297" t="s">
        <v>521</v>
      </c>
      <c r="Y622" s="282" t="s">
        <v>1857</v>
      </c>
      <c r="Z622" s="282" t="s">
        <v>1593</v>
      </c>
      <c r="AA622" s="299"/>
      <c r="AB622" s="300" t="s">
        <v>225</v>
      </c>
      <c r="AC622" s="301" t="s">
        <v>1861</v>
      </c>
      <c r="AD622" s="302" t="s">
        <v>1042</v>
      </c>
      <c r="AE622" s="302"/>
      <c r="AF622" s="302"/>
      <c r="AG622" s="302"/>
      <c r="AH622" s="302" t="s">
        <v>1858</v>
      </c>
    </row>
    <row r="623" spans="1:34" ht="26.4">
      <c r="A623" s="51">
        <v>4153</v>
      </c>
      <c r="B623" s="81" t="str">
        <f t="shared" si="34"/>
        <v>1039</v>
      </c>
      <c r="C623" s="278" t="s">
        <v>1431</v>
      </c>
      <c r="D623" s="295" t="s">
        <v>1856</v>
      </c>
      <c r="E623" s="295" t="s">
        <v>1977</v>
      </c>
      <c r="F623" s="371" t="s">
        <v>1926</v>
      </c>
      <c r="G623" s="371" t="s">
        <v>1916</v>
      </c>
      <c r="H623" s="282" t="s">
        <v>637</v>
      </c>
      <c r="I623" s="295" t="s">
        <v>815</v>
      </c>
      <c r="J623" s="282" t="s">
        <v>0</v>
      </c>
      <c r="K623" s="282" t="s">
        <v>452</v>
      </c>
      <c r="L623" s="297" t="s">
        <v>2318</v>
      </c>
      <c r="M623" s="369" t="s">
        <v>1496</v>
      </c>
      <c r="N623" s="282" t="s">
        <v>1215</v>
      </c>
      <c r="O623" s="304" t="s">
        <v>1802</v>
      </c>
      <c r="P623" s="64" t="str">
        <f ca="1">IF(AND(OR(INDIRECT("K" &amp; ROW())="NAV-Premium",INDIRECT("K" &amp; ROW())="DA-Premium"),INDIRECT("M" &amp; ROW())="PARTITION_SCHEMA128__NavPiviJpn", INDIRECT("O" &amp; ROW())="JPN_SDB"),'SDB vs GN'!$B$41, IF(INDIRECT("H" &amp; ROW())="Chenc",'SDB vs GN'!$B$40, VLOOKUP(INDIRECT("O" &amp; ROW()),'SDB vs GN'!$A$16:$B$38,2,FALSE)))</f>
        <v>GCN2_CN_EU_NA</v>
      </c>
      <c r="Q623" s="297" t="s">
        <v>1903</v>
      </c>
      <c r="R623" s="298" t="s">
        <v>1229</v>
      </c>
      <c r="S623" s="340" t="s">
        <v>10</v>
      </c>
      <c r="T623" s="295" t="s">
        <v>449</v>
      </c>
      <c r="U623" s="332" t="s">
        <v>816</v>
      </c>
      <c r="V623" s="342" t="s">
        <v>1988</v>
      </c>
      <c r="W623" s="298" t="s">
        <v>447</v>
      </c>
      <c r="X623" s="297" t="s">
        <v>521</v>
      </c>
      <c r="Y623" s="282" t="s">
        <v>1857</v>
      </c>
      <c r="Z623" s="282" t="s">
        <v>1593</v>
      </c>
      <c r="AA623" s="299"/>
      <c r="AB623" s="300" t="s">
        <v>225</v>
      </c>
      <c r="AC623" s="301" t="s">
        <v>1860</v>
      </c>
      <c r="AD623" s="302" t="s">
        <v>1042</v>
      </c>
      <c r="AE623" s="302"/>
      <c r="AF623" s="302"/>
      <c r="AG623" s="302"/>
      <c r="AH623" s="302" t="s">
        <v>1859</v>
      </c>
    </row>
    <row r="624" spans="1:34" ht="26.4">
      <c r="A624" s="51">
        <v>4154</v>
      </c>
      <c r="B624" s="81" t="str">
        <f t="shared" ref="B624:B625" si="35">DEC2HEX(A624,4)</f>
        <v>103A</v>
      </c>
      <c r="C624" s="278" t="s">
        <v>1963</v>
      </c>
      <c r="D624" s="295" t="s">
        <v>1651</v>
      </c>
      <c r="E624" s="295" t="s">
        <v>1977</v>
      </c>
      <c r="F624" s="78" t="s">
        <v>1919</v>
      </c>
      <c r="G624" s="78" t="s">
        <v>1917</v>
      </c>
      <c r="H624" s="282" t="s">
        <v>637</v>
      </c>
      <c r="I624" s="295" t="s">
        <v>815</v>
      </c>
      <c r="J624" s="282" t="s">
        <v>1</v>
      </c>
      <c r="K624" s="282" t="s">
        <v>749</v>
      </c>
      <c r="L624" s="345" t="s">
        <v>2220</v>
      </c>
      <c r="M624" s="282" t="s">
        <v>1401</v>
      </c>
      <c r="N624" s="282" t="s">
        <v>1400</v>
      </c>
      <c r="O624" s="304" t="s">
        <v>1802</v>
      </c>
      <c r="P624" s="64" t="str">
        <f ca="1">IF(AND(OR(INDIRECT("K" &amp; ROW())="NAV-Premium",INDIRECT("K" &amp; ROW())="DA-Premium"),INDIRECT("M" &amp; ROW())="PARTITION_SCHEMA128__NavPiviJpn", INDIRECT("O" &amp; ROW())="JPN_SDB"),'SDB vs GN'!$B$41, IF(INDIRECT("H" &amp; ROW())="Chenc",'SDB vs GN'!$B$40, VLOOKUP(INDIRECT("O" &amp; ROW()),'SDB vs GN'!$A$16:$B$38,2,FALSE)))</f>
        <v>GCN2_CN_EU_NA</v>
      </c>
      <c r="Q624" s="297" t="s">
        <v>1903</v>
      </c>
      <c r="R624" s="298" t="s">
        <v>1229</v>
      </c>
      <c r="S624" s="340" t="s">
        <v>10</v>
      </c>
      <c r="T624" s="295" t="s">
        <v>449</v>
      </c>
      <c r="U624" s="332" t="s">
        <v>816</v>
      </c>
      <c r="V624" s="342" t="s">
        <v>1988</v>
      </c>
      <c r="W624" s="298" t="s">
        <v>447</v>
      </c>
      <c r="X624" s="64" t="s">
        <v>521</v>
      </c>
      <c r="Y624" s="282" t="s">
        <v>1556</v>
      </c>
      <c r="Z624" s="282" t="s">
        <v>1593</v>
      </c>
      <c r="AA624" s="299"/>
      <c r="AB624" s="300" t="s">
        <v>225</v>
      </c>
      <c r="AC624" s="302" t="s">
        <v>1871</v>
      </c>
      <c r="AD624" s="302" t="s">
        <v>1042</v>
      </c>
      <c r="AE624" s="302"/>
      <c r="AF624" s="302"/>
      <c r="AG624" s="302"/>
      <c r="AH624" s="302" t="s">
        <v>1878</v>
      </c>
    </row>
    <row r="625" spans="1:34" ht="26.4">
      <c r="A625" s="51">
        <v>4155</v>
      </c>
      <c r="B625" s="81" t="str">
        <f t="shared" si="35"/>
        <v>103B</v>
      </c>
      <c r="C625" s="278" t="s">
        <v>1963</v>
      </c>
      <c r="D625" s="295" t="s">
        <v>1652</v>
      </c>
      <c r="E625" s="295" t="s">
        <v>1977</v>
      </c>
      <c r="F625" s="78" t="s">
        <v>1919</v>
      </c>
      <c r="G625" s="78" t="s">
        <v>1917</v>
      </c>
      <c r="H625" s="282" t="s">
        <v>637</v>
      </c>
      <c r="I625" s="295" t="s">
        <v>815</v>
      </c>
      <c r="J625" s="282" t="s">
        <v>1</v>
      </c>
      <c r="K625" s="282" t="s">
        <v>749</v>
      </c>
      <c r="L625" s="345" t="s">
        <v>2220</v>
      </c>
      <c r="M625" s="282" t="s">
        <v>1401</v>
      </c>
      <c r="N625" s="282" t="s">
        <v>1400</v>
      </c>
      <c r="O625" s="304" t="s">
        <v>1802</v>
      </c>
      <c r="P625" s="64" t="str">
        <f ca="1">IF(AND(OR(INDIRECT("K" &amp; ROW())="NAV-Premium",INDIRECT("K" &amp; ROW())="DA-Premium"),INDIRECT("M" &amp; ROW())="PARTITION_SCHEMA128__NavPiviJpn", INDIRECT("O" &amp; ROW())="JPN_SDB"),'SDB vs GN'!$B$41, IF(INDIRECT("H" &amp; ROW())="Chenc",'SDB vs GN'!$B$40, VLOOKUP(INDIRECT("O" &amp; ROW()),'SDB vs GN'!$A$16:$B$38,2,FALSE)))</f>
        <v>GCN2_CN_EU_NA</v>
      </c>
      <c r="Q625" s="297" t="s">
        <v>1903</v>
      </c>
      <c r="R625" s="298" t="s">
        <v>1229</v>
      </c>
      <c r="S625" s="340" t="s">
        <v>10</v>
      </c>
      <c r="T625" s="295" t="s">
        <v>449</v>
      </c>
      <c r="U625" s="332" t="s">
        <v>816</v>
      </c>
      <c r="V625" s="342" t="s">
        <v>1988</v>
      </c>
      <c r="W625" s="298" t="s">
        <v>447</v>
      </c>
      <c r="X625" s="297" t="s">
        <v>521</v>
      </c>
      <c r="Y625" s="282" t="s">
        <v>1556</v>
      </c>
      <c r="Z625" s="282" t="s">
        <v>1593</v>
      </c>
      <c r="AA625" s="299"/>
      <c r="AB625" s="300" t="s">
        <v>225</v>
      </c>
      <c r="AC625" s="301" t="s">
        <v>1872</v>
      </c>
      <c r="AD625" s="302" t="s">
        <v>1042</v>
      </c>
      <c r="AE625" s="302"/>
      <c r="AF625" s="302"/>
      <c r="AG625" s="302"/>
      <c r="AH625" s="302" t="s">
        <v>1877</v>
      </c>
    </row>
    <row r="626" spans="1:34" ht="105.6">
      <c r="A626" s="51">
        <v>4156</v>
      </c>
      <c r="B626" s="81" t="str">
        <f t="shared" ref="B626:B657" si="36">DEC2HEX(A626,4)</f>
        <v>103C</v>
      </c>
      <c r="C626" s="329" t="s">
        <v>1430</v>
      </c>
      <c r="D626" s="295" t="s">
        <v>1934</v>
      </c>
      <c r="E626" s="295" t="s">
        <v>1977</v>
      </c>
      <c r="F626" s="371" t="s">
        <v>1230</v>
      </c>
      <c r="G626" s="252" t="s">
        <v>1918</v>
      </c>
      <c r="H626" s="282" t="s">
        <v>637</v>
      </c>
      <c r="I626" s="295" t="s">
        <v>815</v>
      </c>
      <c r="J626" s="282" t="s">
        <v>0</v>
      </c>
      <c r="K626" s="282" t="s">
        <v>452</v>
      </c>
      <c r="L626" s="297" t="s">
        <v>2318</v>
      </c>
      <c r="M626" s="282" t="s">
        <v>1401</v>
      </c>
      <c r="N626" s="282" t="s">
        <v>1400</v>
      </c>
      <c r="O626" s="238" t="s">
        <v>1801</v>
      </c>
      <c r="P626" s="64" t="str">
        <f ca="1">IF(AND(OR(INDIRECT("K" &amp; ROW())="NAV-Premium",INDIRECT("K" &amp; ROW())="DA-Premium"),INDIRECT("M" &amp; ROW())="PARTITION_SCHEMA128__NavPiviJpn", INDIRECT("O" &amp; ROW())="JPN_SDB"),'SDB vs GN'!$B$41, IF(INDIRECT("H" &amp; ROW())="Chenc",'SDB vs GN'!$B$40, VLOOKUP(INDIRECT("O" &amp; ROW()),'SDB vs GN'!$A$16:$B$38,2,FALSE)))</f>
        <v>GCN1_JP_KR_LA_NA</v>
      </c>
      <c r="Q626" s="297" t="s">
        <v>1903</v>
      </c>
      <c r="R626" s="298" t="s">
        <v>1228</v>
      </c>
      <c r="S626" s="340" t="s">
        <v>10</v>
      </c>
      <c r="T626" s="367" t="s">
        <v>450</v>
      </c>
      <c r="U626" s="332" t="s">
        <v>816</v>
      </c>
      <c r="V626" s="308" t="s">
        <v>1989</v>
      </c>
      <c r="W626" s="298" t="s">
        <v>447</v>
      </c>
      <c r="X626" s="64" t="s">
        <v>521</v>
      </c>
      <c r="Y626" s="282" t="s">
        <v>1556</v>
      </c>
      <c r="Z626" s="282" t="s">
        <v>1593</v>
      </c>
      <c r="AA626" s="299"/>
      <c r="AB626" s="300" t="s">
        <v>225</v>
      </c>
      <c r="AC626" s="301" t="s">
        <v>2159</v>
      </c>
      <c r="AD626" s="302" t="s">
        <v>1042</v>
      </c>
      <c r="AE626" s="302" t="s">
        <v>2043</v>
      </c>
      <c r="AF626" s="302"/>
      <c r="AG626" s="302"/>
      <c r="AH626" s="302" t="s">
        <v>2160</v>
      </c>
    </row>
    <row r="627" spans="1:34" ht="409.6">
      <c r="A627" s="51">
        <v>4157</v>
      </c>
      <c r="B627" s="81" t="str">
        <f t="shared" si="36"/>
        <v>103D</v>
      </c>
      <c r="C627" s="329" t="s">
        <v>2136</v>
      </c>
      <c r="D627" s="295" t="s">
        <v>1934</v>
      </c>
      <c r="E627" s="295" t="s">
        <v>1977</v>
      </c>
      <c r="F627" s="371" t="s">
        <v>1230</v>
      </c>
      <c r="G627" s="252" t="s">
        <v>1918</v>
      </c>
      <c r="H627" s="282" t="s">
        <v>637</v>
      </c>
      <c r="I627" s="295" t="s">
        <v>815</v>
      </c>
      <c r="J627" s="282" t="s">
        <v>0</v>
      </c>
      <c r="K627" s="282" t="s">
        <v>452</v>
      </c>
      <c r="L627" s="297" t="s">
        <v>2318</v>
      </c>
      <c r="M627" s="282" t="s">
        <v>1401</v>
      </c>
      <c r="N627" s="282" t="s">
        <v>1400</v>
      </c>
      <c r="O627" s="304" t="s">
        <v>1802</v>
      </c>
      <c r="P627" s="64" t="str">
        <f ca="1">IF(AND(OR(INDIRECT("K" &amp; ROW())="NAV-Premium",INDIRECT("K" &amp; ROW())="DA-Premium"),INDIRECT("M" &amp; ROW())="PARTITION_SCHEMA128__NavPiviJpn", INDIRECT("O" &amp; ROW())="JPN_SDB"),'SDB vs GN'!$B$41, IF(INDIRECT("H" &amp; ROW())="Chenc",'SDB vs GN'!$B$40, VLOOKUP(INDIRECT("O" &amp; ROW()),'SDB vs GN'!$A$16:$B$38,2,FALSE)))</f>
        <v>GCN2_CN_EU_NA</v>
      </c>
      <c r="Q627" s="297" t="s">
        <v>1903</v>
      </c>
      <c r="R627" s="298" t="s">
        <v>1229</v>
      </c>
      <c r="S627" s="340" t="s">
        <v>10</v>
      </c>
      <c r="T627" s="295" t="s">
        <v>449</v>
      </c>
      <c r="U627" s="332" t="s">
        <v>816</v>
      </c>
      <c r="V627" s="342" t="s">
        <v>1988</v>
      </c>
      <c r="W627" s="298" t="s">
        <v>447</v>
      </c>
      <c r="X627" s="64" t="s">
        <v>521</v>
      </c>
      <c r="Y627" s="282" t="s">
        <v>1556</v>
      </c>
      <c r="Z627" s="282" t="s">
        <v>1593</v>
      </c>
      <c r="AA627" s="299"/>
      <c r="AB627" s="300" t="s">
        <v>225</v>
      </c>
      <c r="AC627" s="301" t="s">
        <v>2806</v>
      </c>
      <c r="AD627" s="302" t="s">
        <v>1042</v>
      </c>
      <c r="AE627" s="302" t="s">
        <v>2502</v>
      </c>
      <c r="AF627" s="302"/>
      <c r="AG627" s="302"/>
      <c r="AH627" s="302" t="s">
        <v>2805</v>
      </c>
    </row>
    <row r="628" spans="1:34" ht="409.6">
      <c r="A628" s="51">
        <v>4158</v>
      </c>
      <c r="B628" s="81" t="str">
        <f t="shared" si="36"/>
        <v>103E</v>
      </c>
      <c r="C628" s="329" t="s">
        <v>1438</v>
      </c>
      <c r="D628" s="295" t="s">
        <v>1934</v>
      </c>
      <c r="E628" s="295" t="s">
        <v>1977</v>
      </c>
      <c r="F628" s="335" t="s">
        <v>1927</v>
      </c>
      <c r="G628" s="335" t="s">
        <v>1913</v>
      </c>
      <c r="H628" s="282" t="s">
        <v>637</v>
      </c>
      <c r="I628" s="295" t="s">
        <v>5</v>
      </c>
      <c r="J628" s="282" t="s">
        <v>0</v>
      </c>
      <c r="K628" s="282" t="s">
        <v>452</v>
      </c>
      <c r="L628" s="297" t="s">
        <v>2318</v>
      </c>
      <c r="M628" s="282" t="s">
        <v>1496</v>
      </c>
      <c r="N628" s="282" t="s">
        <v>1215</v>
      </c>
      <c r="O628" s="238" t="s">
        <v>1801</v>
      </c>
      <c r="P628" s="64" t="str">
        <f ca="1">IF(AND(OR(INDIRECT("K" &amp; ROW())="NAV-Premium",INDIRECT("K" &amp; ROW())="DA-Premium"),INDIRECT("M" &amp; ROW())="PARTITION_SCHEMA128__NavPiviJpn", INDIRECT("O" &amp; ROW())="JPN_SDB"),'SDB vs GN'!$B$41, IF(INDIRECT("H" &amp; ROW())="Chenc",'SDB vs GN'!$B$40, VLOOKUP(INDIRECT("O" &amp; ROW()),'SDB vs GN'!$A$16:$B$38,2,FALSE)))</f>
        <v>GCN1_JP_KR_LA_NA</v>
      </c>
      <c r="Q628" s="297" t="s">
        <v>1903</v>
      </c>
      <c r="R628" s="298" t="s">
        <v>1354</v>
      </c>
      <c r="S628" s="340" t="s">
        <v>10</v>
      </c>
      <c r="T628" s="295" t="s">
        <v>449</v>
      </c>
      <c r="U628" s="332" t="s">
        <v>816</v>
      </c>
      <c r="V628" s="308" t="s">
        <v>615</v>
      </c>
      <c r="W628" s="298" t="s">
        <v>447</v>
      </c>
      <c r="X628" s="297" t="s">
        <v>362</v>
      </c>
      <c r="Y628" s="282" t="s">
        <v>1556</v>
      </c>
      <c r="Z628" s="282" t="s">
        <v>1593</v>
      </c>
      <c r="AA628" s="299"/>
      <c r="AB628" s="300" t="s">
        <v>225</v>
      </c>
      <c r="AC628" s="301" t="s">
        <v>2789</v>
      </c>
      <c r="AD628" s="302" t="s">
        <v>1042</v>
      </c>
      <c r="AE628" s="302" t="s">
        <v>2307</v>
      </c>
      <c r="AF628" s="302"/>
      <c r="AG628" s="302"/>
      <c r="AH628" s="302" t="s">
        <v>2790</v>
      </c>
    </row>
    <row r="629" spans="1:34" ht="409.6">
      <c r="A629" s="51">
        <v>4159</v>
      </c>
      <c r="B629" s="81" t="str">
        <f t="shared" si="36"/>
        <v>103F</v>
      </c>
      <c r="C629" s="329" t="s">
        <v>1754</v>
      </c>
      <c r="D629" s="295" t="s">
        <v>1934</v>
      </c>
      <c r="E629" s="295" t="s">
        <v>1977</v>
      </c>
      <c r="F629" s="372" t="s">
        <v>1315</v>
      </c>
      <c r="G629" s="115" t="s">
        <v>1914</v>
      </c>
      <c r="H629" s="282" t="s">
        <v>637</v>
      </c>
      <c r="I629" s="295" t="s">
        <v>815</v>
      </c>
      <c r="J629" s="282" t="s">
        <v>0</v>
      </c>
      <c r="K629" s="282" t="s">
        <v>454</v>
      </c>
      <c r="L629" s="360" t="s">
        <v>1306</v>
      </c>
      <c r="M629" s="282" t="s">
        <v>1401</v>
      </c>
      <c r="N629" s="282" t="s">
        <v>1400</v>
      </c>
      <c r="O629" s="296" t="s">
        <v>1806</v>
      </c>
      <c r="P629" s="64" t="str">
        <f ca="1">IF(AND(OR(INDIRECT("K" &amp; ROW())="NAV-Premium",INDIRECT("K" &amp; ROW())="DA-Premium"),INDIRECT("M" &amp; ROW())="PARTITION_SCHEMA128__NavPiviJpn", INDIRECT("O" &amp; ROW())="JPN_SDB"),'SDB vs GN'!$B$41, IF(INDIRECT("H" &amp; ROW())="Chenc",'SDB vs GN'!$B$40, VLOOKUP(INDIRECT("O" &amp; ROW()),'SDB vs GN'!$A$16:$B$38,2,FALSE)))</f>
        <v>GCN1_JP_KR_LA_NA</v>
      </c>
      <c r="Q629" s="297" t="s">
        <v>1903</v>
      </c>
      <c r="R629" s="298" t="s">
        <v>1228</v>
      </c>
      <c r="S629" s="340" t="s">
        <v>10</v>
      </c>
      <c r="T629" s="367" t="s">
        <v>450</v>
      </c>
      <c r="U629" s="332" t="s">
        <v>816</v>
      </c>
      <c r="V629" s="308" t="s">
        <v>604</v>
      </c>
      <c r="W629" s="298" t="s">
        <v>447</v>
      </c>
      <c r="X629" s="297" t="s">
        <v>521</v>
      </c>
      <c r="Y629" s="283" t="s">
        <v>1556</v>
      </c>
      <c r="Z629" s="282" t="s">
        <v>1593</v>
      </c>
      <c r="AA629" s="299"/>
      <c r="AB629" s="300" t="s">
        <v>225</v>
      </c>
      <c r="AC629" s="301" t="s">
        <v>2792</v>
      </c>
      <c r="AD629" s="302" t="s">
        <v>1042</v>
      </c>
      <c r="AE629" s="382" t="s">
        <v>2043</v>
      </c>
      <c r="AF629" s="302"/>
      <c r="AG629" s="302"/>
      <c r="AH629" s="302" t="s">
        <v>2791</v>
      </c>
    </row>
    <row r="630" spans="1:34" ht="409.6">
      <c r="A630" s="51">
        <v>4160</v>
      </c>
      <c r="B630" s="81" t="str">
        <f t="shared" si="36"/>
        <v>1040</v>
      </c>
      <c r="C630" s="329" t="s">
        <v>1761</v>
      </c>
      <c r="D630" s="295" t="s">
        <v>1933</v>
      </c>
      <c r="E630" s="295" t="s">
        <v>1977</v>
      </c>
      <c r="F630" s="373" t="s">
        <v>1408</v>
      </c>
      <c r="G630" s="167" t="s">
        <v>1915</v>
      </c>
      <c r="H630" s="282" t="s">
        <v>637</v>
      </c>
      <c r="I630" s="314" t="s">
        <v>4</v>
      </c>
      <c r="J630" s="282" t="s">
        <v>0</v>
      </c>
      <c r="K630" s="282" t="s">
        <v>478</v>
      </c>
      <c r="L630" s="360" t="s">
        <v>1306</v>
      </c>
      <c r="M630" s="282" t="s">
        <v>1403</v>
      </c>
      <c r="N630" s="282" t="s">
        <v>1215</v>
      </c>
      <c r="O630" s="296" t="s">
        <v>1806</v>
      </c>
      <c r="P630" s="64" t="str">
        <f ca="1">IF(AND(OR(INDIRECT("K" &amp; ROW())="NAV-Premium",INDIRECT("K" &amp; ROW())="DA-Premium"),INDIRECT("M" &amp; ROW())="PARTITION_SCHEMA128__NavPiviJpn", INDIRECT("O" &amp; ROW())="JPN_SDB"),'SDB vs GN'!$B$41, IF(INDIRECT("H" &amp; ROW())="Chenc",'SDB vs GN'!$B$40, VLOOKUP(INDIRECT("O" &amp; ROW()),'SDB vs GN'!$A$16:$B$38,2,FALSE)))</f>
        <v>GCN1_JP_KR_LA_NA</v>
      </c>
      <c r="Q630" s="297" t="s">
        <v>1903</v>
      </c>
      <c r="R630" s="298" t="s">
        <v>1228</v>
      </c>
      <c r="S630" s="340" t="s">
        <v>10</v>
      </c>
      <c r="T630" s="367" t="s">
        <v>450</v>
      </c>
      <c r="U630" s="332" t="s">
        <v>816</v>
      </c>
      <c r="V630" s="308" t="s">
        <v>7</v>
      </c>
      <c r="W630" s="298" t="s">
        <v>447</v>
      </c>
      <c r="X630" s="64" t="s">
        <v>521</v>
      </c>
      <c r="Y630" s="283" t="s">
        <v>1556</v>
      </c>
      <c r="Z630" s="282" t="s">
        <v>1592</v>
      </c>
      <c r="AA630" s="299"/>
      <c r="AB630" s="300" t="s">
        <v>225</v>
      </c>
      <c r="AC630" s="301" t="s">
        <v>2799</v>
      </c>
      <c r="AD630" s="302" t="s">
        <v>1042</v>
      </c>
      <c r="AE630" s="302" t="s">
        <v>2044</v>
      </c>
      <c r="AF630" s="302"/>
      <c r="AG630" s="302"/>
      <c r="AH630" s="302" t="s">
        <v>2800</v>
      </c>
    </row>
    <row r="631" spans="1:34" ht="171.6">
      <c r="A631" s="51">
        <v>4161</v>
      </c>
      <c r="B631" s="81" t="str">
        <f t="shared" si="36"/>
        <v>1041</v>
      </c>
      <c r="C631" s="329" t="s">
        <v>1756</v>
      </c>
      <c r="D631" s="295" t="s">
        <v>1934</v>
      </c>
      <c r="E631" s="295" t="s">
        <v>1977</v>
      </c>
      <c r="F631" s="372" t="s">
        <v>1315</v>
      </c>
      <c r="G631" s="115" t="s">
        <v>1914</v>
      </c>
      <c r="H631" s="282" t="s">
        <v>637</v>
      </c>
      <c r="I631" s="295" t="s">
        <v>815</v>
      </c>
      <c r="J631" s="282" t="s">
        <v>0</v>
      </c>
      <c r="K631" s="282" t="s">
        <v>454</v>
      </c>
      <c r="L631" s="360" t="s">
        <v>1306</v>
      </c>
      <c r="M631" s="282" t="s">
        <v>1401</v>
      </c>
      <c r="N631" s="282" t="s">
        <v>1400</v>
      </c>
      <c r="O631" s="238" t="s">
        <v>1804</v>
      </c>
      <c r="P631" s="64" t="str">
        <f ca="1">IF(AND(OR(INDIRECT("K" &amp; ROW())="NAV-Premium",INDIRECT("K" &amp; ROW())="DA-Premium"),INDIRECT("M" &amp; ROW())="PARTITION_SCHEMA128__NavPiviJpn", INDIRECT("O" &amp; ROW())="JPN_SDB"),'SDB vs GN'!$B$41, IF(INDIRECT("H" &amp; ROW())="Chenc",'SDB vs GN'!$B$40, VLOOKUP(INDIRECT("O" &amp; ROW()),'SDB vs GN'!$A$16:$B$38,2,FALSE)))</f>
        <v>GCN2_CN_EU_NA</v>
      </c>
      <c r="Q631" s="297" t="s">
        <v>1903</v>
      </c>
      <c r="R631" s="298" t="s">
        <v>1229</v>
      </c>
      <c r="S631" s="340" t="s">
        <v>10</v>
      </c>
      <c r="T631" s="295" t="s">
        <v>449</v>
      </c>
      <c r="U631" s="332" t="s">
        <v>816</v>
      </c>
      <c r="V631" s="308" t="s">
        <v>599</v>
      </c>
      <c r="W631" s="298" t="s">
        <v>447</v>
      </c>
      <c r="X631" s="297" t="s">
        <v>521</v>
      </c>
      <c r="Y631" s="282" t="s">
        <v>1556</v>
      </c>
      <c r="Z631" s="282" t="s">
        <v>1593</v>
      </c>
      <c r="AA631" s="299"/>
      <c r="AB631" s="300" t="s">
        <v>225</v>
      </c>
      <c r="AC631" s="301" t="s">
        <v>2798</v>
      </c>
      <c r="AD631" s="302" t="s">
        <v>1042</v>
      </c>
      <c r="AE631" s="382" t="s">
        <v>2049</v>
      </c>
      <c r="AF631" s="302"/>
      <c r="AG631" s="302"/>
      <c r="AH631" s="302" t="s">
        <v>2797</v>
      </c>
    </row>
    <row r="632" spans="1:34" ht="132">
      <c r="A632" s="51">
        <v>4162</v>
      </c>
      <c r="B632" s="81" t="str">
        <f t="shared" si="36"/>
        <v>1042</v>
      </c>
      <c r="C632" s="329" t="s">
        <v>1929</v>
      </c>
      <c r="D632" s="295" t="s">
        <v>1933</v>
      </c>
      <c r="E632" s="295" t="s">
        <v>1977</v>
      </c>
      <c r="F632" s="373" t="s">
        <v>1408</v>
      </c>
      <c r="G632" s="167" t="s">
        <v>1915</v>
      </c>
      <c r="H632" s="282" t="s">
        <v>637</v>
      </c>
      <c r="I632" s="314" t="s">
        <v>4</v>
      </c>
      <c r="J632" s="282" t="s">
        <v>0</v>
      </c>
      <c r="K632" s="282" t="s">
        <v>478</v>
      </c>
      <c r="L632" s="360" t="s">
        <v>1306</v>
      </c>
      <c r="M632" s="282" t="s">
        <v>1403</v>
      </c>
      <c r="N632" s="282" t="s">
        <v>1215</v>
      </c>
      <c r="O632" s="238" t="s">
        <v>1804</v>
      </c>
      <c r="P632" s="64" t="str">
        <f ca="1">IF(AND(OR(INDIRECT("K" &amp; ROW())="NAV-Premium",INDIRECT("K" &amp; ROW())="DA-Premium"),INDIRECT("M" &amp; ROW())="PARTITION_SCHEMA128__NavPiviJpn", INDIRECT("O" &amp; ROW())="JPN_SDB"),'SDB vs GN'!$B$41, IF(INDIRECT("H" &amp; ROW())="Chenc",'SDB vs GN'!$B$40, VLOOKUP(INDIRECT("O" &amp; ROW()),'SDB vs GN'!$A$16:$B$38,2,FALSE)))</f>
        <v>GCN2_CN_EU_NA</v>
      </c>
      <c r="Q632" s="297" t="s">
        <v>1903</v>
      </c>
      <c r="R632" s="298" t="s">
        <v>1229</v>
      </c>
      <c r="S632" s="340" t="s">
        <v>10</v>
      </c>
      <c r="T632" s="295" t="s">
        <v>449</v>
      </c>
      <c r="U632" s="332" t="s">
        <v>816</v>
      </c>
      <c r="V632" s="308" t="s">
        <v>7</v>
      </c>
      <c r="W632" s="298" t="s">
        <v>447</v>
      </c>
      <c r="X632" s="64" t="s">
        <v>521</v>
      </c>
      <c r="Y632" s="282" t="s">
        <v>1556</v>
      </c>
      <c r="Z632" s="282" t="s">
        <v>1592</v>
      </c>
      <c r="AA632" s="299"/>
      <c r="AB632" s="300" t="s">
        <v>225</v>
      </c>
      <c r="AC632" s="301" t="s">
        <v>2795</v>
      </c>
      <c r="AD632" s="302" t="s">
        <v>1042</v>
      </c>
      <c r="AE632" s="302" t="s">
        <v>2078</v>
      </c>
      <c r="AF632" s="302"/>
      <c r="AG632" s="302"/>
      <c r="AH632" s="302" t="s">
        <v>2796</v>
      </c>
    </row>
    <row r="633" spans="1:34" ht="105.6">
      <c r="A633" s="51">
        <v>4163</v>
      </c>
      <c r="B633" s="81" t="str">
        <f t="shared" si="36"/>
        <v>1043</v>
      </c>
      <c r="C633" s="329" t="s">
        <v>2668</v>
      </c>
      <c r="D633" s="295" t="s">
        <v>1933</v>
      </c>
      <c r="E633" s="295" t="s">
        <v>1977</v>
      </c>
      <c r="F633" s="373" t="s">
        <v>1408</v>
      </c>
      <c r="G633" s="167" t="s">
        <v>1915</v>
      </c>
      <c r="H633" s="282" t="s">
        <v>637</v>
      </c>
      <c r="I633" s="314" t="s">
        <v>4</v>
      </c>
      <c r="J633" s="282" t="s">
        <v>0</v>
      </c>
      <c r="K633" s="282" t="s">
        <v>478</v>
      </c>
      <c r="L633" s="360" t="s">
        <v>1306</v>
      </c>
      <c r="M633" s="282" t="s">
        <v>1403</v>
      </c>
      <c r="N633" s="282" t="s">
        <v>1215</v>
      </c>
      <c r="O633" s="296" t="s">
        <v>1803</v>
      </c>
      <c r="P633" s="64" t="str">
        <f ca="1">IF(AND(OR(INDIRECT("K" &amp; ROW())="NAV-Premium",INDIRECT("K" &amp; ROW())="DA-Premium"),INDIRECT("M" &amp; ROW())="PARTITION_SCHEMA128__NavPiviJpn", INDIRECT("O" &amp; ROW())="JPN_SDB"),'SDB vs GN'!$B$41, IF(INDIRECT("H" &amp; ROW())="Chenc",'SDB vs GN'!$B$40, VLOOKUP(INDIRECT("O" &amp; ROW()),'SDB vs GN'!$A$16:$B$38,2,FALSE)))</f>
        <v>GCN3_CN_LA_NA</v>
      </c>
      <c r="Q633" s="297" t="s">
        <v>1903</v>
      </c>
      <c r="R633" s="298" t="s">
        <v>1398</v>
      </c>
      <c r="S633" s="340" t="s">
        <v>10</v>
      </c>
      <c r="T633" s="295" t="s">
        <v>449</v>
      </c>
      <c r="U633" s="332" t="s">
        <v>816</v>
      </c>
      <c r="V633" s="308" t="s">
        <v>7</v>
      </c>
      <c r="W633" s="298" t="s">
        <v>447</v>
      </c>
      <c r="X633" s="297" t="s">
        <v>521</v>
      </c>
      <c r="Y633" s="282" t="s">
        <v>1556</v>
      </c>
      <c r="Z633" s="282" t="s">
        <v>1592</v>
      </c>
      <c r="AA633" s="299"/>
      <c r="AB633" s="300" t="s">
        <v>225</v>
      </c>
      <c r="AC633" s="301" t="s">
        <v>2929</v>
      </c>
      <c r="AD633" s="302" t="s">
        <v>1042</v>
      </c>
      <c r="AE633" s="382" t="s">
        <v>2045</v>
      </c>
      <c r="AF633" s="302"/>
      <c r="AG633" s="302"/>
      <c r="AH633" s="302" t="s">
        <v>2930</v>
      </c>
    </row>
    <row r="634" spans="1:34" ht="211.2">
      <c r="A634" s="51">
        <v>4164</v>
      </c>
      <c r="B634" s="81" t="str">
        <f t="shared" si="36"/>
        <v>1044</v>
      </c>
      <c r="C634" s="329" t="s">
        <v>1760</v>
      </c>
      <c r="D634" s="295" t="s">
        <v>1933</v>
      </c>
      <c r="E634" s="295" t="s">
        <v>1977</v>
      </c>
      <c r="F634" s="373" t="s">
        <v>1408</v>
      </c>
      <c r="G634" s="167" t="s">
        <v>1915</v>
      </c>
      <c r="H634" s="282" t="s">
        <v>637</v>
      </c>
      <c r="I634" s="314" t="s">
        <v>4</v>
      </c>
      <c r="J634" s="282" t="s">
        <v>0</v>
      </c>
      <c r="K634" s="282" t="s">
        <v>478</v>
      </c>
      <c r="L634" s="360" t="s">
        <v>1306</v>
      </c>
      <c r="M634" s="282" t="s">
        <v>1403</v>
      </c>
      <c r="N634" s="282" t="s">
        <v>1215</v>
      </c>
      <c r="O634" s="296" t="s">
        <v>1806</v>
      </c>
      <c r="P634" s="64" t="str">
        <f ca="1">IF(AND(OR(INDIRECT("K" &amp; ROW())="NAV-Premium",INDIRECT("K" &amp; ROW())="DA-Premium"),INDIRECT("M" &amp; ROW())="PARTITION_SCHEMA128__NavPiviJpn", INDIRECT("O" &amp; ROW())="JPN_SDB"),'SDB vs GN'!$B$41, IF(INDIRECT("H" &amp; ROW())="Chenc",'SDB vs GN'!$B$40, VLOOKUP(INDIRECT("O" &amp; ROW()),'SDB vs GN'!$A$16:$B$38,2,FALSE)))</f>
        <v>GCN1_JP_KR_LA_NA</v>
      </c>
      <c r="Q634" s="297" t="s">
        <v>1903</v>
      </c>
      <c r="R634" s="298" t="s">
        <v>1228</v>
      </c>
      <c r="S634" s="340" t="s">
        <v>10</v>
      </c>
      <c r="T634" s="295" t="s">
        <v>449</v>
      </c>
      <c r="U634" s="332" t="s">
        <v>816</v>
      </c>
      <c r="V634" s="308" t="s">
        <v>7</v>
      </c>
      <c r="W634" s="298" t="s">
        <v>447</v>
      </c>
      <c r="X634" s="64" t="s">
        <v>521</v>
      </c>
      <c r="Y634" s="282" t="s">
        <v>1556</v>
      </c>
      <c r="Z634" s="282" t="s">
        <v>1592</v>
      </c>
      <c r="AA634" s="299"/>
      <c r="AB634" s="300" t="s">
        <v>225</v>
      </c>
      <c r="AC634" s="302" t="s">
        <v>2928</v>
      </c>
      <c r="AD634" s="302" t="s">
        <v>1042</v>
      </c>
      <c r="AE634" s="301" t="s">
        <v>2077</v>
      </c>
      <c r="AF634" s="302"/>
      <c r="AG634" s="302"/>
      <c r="AH634" s="302" t="s">
        <v>2939</v>
      </c>
    </row>
    <row r="635" spans="1:34" ht="184.8">
      <c r="A635" s="51">
        <v>4165</v>
      </c>
      <c r="B635" s="81" t="str">
        <f t="shared" si="36"/>
        <v>1045</v>
      </c>
      <c r="C635" s="329" t="s">
        <v>1762</v>
      </c>
      <c r="D635" s="295" t="s">
        <v>1934</v>
      </c>
      <c r="E635" s="295" t="s">
        <v>1977</v>
      </c>
      <c r="F635" s="372" t="s">
        <v>1315</v>
      </c>
      <c r="G635" s="115" t="s">
        <v>1914</v>
      </c>
      <c r="H635" s="282" t="s">
        <v>637</v>
      </c>
      <c r="I635" s="295" t="s">
        <v>815</v>
      </c>
      <c r="J635" s="282" t="s">
        <v>0</v>
      </c>
      <c r="K635" s="282" t="s">
        <v>454</v>
      </c>
      <c r="L635" s="360" t="s">
        <v>1306</v>
      </c>
      <c r="M635" s="282" t="s">
        <v>1401</v>
      </c>
      <c r="N635" s="282" t="s">
        <v>1400</v>
      </c>
      <c r="O635" s="296" t="s">
        <v>1806</v>
      </c>
      <c r="P635" s="64" t="str">
        <f ca="1">IF(AND(OR(INDIRECT("K" &amp; ROW())="NAV-Premium",INDIRECT("K" &amp; ROW())="DA-Premium"),INDIRECT("M" &amp; ROW())="PARTITION_SCHEMA128__NavPiviJpn", INDIRECT("O" &amp; ROW())="JPN_SDB"),'SDB vs GN'!$B$41, IF(INDIRECT("H" &amp; ROW())="Chenc",'SDB vs GN'!$B$40, VLOOKUP(INDIRECT("O" &amp; ROW()),'SDB vs GN'!$A$16:$B$38,2,FALSE)))</f>
        <v>GCN1_JP_KR_LA_NA</v>
      </c>
      <c r="Q635" s="297" t="s">
        <v>1903</v>
      </c>
      <c r="R635" s="298" t="s">
        <v>1228</v>
      </c>
      <c r="S635" s="340" t="s">
        <v>10</v>
      </c>
      <c r="T635" s="295" t="s">
        <v>449</v>
      </c>
      <c r="U635" s="332" t="s">
        <v>816</v>
      </c>
      <c r="V635" s="308" t="s">
        <v>604</v>
      </c>
      <c r="W635" s="298" t="s">
        <v>447</v>
      </c>
      <c r="X635" s="297" t="s">
        <v>521</v>
      </c>
      <c r="Y635" s="282" t="s">
        <v>1556</v>
      </c>
      <c r="Z635" s="282" t="s">
        <v>1593</v>
      </c>
      <c r="AA635" s="299"/>
      <c r="AB635" s="300" t="s">
        <v>225</v>
      </c>
      <c r="AC635" s="301" t="s">
        <v>2649</v>
      </c>
      <c r="AD635" s="302" t="s">
        <v>1042</v>
      </c>
      <c r="AE635" s="382" t="s">
        <v>2043</v>
      </c>
      <c r="AF635" s="302"/>
      <c r="AG635" s="302"/>
      <c r="AH635" s="302" t="s">
        <v>2648</v>
      </c>
    </row>
    <row r="636" spans="1:34" ht="105.6">
      <c r="A636" s="51">
        <v>4166</v>
      </c>
      <c r="B636" s="81" t="str">
        <f t="shared" si="36"/>
        <v>1046</v>
      </c>
      <c r="C636" s="329" t="s">
        <v>1768</v>
      </c>
      <c r="D636" s="295" t="s">
        <v>1934</v>
      </c>
      <c r="E636" s="295" t="s">
        <v>1977</v>
      </c>
      <c r="F636" s="372" t="s">
        <v>1315</v>
      </c>
      <c r="G636" s="115" t="s">
        <v>1914</v>
      </c>
      <c r="H636" s="282" t="s">
        <v>637</v>
      </c>
      <c r="I636" s="295" t="s">
        <v>815</v>
      </c>
      <c r="J636" s="282" t="s">
        <v>0</v>
      </c>
      <c r="K636" s="282" t="s">
        <v>454</v>
      </c>
      <c r="L636" s="360" t="s">
        <v>1306</v>
      </c>
      <c r="M636" s="282" t="s">
        <v>1401</v>
      </c>
      <c r="N636" s="282" t="s">
        <v>1400</v>
      </c>
      <c r="O636" s="296" t="s">
        <v>1806</v>
      </c>
      <c r="P636" s="64" t="str">
        <f ca="1">IF(AND(OR(INDIRECT("K" &amp; ROW())="NAV-Premium",INDIRECT("K" &amp; ROW())="DA-Premium"),INDIRECT("M" &amp; ROW())="PARTITION_SCHEMA128__NavPiviJpn", INDIRECT("O" &amp; ROW())="JPN_SDB"),'SDB vs GN'!$B$41, IF(INDIRECT("H" &amp; ROW())="Chenc",'SDB vs GN'!$B$40, VLOOKUP(INDIRECT("O" &amp; ROW()),'SDB vs GN'!$A$16:$B$38,2,FALSE)))</f>
        <v>GCN1_JP_KR_LA_NA</v>
      </c>
      <c r="Q636" s="297" t="s">
        <v>1903</v>
      </c>
      <c r="R636" s="298" t="s">
        <v>1398</v>
      </c>
      <c r="S636" s="340" t="s">
        <v>10</v>
      </c>
      <c r="T636" s="295" t="s">
        <v>449</v>
      </c>
      <c r="U636" s="332" t="s">
        <v>816</v>
      </c>
      <c r="V636" s="342" t="s">
        <v>951</v>
      </c>
      <c r="W636" s="298" t="s">
        <v>447</v>
      </c>
      <c r="X636" s="64" t="s">
        <v>521</v>
      </c>
      <c r="Y636" s="282" t="s">
        <v>1556</v>
      </c>
      <c r="Z636" s="282" t="s">
        <v>1593</v>
      </c>
      <c r="AA636" s="299"/>
      <c r="AB636" s="300" t="s">
        <v>225</v>
      </c>
      <c r="AC636" s="301" t="s">
        <v>2794</v>
      </c>
      <c r="AD636" s="302" t="s">
        <v>1042</v>
      </c>
      <c r="AE636" s="382" t="s">
        <v>2051</v>
      </c>
      <c r="AF636" s="302"/>
      <c r="AG636" s="302"/>
      <c r="AH636" s="302" t="s">
        <v>2793</v>
      </c>
    </row>
    <row r="637" spans="1:34" ht="105.6">
      <c r="A637" s="51">
        <v>4167</v>
      </c>
      <c r="B637" s="81" t="str">
        <f t="shared" si="36"/>
        <v>1047</v>
      </c>
      <c r="C637" s="329" t="s">
        <v>1769</v>
      </c>
      <c r="D637" s="295" t="s">
        <v>1934</v>
      </c>
      <c r="E637" s="295" t="s">
        <v>1977</v>
      </c>
      <c r="F637" s="372" t="s">
        <v>1315</v>
      </c>
      <c r="G637" s="115" t="s">
        <v>1914</v>
      </c>
      <c r="H637" s="282" t="s">
        <v>637</v>
      </c>
      <c r="I637" s="295" t="s">
        <v>815</v>
      </c>
      <c r="J637" s="282" t="s">
        <v>0</v>
      </c>
      <c r="K637" s="282" t="s">
        <v>454</v>
      </c>
      <c r="L637" s="360" t="s">
        <v>1306</v>
      </c>
      <c r="M637" s="282" t="s">
        <v>1401</v>
      </c>
      <c r="N637" s="282" t="s">
        <v>1400</v>
      </c>
      <c r="O637" s="296" t="s">
        <v>1803</v>
      </c>
      <c r="P637" s="64" t="str">
        <f ca="1">IF(AND(OR(INDIRECT("K" &amp; ROW())="NAV-Premium",INDIRECT("K" &amp; ROW())="DA-Premium"),INDIRECT("M" &amp; ROW())="PARTITION_SCHEMA128__NavPiviJpn", INDIRECT("O" &amp; ROW())="JPN_SDB"),'SDB vs GN'!$B$41, IF(INDIRECT("H" &amp; ROW())="Chenc",'SDB vs GN'!$B$40, VLOOKUP(INDIRECT("O" &amp; ROW()),'SDB vs GN'!$A$16:$B$38,2,FALSE)))</f>
        <v>GCN3_CN_LA_NA</v>
      </c>
      <c r="Q637" s="297" t="s">
        <v>1903</v>
      </c>
      <c r="R637" s="298" t="s">
        <v>1398</v>
      </c>
      <c r="S637" s="340" t="s">
        <v>10</v>
      </c>
      <c r="T637" s="295" t="s">
        <v>449</v>
      </c>
      <c r="U637" s="332" t="s">
        <v>816</v>
      </c>
      <c r="V637" s="342" t="s">
        <v>833</v>
      </c>
      <c r="W637" s="298" t="s">
        <v>447</v>
      </c>
      <c r="X637" s="297" t="s">
        <v>521</v>
      </c>
      <c r="Y637" s="282" t="s">
        <v>1556</v>
      </c>
      <c r="Z637" s="282" t="s">
        <v>1593</v>
      </c>
      <c r="AA637" s="299"/>
      <c r="AB637" s="300" t="s">
        <v>225</v>
      </c>
      <c r="AC637" s="301" t="s">
        <v>2506</v>
      </c>
      <c r="AD637" s="302" t="s">
        <v>1042</v>
      </c>
      <c r="AE637" s="302" t="s">
        <v>2051</v>
      </c>
      <c r="AF637" s="302"/>
      <c r="AG637" s="302"/>
      <c r="AH637" s="302" t="s">
        <v>2505</v>
      </c>
    </row>
    <row r="638" spans="1:34" ht="105.6">
      <c r="A638" s="51">
        <v>4168</v>
      </c>
      <c r="B638" s="81" t="str">
        <f t="shared" si="36"/>
        <v>1048</v>
      </c>
      <c r="C638" s="329" t="s">
        <v>2089</v>
      </c>
      <c r="D638" s="295" t="s">
        <v>1933</v>
      </c>
      <c r="E638" s="295" t="s">
        <v>1977</v>
      </c>
      <c r="F638" s="373" t="s">
        <v>1408</v>
      </c>
      <c r="G638" s="167" t="s">
        <v>1915</v>
      </c>
      <c r="H638" s="282" t="s">
        <v>637</v>
      </c>
      <c r="I638" s="314" t="s">
        <v>4</v>
      </c>
      <c r="J638" s="282" t="s">
        <v>0</v>
      </c>
      <c r="K638" s="282" t="s">
        <v>478</v>
      </c>
      <c r="L638" s="360" t="s">
        <v>1306</v>
      </c>
      <c r="M638" s="282" t="s">
        <v>1403</v>
      </c>
      <c r="N638" s="282" t="s">
        <v>1215</v>
      </c>
      <c r="O638" s="296" t="s">
        <v>1803</v>
      </c>
      <c r="P638" s="64" t="str">
        <f ca="1">IF(AND(OR(INDIRECT("K" &amp; ROW())="NAV-Premium",INDIRECT("K" &amp; ROW())="DA-Premium"),INDIRECT("M" &amp; ROW())="PARTITION_SCHEMA128__NavPiviJpn", INDIRECT("O" &amp; ROW())="JPN_SDB"),'SDB vs GN'!$B$41, IF(INDIRECT("H" &amp; ROW())="Chenc",'SDB vs GN'!$B$40, VLOOKUP(INDIRECT("O" &amp; ROW()),'SDB vs GN'!$A$16:$B$38,2,FALSE)))</f>
        <v>GCN3_CN_LA_NA</v>
      </c>
      <c r="Q638" s="297" t="s">
        <v>1903</v>
      </c>
      <c r="R638" s="298" t="s">
        <v>1398</v>
      </c>
      <c r="S638" s="340" t="s">
        <v>10</v>
      </c>
      <c r="T638" s="295" t="s">
        <v>449</v>
      </c>
      <c r="U638" s="332" t="s">
        <v>816</v>
      </c>
      <c r="V638" s="308" t="s">
        <v>7</v>
      </c>
      <c r="W638" s="298" t="s">
        <v>447</v>
      </c>
      <c r="X638" s="64" t="s">
        <v>521</v>
      </c>
      <c r="Y638" s="282" t="s">
        <v>1556</v>
      </c>
      <c r="Z638" s="282" t="s">
        <v>1592</v>
      </c>
      <c r="AA638" s="299"/>
      <c r="AB638" s="300" t="s">
        <v>225</v>
      </c>
      <c r="AC638" s="301" t="s">
        <v>2576</v>
      </c>
      <c r="AD638" s="302" t="s">
        <v>1042</v>
      </c>
      <c r="AE638" s="302" t="s">
        <v>2075</v>
      </c>
      <c r="AF638" s="302"/>
      <c r="AG638" s="302"/>
      <c r="AH638" s="302" t="s">
        <v>2575</v>
      </c>
    </row>
    <row r="639" spans="1:34" ht="92.4">
      <c r="A639" s="51">
        <v>4169</v>
      </c>
      <c r="B639" s="81" t="str">
        <f t="shared" si="36"/>
        <v>1049</v>
      </c>
      <c r="C639" s="329" t="s">
        <v>1763</v>
      </c>
      <c r="D639" s="295" t="s">
        <v>1934</v>
      </c>
      <c r="E639" s="295" t="s">
        <v>1977</v>
      </c>
      <c r="F639" s="372" t="s">
        <v>1315</v>
      </c>
      <c r="G639" s="115" t="s">
        <v>1914</v>
      </c>
      <c r="H639" s="282" t="s">
        <v>637</v>
      </c>
      <c r="I639" s="295" t="s">
        <v>815</v>
      </c>
      <c r="J639" s="282" t="s">
        <v>0</v>
      </c>
      <c r="K639" s="282" t="s">
        <v>454</v>
      </c>
      <c r="L639" s="360" t="s">
        <v>1306</v>
      </c>
      <c r="M639" s="282" t="s">
        <v>1401</v>
      </c>
      <c r="N639" s="282" t="s">
        <v>1400</v>
      </c>
      <c r="O639" s="296" t="s">
        <v>1805</v>
      </c>
      <c r="P639" s="64" t="str">
        <f ca="1">IF(AND(OR(INDIRECT("K" &amp; ROW())="NAV-Premium",INDIRECT("K" &amp; ROW())="DA-Premium"),INDIRECT("M" &amp; ROW())="PARTITION_SCHEMA128__NavPiviJpn", INDIRECT("O" &amp; ROW())="JPN_SDB"),'SDB vs GN'!$B$41, IF(INDIRECT("H" &amp; ROW())="Chenc",'SDB vs GN'!$B$40, VLOOKUP(INDIRECT("O" &amp; ROW()),'SDB vs GN'!$A$16:$B$38,2,FALSE)))</f>
        <v>GCN2_CN_EU_NA</v>
      </c>
      <c r="Q639" s="297" t="s">
        <v>1903</v>
      </c>
      <c r="R639" s="298" t="s">
        <v>1229</v>
      </c>
      <c r="S639" s="340" t="s">
        <v>10</v>
      </c>
      <c r="T639" s="295" t="s">
        <v>449</v>
      </c>
      <c r="U639" s="332" t="s">
        <v>816</v>
      </c>
      <c r="V639" s="342" t="s">
        <v>831</v>
      </c>
      <c r="W639" s="298" t="s">
        <v>447</v>
      </c>
      <c r="X639" s="297" t="s">
        <v>521</v>
      </c>
      <c r="Y639" s="282" t="s">
        <v>1556</v>
      </c>
      <c r="Z639" s="282" t="s">
        <v>1593</v>
      </c>
      <c r="AA639" s="299"/>
      <c r="AB639" s="300" t="s">
        <v>225</v>
      </c>
      <c r="AC639" s="301" t="s">
        <v>2161</v>
      </c>
      <c r="AD639" s="302" t="s">
        <v>1042</v>
      </c>
      <c r="AE639" s="302" t="s">
        <v>2046</v>
      </c>
      <c r="AF639" s="302"/>
      <c r="AG639" s="302"/>
      <c r="AH639" s="302" t="s">
        <v>2162</v>
      </c>
    </row>
    <row r="640" spans="1:34" ht="105.6">
      <c r="A640" s="51">
        <v>4170</v>
      </c>
      <c r="B640" s="81" t="str">
        <f t="shared" si="36"/>
        <v>104A</v>
      </c>
      <c r="C640" s="329" t="s">
        <v>1764</v>
      </c>
      <c r="D640" s="295" t="s">
        <v>1934</v>
      </c>
      <c r="E640" s="295" t="s">
        <v>1977</v>
      </c>
      <c r="F640" s="372" t="s">
        <v>1315</v>
      </c>
      <c r="G640" s="115" t="s">
        <v>1914</v>
      </c>
      <c r="H640" s="282" t="s">
        <v>637</v>
      </c>
      <c r="I640" s="295" t="s">
        <v>815</v>
      </c>
      <c r="J640" s="282" t="s">
        <v>0</v>
      </c>
      <c r="K640" s="282" t="s">
        <v>454</v>
      </c>
      <c r="L640" s="360" t="s">
        <v>1306</v>
      </c>
      <c r="M640" s="282" t="s">
        <v>1401</v>
      </c>
      <c r="N640" s="282" t="s">
        <v>1400</v>
      </c>
      <c r="O640" s="238" t="s">
        <v>1804</v>
      </c>
      <c r="P640" s="64" t="str">
        <f ca="1">IF(AND(OR(INDIRECT("K" &amp; ROW())="NAV-Premium",INDIRECT("K" &amp; ROW())="DA-Premium"),INDIRECT("M" &amp; ROW())="PARTITION_SCHEMA128__NavPiviJpn", INDIRECT("O" &amp; ROW())="JPN_SDB"),'SDB vs GN'!$B$41, IF(INDIRECT("H" &amp; ROW())="Chenc",'SDB vs GN'!$B$40, VLOOKUP(INDIRECT("O" &amp; ROW()),'SDB vs GN'!$A$16:$B$38,2,FALSE)))</f>
        <v>GCN2_CN_EU_NA</v>
      </c>
      <c r="Q640" s="297" t="s">
        <v>1903</v>
      </c>
      <c r="R640" s="298" t="s">
        <v>1229</v>
      </c>
      <c r="S640" s="340" t="s">
        <v>10</v>
      </c>
      <c r="T640" s="295" t="s">
        <v>449</v>
      </c>
      <c r="U640" s="332" t="s">
        <v>816</v>
      </c>
      <c r="V640" s="342" t="s">
        <v>949</v>
      </c>
      <c r="W640" s="298" t="s">
        <v>447</v>
      </c>
      <c r="X640" s="64" t="s">
        <v>521</v>
      </c>
      <c r="Y640" s="282" t="s">
        <v>1556</v>
      </c>
      <c r="Z640" s="282" t="s">
        <v>1593</v>
      </c>
      <c r="AA640" s="299"/>
      <c r="AB640" s="300" t="s">
        <v>225</v>
      </c>
      <c r="AC640" s="301" t="s">
        <v>2508</v>
      </c>
      <c r="AD640" s="302" t="s">
        <v>1042</v>
      </c>
      <c r="AE640" s="302" t="s">
        <v>2047</v>
      </c>
      <c r="AF640" s="302"/>
      <c r="AG640" s="302"/>
      <c r="AH640" s="302" t="s">
        <v>2507</v>
      </c>
    </row>
    <row r="641" spans="1:34" ht="356.4">
      <c r="A641" s="51">
        <v>4171</v>
      </c>
      <c r="B641" s="81" t="str">
        <f t="shared" si="36"/>
        <v>104B</v>
      </c>
      <c r="C641" s="329" t="s">
        <v>1928</v>
      </c>
      <c r="D641" s="295" t="s">
        <v>1934</v>
      </c>
      <c r="E641" s="295" t="s">
        <v>1977</v>
      </c>
      <c r="F641" s="371" t="s">
        <v>1230</v>
      </c>
      <c r="G641" s="252" t="s">
        <v>1918</v>
      </c>
      <c r="H641" s="282" t="s">
        <v>637</v>
      </c>
      <c r="I641" s="295" t="s">
        <v>815</v>
      </c>
      <c r="J641" s="282" t="s">
        <v>0</v>
      </c>
      <c r="K641" s="282" t="s">
        <v>452</v>
      </c>
      <c r="L641" s="297" t="s">
        <v>2318</v>
      </c>
      <c r="M641" s="282" t="s">
        <v>1401</v>
      </c>
      <c r="N641" s="282" t="s">
        <v>1400</v>
      </c>
      <c r="O641" s="238" t="s">
        <v>1804</v>
      </c>
      <c r="P641" s="64" t="str">
        <f ca="1">IF(AND(OR(INDIRECT("K" &amp; ROW())="NAV-Premium",INDIRECT("K" &amp; ROW())="DA-Premium"),INDIRECT("M" &amp; ROW())="PARTITION_SCHEMA128__NavPiviJpn", INDIRECT("O" &amp; ROW())="JPN_SDB"),'SDB vs GN'!$B$41, IF(INDIRECT("H" &amp; ROW())="Chenc",'SDB vs GN'!$B$40, VLOOKUP(INDIRECT("O" &amp; ROW()),'SDB vs GN'!$A$16:$B$38,2,FALSE)))</f>
        <v>GCN2_CN_EU_NA</v>
      </c>
      <c r="Q641" s="297" t="s">
        <v>1903</v>
      </c>
      <c r="R641" s="298" t="s">
        <v>1229</v>
      </c>
      <c r="S641" s="340" t="s">
        <v>10</v>
      </c>
      <c r="T641" s="295" t="s">
        <v>449</v>
      </c>
      <c r="U641" s="332" t="s">
        <v>816</v>
      </c>
      <c r="V641" s="342" t="s">
        <v>1244</v>
      </c>
      <c r="W641" s="298" t="s">
        <v>447</v>
      </c>
      <c r="X641" s="297" t="s">
        <v>521</v>
      </c>
      <c r="Y641" s="282" t="s">
        <v>1556</v>
      </c>
      <c r="Z641" s="282" t="s">
        <v>1593</v>
      </c>
      <c r="AA641" s="299"/>
      <c r="AB641" s="300" t="s">
        <v>225</v>
      </c>
      <c r="AC641" s="301" t="s">
        <v>2661</v>
      </c>
      <c r="AD641" s="302" t="s">
        <v>1042</v>
      </c>
      <c r="AE641" s="302" t="s">
        <v>2048</v>
      </c>
      <c r="AF641" s="302"/>
      <c r="AG641" s="302"/>
      <c r="AH641" s="302" t="s">
        <v>2660</v>
      </c>
    </row>
    <row r="642" spans="1:34" ht="290.39999999999998">
      <c r="A642" s="51">
        <v>4172</v>
      </c>
      <c r="B642" s="81" t="str">
        <f t="shared" si="36"/>
        <v>104C</v>
      </c>
      <c r="C642" s="329" t="s">
        <v>1745</v>
      </c>
      <c r="D642" s="295" t="s">
        <v>1934</v>
      </c>
      <c r="E642" s="295" t="s">
        <v>1977</v>
      </c>
      <c r="F642" s="371" t="s">
        <v>1230</v>
      </c>
      <c r="G642" s="252" t="s">
        <v>1918</v>
      </c>
      <c r="H642" s="282" t="s">
        <v>637</v>
      </c>
      <c r="I642" s="295" t="s">
        <v>815</v>
      </c>
      <c r="J642" s="282" t="s">
        <v>0</v>
      </c>
      <c r="K642" s="282" t="s">
        <v>452</v>
      </c>
      <c r="L642" s="297" t="s">
        <v>2318</v>
      </c>
      <c r="M642" s="282" t="s">
        <v>1401</v>
      </c>
      <c r="N642" s="282" t="s">
        <v>1400</v>
      </c>
      <c r="O642" s="238" t="s">
        <v>1804</v>
      </c>
      <c r="P642" s="64" t="str">
        <f ca="1">IF(AND(OR(INDIRECT("K" &amp; ROW())="NAV-Premium",INDIRECT("K" &amp; ROW())="DA-Premium"),INDIRECT("M" &amp; ROW())="PARTITION_SCHEMA128__NavPiviJpn", INDIRECT("O" &amp; ROW())="JPN_SDB"),'SDB vs GN'!$B$41, IF(INDIRECT("H" &amp; ROW())="Chenc",'SDB vs GN'!$B$40, VLOOKUP(INDIRECT("O" &amp; ROW()),'SDB vs GN'!$A$16:$B$38,2,FALSE)))</f>
        <v>GCN2_CN_EU_NA</v>
      </c>
      <c r="Q642" s="297" t="s">
        <v>1903</v>
      </c>
      <c r="R642" s="298" t="s">
        <v>1229</v>
      </c>
      <c r="S642" s="340" t="s">
        <v>10</v>
      </c>
      <c r="T642" s="295" t="s">
        <v>449</v>
      </c>
      <c r="U642" s="332" t="s">
        <v>816</v>
      </c>
      <c r="V642" s="342" t="s">
        <v>931</v>
      </c>
      <c r="W642" s="298" t="s">
        <v>447</v>
      </c>
      <c r="X642" s="64" t="s">
        <v>521</v>
      </c>
      <c r="Y642" s="282" t="s">
        <v>1556</v>
      </c>
      <c r="Z642" s="282" t="s">
        <v>1593</v>
      </c>
      <c r="AA642" s="299"/>
      <c r="AB642" s="300" t="s">
        <v>225</v>
      </c>
      <c r="AC642" s="301" t="s">
        <v>2657</v>
      </c>
      <c r="AD642" s="302" t="s">
        <v>1042</v>
      </c>
      <c r="AE642" s="302" t="s">
        <v>2049</v>
      </c>
      <c r="AF642" s="302"/>
      <c r="AG642" s="302"/>
      <c r="AH642" s="302" t="s">
        <v>2656</v>
      </c>
    </row>
    <row r="643" spans="1:34" ht="369.6">
      <c r="A643" s="51">
        <v>4173</v>
      </c>
      <c r="B643" s="81" t="str">
        <f t="shared" si="36"/>
        <v>104D</v>
      </c>
      <c r="C643" s="329" t="s">
        <v>1751</v>
      </c>
      <c r="D643" s="295" t="s">
        <v>1934</v>
      </c>
      <c r="E643" s="295" t="s">
        <v>1977</v>
      </c>
      <c r="F643" s="371" t="s">
        <v>1230</v>
      </c>
      <c r="G643" s="252" t="s">
        <v>1918</v>
      </c>
      <c r="H643" s="282" t="s">
        <v>637</v>
      </c>
      <c r="I643" s="295" t="s">
        <v>815</v>
      </c>
      <c r="J643" s="282" t="s">
        <v>0</v>
      </c>
      <c r="K643" s="282" t="s">
        <v>452</v>
      </c>
      <c r="L643" s="297" t="s">
        <v>2318</v>
      </c>
      <c r="M643" s="282" t="s">
        <v>1401</v>
      </c>
      <c r="N643" s="282" t="s">
        <v>1400</v>
      </c>
      <c r="O643" s="296" t="s">
        <v>1806</v>
      </c>
      <c r="P643" s="64" t="str">
        <f ca="1">IF(AND(OR(INDIRECT("K" &amp; ROW())="NAV-Premium",INDIRECT("K" &amp; ROW())="DA-Premium"),INDIRECT("M" &amp; ROW())="PARTITION_SCHEMA128__NavPiviJpn", INDIRECT("O" &amp; ROW())="JPN_SDB"),'SDB vs GN'!$B$41, IF(INDIRECT("H" &amp; ROW())="Chenc",'SDB vs GN'!$B$40, VLOOKUP(INDIRECT("O" &amp; ROW()),'SDB vs GN'!$A$16:$B$38,2,FALSE)))</f>
        <v>GCN1_JP_KR_LA_NA</v>
      </c>
      <c r="Q643" s="297" t="s">
        <v>1903</v>
      </c>
      <c r="R643" s="298" t="s">
        <v>1229</v>
      </c>
      <c r="S643" s="340" t="s">
        <v>10</v>
      </c>
      <c r="T643" s="295" t="s">
        <v>449</v>
      </c>
      <c r="U643" s="332" t="s">
        <v>816</v>
      </c>
      <c r="V643" s="342" t="s">
        <v>930</v>
      </c>
      <c r="W643" s="298" t="s">
        <v>447</v>
      </c>
      <c r="X643" s="297" t="s">
        <v>521</v>
      </c>
      <c r="Y643" s="282" t="s">
        <v>1556</v>
      </c>
      <c r="Z643" s="282" t="s">
        <v>1593</v>
      </c>
      <c r="AA643" s="299"/>
      <c r="AB643" s="300" t="s">
        <v>225</v>
      </c>
      <c r="AC643" s="301" t="s">
        <v>2663</v>
      </c>
      <c r="AD643" s="302" t="s">
        <v>1042</v>
      </c>
      <c r="AE643" s="302" t="s">
        <v>2050</v>
      </c>
      <c r="AF643" s="302"/>
      <c r="AG643" s="302"/>
      <c r="AH643" s="302" t="s">
        <v>2662</v>
      </c>
    </row>
    <row r="644" spans="1:34" ht="39.6">
      <c r="A644" s="51">
        <v>4174</v>
      </c>
      <c r="B644" s="81" t="str">
        <f t="shared" si="36"/>
        <v>104E</v>
      </c>
      <c r="C644" s="329" t="s">
        <v>1749</v>
      </c>
      <c r="D644" s="295" t="s">
        <v>1934</v>
      </c>
      <c r="E644" s="295" t="s">
        <v>1977</v>
      </c>
      <c r="F644" s="371" t="s">
        <v>1230</v>
      </c>
      <c r="G644" s="252" t="s">
        <v>1918</v>
      </c>
      <c r="H644" s="282" t="s">
        <v>637</v>
      </c>
      <c r="I644" s="295" t="s">
        <v>815</v>
      </c>
      <c r="J644" s="282" t="s">
        <v>0</v>
      </c>
      <c r="K644" s="282" t="s">
        <v>452</v>
      </c>
      <c r="L644" s="297" t="s">
        <v>2318</v>
      </c>
      <c r="M644" s="282" t="s">
        <v>1401</v>
      </c>
      <c r="N644" s="282" t="s">
        <v>1400</v>
      </c>
      <c r="O644" s="238" t="s">
        <v>1801</v>
      </c>
      <c r="P644" s="64" t="str">
        <f ca="1">IF(AND(OR(INDIRECT("K" &amp; ROW())="NAV-Premium",INDIRECT("K" &amp; ROW())="DA-Premium"),INDIRECT("M" &amp; ROW())="PARTITION_SCHEMA128__NavPiviJpn", INDIRECT("O" &amp; ROW())="JPN_SDB"),'SDB vs GN'!$B$41, IF(INDIRECT("H" &amp; ROW())="Chenc",'SDB vs GN'!$B$40, VLOOKUP(INDIRECT("O" &amp; ROW()),'SDB vs GN'!$A$16:$B$38,2,FALSE)))</f>
        <v>GCN1_JP_KR_LA_NA</v>
      </c>
      <c r="Q644" s="297" t="s">
        <v>1903</v>
      </c>
      <c r="R644" s="298" t="s">
        <v>1228</v>
      </c>
      <c r="S644" s="340" t="s">
        <v>10</v>
      </c>
      <c r="T644" s="295" t="s">
        <v>449</v>
      </c>
      <c r="U644" s="332" t="s">
        <v>816</v>
      </c>
      <c r="V644" s="308" t="s">
        <v>1989</v>
      </c>
      <c r="W644" s="298" t="s">
        <v>447</v>
      </c>
      <c r="X644" s="64" t="s">
        <v>521</v>
      </c>
      <c r="Y644" s="282" t="s">
        <v>1556</v>
      </c>
      <c r="Z644" s="282" t="s">
        <v>1593</v>
      </c>
      <c r="AA644" s="299"/>
      <c r="AB644" s="300" t="s">
        <v>225</v>
      </c>
      <c r="AC644" s="301" t="s">
        <v>2102</v>
      </c>
      <c r="AD644" s="302" t="s">
        <v>1042</v>
      </c>
      <c r="AE644" s="302" t="s">
        <v>2057</v>
      </c>
      <c r="AF644" s="302"/>
      <c r="AG644" s="302"/>
      <c r="AH644" s="302" t="s">
        <v>2103</v>
      </c>
    </row>
    <row r="645" spans="1:34" ht="66">
      <c r="A645" s="51">
        <v>4175</v>
      </c>
      <c r="B645" s="81" t="str">
        <f t="shared" si="36"/>
        <v>104F</v>
      </c>
      <c r="C645" s="329" t="s">
        <v>2092</v>
      </c>
      <c r="D645" s="295" t="s">
        <v>1934</v>
      </c>
      <c r="E645" s="295" t="s">
        <v>1977</v>
      </c>
      <c r="F645" s="371" t="s">
        <v>1230</v>
      </c>
      <c r="G645" s="252" t="s">
        <v>1918</v>
      </c>
      <c r="H645" s="282" t="s">
        <v>637</v>
      </c>
      <c r="I645" s="295" t="s">
        <v>815</v>
      </c>
      <c r="J645" s="282" t="s">
        <v>0</v>
      </c>
      <c r="K645" s="282" t="s">
        <v>452</v>
      </c>
      <c r="L645" s="297" t="s">
        <v>2318</v>
      </c>
      <c r="M645" s="282" t="s">
        <v>1401</v>
      </c>
      <c r="N645" s="282" t="s">
        <v>1400</v>
      </c>
      <c r="O645" s="296" t="s">
        <v>1805</v>
      </c>
      <c r="P645" s="64" t="str">
        <f ca="1">IF(AND(OR(INDIRECT("K" &amp; ROW())="NAV-Premium",INDIRECT("K" &amp; ROW())="DA-Premium"),INDIRECT("M" &amp; ROW())="PARTITION_SCHEMA128__NavPiviJpn", INDIRECT("O" &amp; ROW())="JPN_SDB"),'SDB vs GN'!$B$41, IF(INDIRECT("H" &amp; ROW())="Chenc",'SDB vs GN'!$B$40, VLOOKUP(INDIRECT("O" &amp; ROW()),'SDB vs GN'!$A$16:$B$38,2,FALSE)))</f>
        <v>GCN2_CN_EU_NA</v>
      </c>
      <c r="Q645" s="297" t="s">
        <v>1903</v>
      </c>
      <c r="R645" s="298" t="s">
        <v>1229</v>
      </c>
      <c r="S645" s="340" t="s">
        <v>10</v>
      </c>
      <c r="T645" s="295" t="s">
        <v>449</v>
      </c>
      <c r="U645" s="332" t="s">
        <v>816</v>
      </c>
      <c r="V645" s="342" t="s">
        <v>787</v>
      </c>
      <c r="W645" s="298" t="s">
        <v>447</v>
      </c>
      <c r="X645" s="297" t="s">
        <v>521</v>
      </c>
      <c r="Y645" s="282" t="s">
        <v>1556</v>
      </c>
      <c r="Z645" s="282" t="s">
        <v>1593</v>
      </c>
      <c r="AA645" s="299"/>
      <c r="AB645" s="300" t="s">
        <v>225</v>
      </c>
      <c r="AC645" s="301" t="s">
        <v>2138</v>
      </c>
      <c r="AD645" s="302" t="s">
        <v>1042</v>
      </c>
      <c r="AE645" s="302"/>
      <c r="AF645" s="302"/>
      <c r="AG645" s="302"/>
      <c r="AH645" s="302" t="s">
        <v>2137</v>
      </c>
    </row>
    <row r="646" spans="1:34" ht="409.6">
      <c r="A646" s="51">
        <v>4176</v>
      </c>
      <c r="B646" s="81" t="str">
        <f t="shared" si="36"/>
        <v>1050</v>
      </c>
      <c r="C646" s="329" t="s">
        <v>1747</v>
      </c>
      <c r="D646" s="295" t="s">
        <v>1934</v>
      </c>
      <c r="E646" s="295" t="s">
        <v>1977</v>
      </c>
      <c r="F646" s="371" t="s">
        <v>1230</v>
      </c>
      <c r="G646" s="252" t="s">
        <v>1918</v>
      </c>
      <c r="H646" s="282" t="s">
        <v>637</v>
      </c>
      <c r="I646" s="295" t="s">
        <v>815</v>
      </c>
      <c r="J646" s="282" t="s">
        <v>0</v>
      </c>
      <c r="K646" s="282" t="s">
        <v>452</v>
      </c>
      <c r="L646" s="297" t="s">
        <v>2318</v>
      </c>
      <c r="M646" s="282" t="s">
        <v>1401</v>
      </c>
      <c r="N646" s="282" t="s">
        <v>1400</v>
      </c>
      <c r="O646" s="238" t="s">
        <v>1804</v>
      </c>
      <c r="P646" s="64" t="str">
        <f ca="1">IF(AND(OR(INDIRECT("K" &amp; ROW())="NAV-Premium",INDIRECT("K" &amp; ROW())="DA-Premium"),INDIRECT("M" &amp; ROW())="PARTITION_SCHEMA128__NavPiviJpn", INDIRECT("O" &amp; ROW())="JPN_SDB"),'SDB vs GN'!$B$41, IF(INDIRECT("H" &amp; ROW())="Chenc",'SDB vs GN'!$B$40, VLOOKUP(INDIRECT("O" &amp; ROW()),'SDB vs GN'!$A$16:$B$38,2,FALSE)))</f>
        <v>GCN2_CN_EU_NA</v>
      </c>
      <c r="Q646" s="297" t="s">
        <v>1903</v>
      </c>
      <c r="R646" s="298" t="s">
        <v>1229</v>
      </c>
      <c r="S646" s="340" t="s">
        <v>10</v>
      </c>
      <c r="T646" s="295" t="s">
        <v>449</v>
      </c>
      <c r="U646" s="332" t="s">
        <v>816</v>
      </c>
      <c r="V646" s="308" t="s">
        <v>994</v>
      </c>
      <c r="W646" s="298" t="s">
        <v>447</v>
      </c>
      <c r="X646" s="64" t="s">
        <v>521</v>
      </c>
      <c r="Y646" s="282" t="s">
        <v>1556</v>
      </c>
      <c r="Z646" s="282" t="s">
        <v>1593</v>
      </c>
      <c r="AA646" s="299"/>
      <c r="AB646" s="300" t="s">
        <v>225</v>
      </c>
      <c r="AC646" s="301" t="s">
        <v>2808</v>
      </c>
      <c r="AD646" s="302" t="s">
        <v>1042</v>
      </c>
      <c r="AE646" s="302" t="s">
        <v>2482</v>
      </c>
      <c r="AF646" s="302"/>
      <c r="AG646" s="302"/>
      <c r="AH646" s="302" t="s">
        <v>2807</v>
      </c>
    </row>
    <row r="647" spans="1:34" ht="264">
      <c r="A647" s="51">
        <v>4177</v>
      </c>
      <c r="B647" s="81" t="str">
        <f t="shared" si="36"/>
        <v>1051</v>
      </c>
      <c r="C647" s="329" t="s">
        <v>1750</v>
      </c>
      <c r="D647" s="295" t="s">
        <v>1934</v>
      </c>
      <c r="E647" s="295" t="s">
        <v>1977</v>
      </c>
      <c r="F647" s="371" t="s">
        <v>1230</v>
      </c>
      <c r="G647" s="252" t="s">
        <v>1918</v>
      </c>
      <c r="H647" s="282" t="s">
        <v>637</v>
      </c>
      <c r="I647" s="295" t="s">
        <v>815</v>
      </c>
      <c r="J647" s="282" t="s">
        <v>0</v>
      </c>
      <c r="K647" s="282" t="s">
        <v>452</v>
      </c>
      <c r="L647" s="297" t="s">
        <v>2318</v>
      </c>
      <c r="M647" s="282" t="s">
        <v>1401</v>
      </c>
      <c r="N647" s="282" t="s">
        <v>1400</v>
      </c>
      <c r="O647" s="296" t="s">
        <v>1803</v>
      </c>
      <c r="P647" s="64" t="str">
        <f ca="1">IF(AND(OR(INDIRECT("K" &amp; ROW())="NAV-Premium",INDIRECT("K" &amp; ROW())="DA-Premium"),INDIRECT("M" &amp; ROW())="PARTITION_SCHEMA128__NavPiviJpn", INDIRECT("O" &amp; ROW())="JPN_SDB"),'SDB vs GN'!$B$41, IF(INDIRECT("H" &amp; ROW())="Chenc",'SDB vs GN'!$B$40, VLOOKUP(INDIRECT("O" &amp; ROW()),'SDB vs GN'!$A$16:$B$38,2,FALSE)))</f>
        <v>GCN3_CN_LA_NA</v>
      </c>
      <c r="Q647" s="297" t="s">
        <v>1903</v>
      </c>
      <c r="R647" s="298" t="s">
        <v>1229</v>
      </c>
      <c r="S647" s="340" t="s">
        <v>10</v>
      </c>
      <c r="T647" s="295" t="s">
        <v>449</v>
      </c>
      <c r="U647" s="332" t="s">
        <v>816</v>
      </c>
      <c r="V647" s="342" t="s">
        <v>786</v>
      </c>
      <c r="W647" s="298" t="s">
        <v>447</v>
      </c>
      <c r="X647" s="297" t="s">
        <v>521</v>
      </c>
      <c r="Y647" s="282" t="s">
        <v>1556</v>
      </c>
      <c r="Z647" s="282" t="s">
        <v>1593</v>
      </c>
      <c r="AA647" s="299"/>
      <c r="AB647" s="300" t="s">
        <v>225</v>
      </c>
      <c r="AC647" s="301" t="s">
        <v>2553</v>
      </c>
      <c r="AD647" s="302" t="s">
        <v>1042</v>
      </c>
      <c r="AE647" s="302" t="s">
        <v>2486</v>
      </c>
      <c r="AF647" s="302"/>
      <c r="AG647" s="302"/>
      <c r="AH647" s="302" t="s">
        <v>2552</v>
      </c>
    </row>
    <row r="648" spans="1:34" ht="290.39999999999998">
      <c r="A648" s="51">
        <v>4178</v>
      </c>
      <c r="B648" s="81" t="str">
        <f t="shared" si="36"/>
        <v>1052</v>
      </c>
      <c r="C648" s="329" t="s">
        <v>1752</v>
      </c>
      <c r="D648" s="295" t="s">
        <v>1934</v>
      </c>
      <c r="E648" s="295" t="s">
        <v>1977</v>
      </c>
      <c r="F648" s="371" t="s">
        <v>1230</v>
      </c>
      <c r="G648" s="252" t="s">
        <v>1918</v>
      </c>
      <c r="H648" s="282" t="s">
        <v>637</v>
      </c>
      <c r="I648" s="295" t="s">
        <v>815</v>
      </c>
      <c r="J648" s="282" t="s">
        <v>0</v>
      </c>
      <c r="K648" s="282" t="s">
        <v>452</v>
      </c>
      <c r="L648" s="297" t="s">
        <v>2318</v>
      </c>
      <c r="M648" s="282" t="s">
        <v>1401</v>
      </c>
      <c r="N648" s="282" t="s">
        <v>1400</v>
      </c>
      <c r="O648" s="296" t="s">
        <v>1806</v>
      </c>
      <c r="P648" s="64" t="str">
        <f ca="1">IF(AND(OR(INDIRECT("K" &amp; ROW())="NAV-Premium",INDIRECT("K" &amp; ROW())="DA-Premium"),INDIRECT("M" &amp; ROW())="PARTITION_SCHEMA128__NavPiviJpn", INDIRECT("O" &amp; ROW())="JPN_SDB"),'SDB vs GN'!$B$41, IF(INDIRECT("H" &amp; ROW())="Chenc",'SDB vs GN'!$B$40, VLOOKUP(INDIRECT("O" &amp; ROW()),'SDB vs GN'!$A$16:$B$38,2,FALSE)))</f>
        <v>GCN1_JP_KR_LA_NA</v>
      </c>
      <c r="Q648" s="297" t="s">
        <v>1903</v>
      </c>
      <c r="R648" s="298" t="s">
        <v>1229</v>
      </c>
      <c r="S648" s="340" t="s">
        <v>10</v>
      </c>
      <c r="T648" s="295" t="s">
        <v>449</v>
      </c>
      <c r="U648" s="332" t="s">
        <v>816</v>
      </c>
      <c r="V648" s="342" t="s">
        <v>1133</v>
      </c>
      <c r="W648" s="298" t="s">
        <v>447</v>
      </c>
      <c r="X648" s="64" t="s">
        <v>521</v>
      </c>
      <c r="Y648" s="282" t="s">
        <v>1556</v>
      </c>
      <c r="Z648" s="282" t="s">
        <v>1593</v>
      </c>
      <c r="AA648" s="299"/>
      <c r="AB648" s="300" t="s">
        <v>225</v>
      </c>
      <c r="AC648" s="301" t="s">
        <v>2665</v>
      </c>
      <c r="AD648" s="302" t="s">
        <v>1042</v>
      </c>
      <c r="AE648" s="302" t="s">
        <v>2050</v>
      </c>
      <c r="AF648" s="302"/>
      <c r="AG648" s="302"/>
      <c r="AH648" s="302" t="s">
        <v>2664</v>
      </c>
    </row>
    <row r="649" spans="1:34" ht="303.60000000000002">
      <c r="A649" s="51">
        <v>4179</v>
      </c>
      <c r="B649" s="81" t="str">
        <f t="shared" si="36"/>
        <v>1053</v>
      </c>
      <c r="C649" s="329" t="s">
        <v>1748</v>
      </c>
      <c r="D649" s="295" t="s">
        <v>1934</v>
      </c>
      <c r="E649" s="295" t="s">
        <v>1977</v>
      </c>
      <c r="F649" s="371" t="s">
        <v>1230</v>
      </c>
      <c r="G649" s="252" t="s">
        <v>1918</v>
      </c>
      <c r="H649" s="282" t="s">
        <v>637</v>
      </c>
      <c r="I649" s="295" t="s">
        <v>815</v>
      </c>
      <c r="J649" s="282" t="s">
        <v>0</v>
      </c>
      <c r="K649" s="282" t="s">
        <v>452</v>
      </c>
      <c r="L649" s="297" t="s">
        <v>2318</v>
      </c>
      <c r="M649" s="282" t="s">
        <v>1401</v>
      </c>
      <c r="N649" s="282" t="s">
        <v>1400</v>
      </c>
      <c r="O649" s="304" t="s">
        <v>1805</v>
      </c>
      <c r="P649" s="64" t="str">
        <f ca="1">IF(AND(OR(INDIRECT("K" &amp; ROW())="NAV-Premium",INDIRECT("K" &amp; ROW())="DA-Premium"),INDIRECT("M" &amp; ROW())="PARTITION_SCHEMA128__NavPiviJpn", INDIRECT("O" &amp; ROW())="JPN_SDB"),'SDB vs GN'!$B$41, IF(INDIRECT("H" &amp; ROW())="Chenc",'SDB vs GN'!$B$40, VLOOKUP(INDIRECT("O" &amp; ROW()),'SDB vs GN'!$A$16:$B$38,2,FALSE)))</f>
        <v>GCN2_CN_EU_NA</v>
      </c>
      <c r="Q649" s="297" t="s">
        <v>1903</v>
      </c>
      <c r="R649" s="298" t="s">
        <v>1229</v>
      </c>
      <c r="S649" s="340" t="s">
        <v>10</v>
      </c>
      <c r="T649" s="295" t="s">
        <v>449</v>
      </c>
      <c r="U649" s="332" t="s">
        <v>816</v>
      </c>
      <c r="V649" s="342" t="s">
        <v>872</v>
      </c>
      <c r="W649" s="298" t="s">
        <v>447</v>
      </c>
      <c r="X649" s="297" t="s">
        <v>521</v>
      </c>
      <c r="Y649" s="282" t="s">
        <v>1556</v>
      </c>
      <c r="Z649" s="282" t="s">
        <v>1593</v>
      </c>
      <c r="AA649" s="299"/>
      <c r="AB649" s="300" t="s">
        <v>225</v>
      </c>
      <c r="AC649" s="301" t="s">
        <v>2655</v>
      </c>
      <c r="AD649" s="302" t="s">
        <v>1042</v>
      </c>
      <c r="AE649" s="302" t="s">
        <v>2481</v>
      </c>
      <c r="AF649" s="302"/>
      <c r="AG649" s="302"/>
      <c r="AH649" s="302" t="s">
        <v>2654</v>
      </c>
    </row>
    <row r="650" spans="1:34" ht="409.6">
      <c r="A650" s="51">
        <v>4180</v>
      </c>
      <c r="B650" s="81" t="str">
        <f t="shared" si="36"/>
        <v>1054</v>
      </c>
      <c r="C650" s="329" t="s">
        <v>1753</v>
      </c>
      <c r="D650" s="295" t="s">
        <v>1934</v>
      </c>
      <c r="E650" s="295" t="s">
        <v>1977</v>
      </c>
      <c r="F650" s="371" t="s">
        <v>1230</v>
      </c>
      <c r="G650" s="252" t="s">
        <v>1918</v>
      </c>
      <c r="H650" s="282" t="s">
        <v>637</v>
      </c>
      <c r="I650" s="295" t="s">
        <v>815</v>
      </c>
      <c r="J650" s="282" t="s">
        <v>0</v>
      </c>
      <c r="K650" s="282" t="s">
        <v>452</v>
      </c>
      <c r="L650" s="297" t="s">
        <v>2318</v>
      </c>
      <c r="M650" s="282" t="s">
        <v>1401</v>
      </c>
      <c r="N650" s="282" t="s">
        <v>1400</v>
      </c>
      <c r="O650" s="296" t="s">
        <v>1803</v>
      </c>
      <c r="P650" s="64" t="str">
        <f ca="1">IF(AND(OR(INDIRECT("K" &amp; ROW())="NAV-Premium",INDIRECT("K" &amp; ROW())="DA-Premium"),INDIRECT("M" &amp; ROW())="PARTITION_SCHEMA128__NavPiviJpn", INDIRECT("O" &amp; ROW())="JPN_SDB"),'SDB vs GN'!$B$41, IF(INDIRECT("H" &amp; ROW())="Chenc",'SDB vs GN'!$B$40, VLOOKUP(INDIRECT("O" &amp; ROW()),'SDB vs GN'!$A$16:$B$38,2,FALSE)))</f>
        <v>GCN3_CN_LA_NA</v>
      </c>
      <c r="Q650" s="297" t="s">
        <v>1903</v>
      </c>
      <c r="R650" s="298" t="s">
        <v>1229</v>
      </c>
      <c r="S650" s="340" t="s">
        <v>10</v>
      </c>
      <c r="T650" s="295" t="s">
        <v>449</v>
      </c>
      <c r="U650" s="332" t="s">
        <v>816</v>
      </c>
      <c r="V650" s="342" t="s">
        <v>728</v>
      </c>
      <c r="W650" s="298" t="s">
        <v>447</v>
      </c>
      <c r="X650" s="64" t="s">
        <v>521</v>
      </c>
      <c r="Y650" s="282" t="s">
        <v>1556</v>
      </c>
      <c r="Z650" s="282" t="s">
        <v>1593</v>
      </c>
      <c r="AA650" s="299"/>
      <c r="AB650" s="300" t="s">
        <v>225</v>
      </c>
      <c r="AC650" s="301" t="s">
        <v>2845</v>
      </c>
      <c r="AD650" s="302" t="s">
        <v>1042</v>
      </c>
      <c r="AE650" s="302" t="s">
        <v>2048</v>
      </c>
      <c r="AF650" s="302"/>
      <c r="AG650" s="302"/>
      <c r="AH650" s="302" t="s">
        <v>2846</v>
      </c>
    </row>
    <row r="651" spans="1:34" ht="66">
      <c r="A651" s="51">
        <v>4181</v>
      </c>
      <c r="B651" s="81" t="str">
        <f t="shared" si="36"/>
        <v>1055</v>
      </c>
      <c r="C651" s="329" t="s">
        <v>1767</v>
      </c>
      <c r="D651" s="295" t="s">
        <v>1934</v>
      </c>
      <c r="E651" s="295" t="s">
        <v>1977</v>
      </c>
      <c r="F651" s="372" t="s">
        <v>1315</v>
      </c>
      <c r="G651" s="115" t="s">
        <v>1914</v>
      </c>
      <c r="H651" s="282" t="s">
        <v>637</v>
      </c>
      <c r="I651" s="295" t="s">
        <v>815</v>
      </c>
      <c r="J651" s="282" t="s">
        <v>0</v>
      </c>
      <c r="K651" s="282" t="s">
        <v>454</v>
      </c>
      <c r="L651" s="360" t="s">
        <v>1306</v>
      </c>
      <c r="M651" s="282" t="s">
        <v>1401</v>
      </c>
      <c r="N651" s="282" t="s">
        <v>1400</v>
      </c>
      <c r="O651" s="296" t="s">
        <v>1806</v>
      </c>
      <c r="P651" s="64" t="str">
        <f ca="1">IF(AND(OR(INDIRECT("K" &amp; ROW())="NAV-Premium",INDIRECT("K" &amp; ROW())="DA-Premium"),INDIRECT("M" &amp; ROW())="PARTITION_SCHEMA128__NavPiviJpn", INDIRECT("O" &amp; ROW())="JPN_SDB"),'SDB vs GN'!$B$41, IF(INDIRECT("H" &amp; ROW())="Chenc",'SDB vs GN'!$B$40, VLOOKUP(INDIRECT("O" &amp; ROW()),'SDB vs GN'!$A$16:$B$38,2,FALSE)))</f>
        <v>GCN1_JP_KR_LA_NA</v>
      </c>
      <c r="Q651" s="297" t="s">
        <v>1903</v>
      </c>
      <c r="R651" s="298" t="s">
        <v>1398</v>
      </c>
      <c r="S651" s="340" t="s">
        <v>10</v>
      </c>
      <c r="T651" s="295" t="s">
        <v>449</v>
      </c>
      <c r="U651" s="332" t="s">
        <v>816</v>
      </c>
      <c r="V651" s="342" t="s">
        <v>834</v>
      </c>
      <c r="W651" s="298" t="s">
        <v>447</v>
      </c>
      <c r="X651" s="297" t="s">
        <v>521</v>
      </c>
      <c r="Y651" s="282" t="s">
        <v>1556</v>
      </c>
      <c r="Z651" s="282" t="s">
        <v>1593</v>
      </c>
      <c r="AA651" s="299"/>
      <c r="AB651" s="300" t="s">
        <v>225</v>
      </c>
      <c r="AC651" s="301" t="s">
        <v>2054</v>
      </c>
      <c r="AD651" s="302" t="s">
        <v>1042</v>
      </c>
      <c r="AE651" s="382" t="s">
        <v>2051</v>
      </c>
      <c r="AF651" s="302"/>
      <c r="AG651" s="302"/>
      <c r="AH651" s="302" t="s">
        <v>2053</v>
      </c>
    </row>
    <row r="652" spans="1:34" ht="92.4">
      <c r="A652" s="51">
        <v>4182</v>
      </c>
      <c r="B652" s="81" t="str">
        <f t="shared" si="36"/>
        <v>1056</v>
      </c>
      <c r="C652" s="329" t="s">
        <v>1766</v>
      </c>
      <c r="D652" s="295" t="s">
        <v>1934</v>
      </c>
      <c r="E652" s="295" t="s">
        <v>1977</v>
      </c>
      <c r="F652" s="372" t="s">
        <v>1315</v>
      </c>
      <c r="G652" s="115" t="s">
        <v>1914</v>
      </c>
      <c r="H652" s="282" t="s">
        <v>637</v>
      </c>
      <c r="I652" s="295" t="s">
        <v>815</v>
      </c>
      <c r="J652" s="282" t="s">
        <v>0</v>
      </c>
      <c r="K652" s="282" t="s">
        <v>454</v>
      </c>
      <c r="L652" s="360" t="s">
        <v>1306</v>
      </c>
      <c r="M652" s="282" t="s">
        <v>1401</v>
      </c>
      <c r="N652" s="282" t="s">
        <v>1400</v>
      </c>
      <c r="O652" s="296" t="s">
        <v>1803</v>
      </c>
      <c r="P652" s="64" t="str">
        <f ca="1">IF(AND(OR(INDIRECT("K" &amp; ROW())="NAV-Premium",INDIRECT("K" &amp; ROW())="DA-Premium"),INDIRECT("M" &amp; ROW())="PARTITION_SCHEMA128__NavPiviJpn", INDIRECT("O" &amp; ROW())="JPN_SDB"),'SDB vs GN'!$B$41, IF(INDIRECT("H" &amp; ROW())="Chenc",'SDB vs GN'!$B$40, VLOOKUP(INDIRECT("O" &amp; ROW()),'SDB vs GN'!$A$16:$B$38,2,FALSE)))</f>
        <v>GCN3_CN_LA_NA</v>
      </c>
      <c r="Q652" s="297" t="s">
        <v>1903</v>
      </c>
      <c r="R652" s="298" t="s">
        <v>1398</v>
      </c>
      <c r="S652" s="340" t="s">
        <v>10</v>
      </c>
      <c r="T652" s="295" t="s">
        <v>449</v>
      </c>
      <c r="U652" s="332" t="s">
        <v>816</v>
      </c>
      <c r="V652" s="342" t="s">
        <v>607</v>
      </c>
      <c r="W652" s="298" t="s">
        <v>447</v>
      </c>
      <c r="X652" s="64" t="s">
        <v>521</v>
      </c>
      <c r="Y652" s="282" t="s">
        <v>1556</v>
      </c>
      <c r="Z652" s="282" t="s">
        <v>1593</v>
      </c>
      <c r="AA652" s="299"/>
      <c r="AB652" s="300" t="s">
        <v>225</v>
      </c>
      <c r="AC652" s="301" t="s">
        <v>2787</v>
      </c>
      <c r="AD652" s="302" t="s">
        <v>1042</v>
      </c>
      <c r="AE652" s="302" t="s">
        <v>2051</v>
      </c>
      <c r="AF652" s="302"/>
      <c r="AG652" s="302"/>
      <c r="AH652" s="302" t="s">
        <v>2788</v>
      </c>
    </row>
    <row r="653" spans="1:34" ht="105.6">
      <c r="A653" s="51">
        <v>4183</v>
      </c>
      <c r="B653" s="81" t="str">
        <f t="shared" si="36"/>
        <v>1057</v>
      </c>
      <c r="C653" s="329" t="s">
        <v>1765</v>
      </c>
      <c r="D653" s="295" t="s">
        <v>1934</v>
      </c>
      <c r="E653" s="295" t="s">
        <v>1977</v>
      </c>
      <c r="F653" s="372" t="s">
        <v>1315</v>
      </c>
      <c r="G653" s="115" t="s">
        <v>1914</v>
      </c>
      <c r="H653" s="282" t="s">
        <v>637</v>
      </c>
      <c r="I653" s="295" t="s">
        <v>815</v>
      </c>
      <c r="J653" s="282" t="s">
        <v>0</v>
      </c>
      <c r="K653" s="282" t="s">
        <v>454</v>
      </c>
      <c r="L653" s="360" t="s">
        <v>1306</v>
      </c>
      <c r="M653" s="282" t="s">
        <v>1401</v>
      </c>
      <c r="N653" s="282" t="s">
        <v>1400</v>
      </c>
      <c r="O653" s="296" t="s">
        <v>1805</v>
      </c>
      <c r="P653" s="64" t="str">
        <f ca="1">IF(AND(OR(INDIRECT("K" &amp; ROW())="NAV-Premium",INDIRECT("K" &amp; ROW())="DA-Premium"),INDIRECT("M" &amp; ROW())="PARTITION_SCHEMA128__NavPiviJpn", INDIRECT("O" &amp; ROW())="JPN_SDB"),'SDB vs GN'!$B$41, IF(INDIRECT("H" &amp; ROW())="Chenc",'SDB vs GN'!$B$40, VLOOKUP(INDIRECT("O" &amp; ROW()),'SDB vs GN'!$A$16:$B$38,2,FALSE)))</f>
        <v>GCN2_CN_EU_NA</v>
      </c>
      <c r="Q653" s="297" t="s">
        <v>1903</v>
      </c>
      <c r="R653" s="298" t="s">
        <v>1229</v>
      </c>
      <c r="S653" s="340" t="s">
        <v>10</v>
      </c>
      <c r="T653" s="295" t="s">
        <v>449</v>
      </c>
      <c r="U653" s="332" t="s">
        <v>816</v>
      </c>
      <c r="V653" s="308" t="s">
        <v>598</v>
      </c>
      <c r="W653" s="298" t="s">
        <v>447</v>
      </c>
      <c r="X653" s="297" t="s">
        <v>521</v>
      </c>
      <c r="Y653" s="282" t="s">
        <v>1556</v>
      </c>
      <c r="Z653" s="282" t="s">
        <v>1593</v>
      </c>
      <c r="AA653" s="299"/>
      <c r="AB653" s="300" t="s">
        <v>225</v>
      </c>
      <c r="AC653" s="301" t="s">
        <v>2500</v>
      </c>
      <c r="AD653" s="302" t="s">
        <v>1042</v>
      </c>
      <c r="AE653" s="302" t="s">
        <v>2076</v>
      </c>
      <c r="AF653" s="302"/>
      <c r="AG653" s="302"/>
      <c r="AH653" s="302" t="s">
        <v>2501</v>
      </c>
    </row>
    <row r="654" spans="1:34" ht="330">
      <c r="A654" s="51">
        <v>4184</v>
      </c>
      <c r="B654" s="81" t="str">
        <f t="shared" si="36"/>
        <v>1058</v>
      </c>
      <c r="C654" s="329" t="s">
        <v>1931</v>
      </c>
      <c r="D654" s="295" t="s">
        <v>1934</v>
      </c>
      <c r="E654" s="295" t="s">
        <v>1977</v>
      </c>
      <c r="F654" s="371" t="s">
        <v>1230</v>
      </c>
      <c r="G654" s="252" t="s">
        <v>1918</v>
      </c>
      <c r="H654" s="282" t="s">
        <v>637</v>
      </c>
      <c r="I654" s="295" t="s">
        <v>815</v>
      </c>
      <c r="J654" s="282" t="s">
        <v>0</v>
      </c>
      <c r="K654" s="282" t="s">
        <v>452</v>
      </c>
      <c r="L654" s="297" t="s">
        <v>2318</v>
      </c>
      <c r="M654" s="282" t="s">
        <v>1401</v>
      </c>
      <c r="N654" s="282" t="s">
        <v>1400</v>
      </c>
      <c r="O654" s="238" t="s">
        <v>1804</v>
      </c>
      <c r="P654" s="64" t="str">
        <f ca="1">IF(AND(OR(INDIRECT("K" &amp; ROW())="NAV-Premium",INDIRECT("K" &amp; ROW())="DA-Premium"),INDIRECT("M" &amp; ROW())="PARTITION_SCHEMA128__NavPiviJpn", INDIRECT("O" &amp; ROW())="JPN_SDB"),'SDB vs GN'!$B$41, IF(INDIRECT("H" &amp; ROW())="Chenc",'SDB vs GN'!$B$40, VLOOKUP(INDIRECT("O" &amp; ROW()),'SDB vs GN'!$A$16:$B$38,2,FALSE)))</f>
        <v>GCN2_CN_EU_NA</v>
      </c>
      <c r="Q654" s="297" t="s">
        <v>1903</v>
      </c>
      <c r="R654" s="298" t="s">
        <v>1229</v>
      </c>
      <c r="S654" s="340" t="s">
        <v>10</v>
      </c>
      <c r="T654" s="295" t="s">
        <v>449</v>
      </c>
      <c r="U654" s="332" t="s">
        <v>816</v>
      </c>
      <c r="V654" s="342" t="s">
        <v>1368</v>
      </c>
      <c r="W654" s="298" t="s">
        <v>447</v>
      </c>
      <c r="X654" s="64" t="s">
        <v>521</v>
      </c>
      <c r="Y654" s="282" t="s">
        <v>1556</v>
      </c>
      <c r="Z654" s="282" t="s">
        <v>1593</v>
      </c>
      <c r="AA654" s="299"/>
      <c r="AB654" s="300" t="s">
        <v>225</v>
      </c>
      <c r="AC654" s="301" t="s">
        <v>2810</v>
      </c>
      <c r="AD654" s="302" t="s">
        <v>1042</v>
      </c>
      <c r="AE654" s="302" t="s">
        <v>2480</v>
      </c>
      <c r="AF654" s="302"/>
      <c r="AG654" s="302"/>
      <c r="AH654" s="302" t="s">
        <v>2809</v>
      </c>
    </row>
    <row r="655" spans="1:34" ht="39.6">
      <c r="A655" s="51">
        <v>4185</v>
      </c>
      <c r="B655" s="81" t="str">
        <f t="shared" si="36"/>
        <v>1059</v>
      </c>
      <c r="C655" s="329" t="s">
        <v>1930</v>
      </c>
      <c r="D655" s="295" t="s">
        <v>1934</v>
      </c>
      <c r="E655" s="295" t="s">
        <v>1977</v>
      </c>
      <c r="F655" s="371" t="s">
        <v>1230</v>
      </c>
      <c r="G655" s="252" t="s">
        <v>1918</v>
      </c>
      <c r="H655" s="282" t="s">
        <v>637</v>
      </c>
      <c r="I655" s="295" t="s">
        <v>815</v>
      </c>
      <c r="J655" s="282" t="s">
        <v>0</v>
      </c>
      <c r="K655" s="282" t="s">
        <v>452</v>
      </c>
      <c r="L655" s="297" t="s">
        <v>2318</v>
      </c>
      <c r="M655" s="282" t="s">
        <v>1401</v>
      </c>
      <c r="N655" s="282" t="s">
        <v>1400</v>
      </c>
      <c r="O655" s="296" t="s">
        <v>1803</v>
      </c>
      <c r="P655" s="64" t="str">
        <f ca="1">IF(AND(OR(INDIRECT("K" &amp; ROW())="NAV-Premium",INDIRECT("K" &amp; ROW())="DA-Premium"),INDIRECT("M" &amp; ROW())="PARTITION_SCHEMA128__NavPiviJpn", INDIRECT("O" &amp; ROW())="JPN_SDB"),'SDB vs GN'!$B$41, IF(INDIRECT("H" &amp; ROW())="Chenc",'SDB vs GN'!$B$40, VLOOKUP(INDIRECT("O" &amp; ROW()),'SDB vs GN'!$A$16:$B$38,2,FALSE)))</f>
        <v>GCN3_CN_LA_NA</v>
      </c>
      <c r="Q655" s="297" t="s">
        <v>1903</v>
      </c>
      <c r="R655" s="298" t="s">
        <v>1229</v>
      </c>
      <c r="S655" s="340" t="s">
        <v>10</v>
      </c>
      <c r="T655" s="295" t="s">
        <v>449</v>
      </c>
      <c r="U655" s="332" t="s">
        <v>816</v>
      </c>
      <c r="V655" s="342" t="s">
        <v>1115</v>
      </c>
      <c r="W655" s="298" t="s">
        <v>447</v>
      </c>
      <c r="X655" s="297" t="s">
        <v>521</v>
      </c>
      <c r="Y655" s="282" t="s">
        <v>1556</v>
      </c>
      <c r="Z655" s="282" t="s">
        <v>1593</v>
      </c>
      <c r="AA655" s="299"/>
      <c r="AB655" s="300" t="s">
        <v>225</v>
      </c>
      <c r="AC655" s="301" t="s">
        <v>2087</v>
      </c>
      <c r="AD655" s="302" t="s">
        <v>1042</v>
      </c>
      <c r="AE655" s="302"/>
      <c r="AF655" s="302"/>
      <c r="AG655" s="302"/>
      <c r="AH655" s="302" t="s">
        <v>2101</v>
      </c>
    </row>
    <row r="656" spans="1:34" ht="26.4">
      <c r="A656" s="51">
        <v>4186</v>
      </c>
      <c r="B656" s="81" t="str">
        <f t="shared" si="36"/>
        <v>105A</v>
      </c>
      <c r="C656" s="278" t="s">
        <v>1430</v>
      </c>
      <c r="D656" s="295" t="s">
        <v>1932</v>
      </c>
      <c r="E656" s="295" t="s">
        <v>1977</v>
      </c>
      <c r="F656" s="371" t="s">
        <v>1926</v>
      </c>
      <c r="G656" s="371" t="s">
        <v>1916</v>
      </c>
      <c r="H656" s="282" t="s">
        <v>637</v>
      </c>
      <c r="I656" s="295" t="s">
        <v>815</v>
      </c>
      <c r="J656" s="282" t="s">
        <v>0</v>
      </c>
      <c r="K656" s="282" t="s">
        <v>452</v>
      </c>
      <c r="L656" s="297" t="s">
        <v>2318</v>
      </c>
      <c r="M656" s="369" t="s">
        <v>1496</v>
      </c>
      <c r="N656" s="282" t="s">
        <v>1215</v>
      </c>
      <c r="O656" s="238" t="s">
        <v>1801</v>
      </c>
      <c r="P656" s="64" t="str">
        <f ca="1">IF(AND(OR(INDIRECT("K" &amp; ROW())="NAV-Premium",INDIRECT("K" &amp; ROW())="DA-Premium"),INDIRECT("M" &amp; ROW())="PARTITION_SCHEMA128__NavPiviJpn", INDIRECT("O" &amp; ROW())="JPN_SDB"),'SDB vs GN'!$B$41, IF(INDIRECT("H" &amp; ROW())="Chenc",'SDB vs GN'!$B$40, VLOOKUP(INDIRECT("O" &amp; ROW()),'SDB vs GN'!$A$16:$B$38,2,FALSE)))</f>
        <v>GCN1_JP_KR_LA_NA</v>
      </c>
      <c r="Q656" s="297" t="s">
        <v>1903</v>
      </c>
      <c r="R656" s="298" t="s">
        <v>1228</v>
      </c>
      <c r="S656" s="340" t="s">
        <v>10</v>
      </c>
      <c r="T656" s="367" t="s">
        <v>450</v>
      </c>
      <c r="U656" s="332" t="s">
        <v>816</v>
      </c>
      <c r="V656" s="308" t="s">
        <v>1989</v>
      </c>
      <c r="W656" s="298" t="s">
        <v>447</v>
      </c>
      <c r="X656" s="64" t="s">
        <v>521</v>
      </c>
      <c r="Y656" s="283" t="s">
        <v>1857</v>
      </c>
      <c r="Z656" s="282" t="s">
        <v>1593</v>
      </c>
      <c r="AA656" s="299"/>
      <c r="AB656" s="300" t="s">
        <v>225</v>
      </c>
      <c r="AC656" s="301" t="s">
        <v>2000</v>
      </c>
      <c r="AD656" s="302" t="s">
        <v>1042</v>
      </c>
      <c r="AE656" s="302"/>
      <c r="AF656" s="302"/>
      <c r="AG656" s="302"/>
      <c r="AH656" s="302" t="s">
        <v>2003</v>
      </c>
    </row>
    <row r="657" spans="1:34" ht="39.6">
      <c r="A657" s="51">
        <v>4187</v>
      </c>
      <c r="B657" s="81" t="str">
        <f t="shared" si="36"/>
        <v>105B</v>
      </c>
      <c r="C657" s="278" t="s">
        <v>1431</v>
      </c>
      <c r="D657" s="295" t="s">
        <v>1932</v>
      </c>
      <c r="E657" s="295" t="s">
        <v>1977</v>
      </c>
      <c r="F657" s="371" t="s">
        <v>1926</v>
      </c>
      <c r="G657" s="371" t="s">
        <v>1916</v>
      </c>
      <c r="H657" s="282" t="s">
        <v>637</v>
      </c>
      <c r="I657" s="295" t="s">
        <v>815</v>
      </c>
      <c r="J657" s="282" t="s">
        <v>0</v>
      </c>
      <c r="K657" s="282" t="s">
        <v>452</v>
      </c>
      <c r="L657" s="297" t="s">
        <v>2318</v>
      </c>
      <c r="M657" s="369" t="s">
        <v>1496</v>
      </c>
      <c r="N657" s="282" t="s">
        <v>1215</v>
      </c>
      <c r="O657" s="238" t="s">
        <v>1802</v>
      </c>
      <c r="P657" s="64" t="str">
        <f ca="1">IF(AND(OR(INDIRECT("K" &amp; ROW())="NAV-Premium",INDIRECT("K" &amp; ROW())="DA-Premium"),INDIRECT("M" &amp; ROW())="PARTITION_SCHEMA128__NavPiviJpn", INDIRECT("O" &amp; ROW())="JPN_SDB"),'SDB vs GN'!$B$41, IF(INDIRECT("H" &amp; ROW())="Chenc",'SDB vs GN'!$B$40, VLOOKUP(INDIRECT("O" &amp; ROW()),'SDB vs GN'!$A$16:$B$38,2,FALSE)))</f>
        <v>GCN2_CN_EU_NA</v>
      </c>
      <c r="Q657" s="297" t="s">
        <v>1903</v>
      </c>
      <c r="R657" s="298" t="s">
        <v>1229</v>
      </c>
      <c r="S657" s="340" t="s">
        <v>10</v>
      </c>
      <c r="T657" s="295" t="s">
        <v>449</v>
      </c>
      <c r="U657" s="332" t="s">
        <v>816</v>
      </c>
      <c r="V657" s="342" t="s">
        <v>1988</v>
      </c>
      <c r="W657" s="298" t="s">
        <v>447</v>
      </c>
      <c r="X657" s="64" t="s">
        <v>521</v>
      </c>
      <c r="Y657" s="283" t="s">
        <v>1857</v>
      </c>
      <c r="Z657" s="282" t="s">
        <v>1593</v>
      </c>
      <c r="AA657" s="299"/>
      <c r="AB657" s="300" t="s">
        <v>225</v>
      </c>
      <c r="AC657" s="301" t="s">
        <v>2001</v>
      </c>
      <c r="AD657" s="302" t="s">
        <v>1042</v>
      </c>
      <c r="AE657" s="302" t="s">
        <v>2058</v>
      </c>
      <c r="AF657" s="302"/>
      <c r="AG657" s="302"/>
      <c r="AH657" s="302" t="s">
        <v>2002</v>
      </c>
    </row>
    <row r="658" spans="1:34" ht="26.4">
      <c r="A658" s="51">
        <v>4188</v>
      </c>
      <c r="B658" s="81" t="str">
        <f t="shared" ref="B658:B659" si="37">DEC2HEX(A658,4)</f>
        <v>105C</v>
      </c>
      <c r="C658" s="375" t="s">
        <v>1963</v>
      </c>
      <c r="D658" s="295" t="s">
        <v>1934</v>
      </c>
      <c r="E658" s="295" t="s">
        <v>1977</v>
      </c>
      <c r="F658" s="78" t="s">
        <v>1919</v>
      </c>
      <c r="G658" s="78" t="s">
        <v>1917</v>
      </c>
      <c r="H658" s="282" t="s">
        <v>637</v>
      </c>
      <c r="I658" s="295" t="s">
        <v>815</v>
      </c>
      <c r="J658" s="282" t="s">
        <v>1</v>
      </c>
      <c r="K658" s="282" t="s">
        <v>749</v>
      </c>
      <c r="L658" s="345" t="s">
        <v>2220</v>
      </c>
      <c r="M658" s="282" t="s">
        <v>1401</v>
      </c>
      <c r="N658" s="282" t="s">
        <v>1400</v>
      </c>
      <c r="O658" s="304" t="s">
        <v>1802</v>
      </c>
      <c r="P658" s="64" t="str">
        <f ca="1">IF(AND(OR(INDIRECT("K" &amp; ROW())="NAV-Premium",INDIRECT("K" &amp; ROW())="DA-Premium"),INDIRECT("M" &amp; ROW())="PARTITION_SCHEMA128__NavPiviJpn", INDIRECT("O" &amp; ROW())="JPN_SDB"),'SDB vs GN'!$B$41, IF(INDIRECT("H" &amp; ROW())="Chenc",'SDB vs GN'!$B$40, VLOOKUP(INDIRECT("O" &amp; ROW()),'SDB vs GN'!$A$16:$B$38,2,FALSE)))</f>
        <v>GCN2_CN_EU_NA</v>
      </c>
      <c r="Q658" s="297" t="s">
        <v>1903</v>
      </c>
      <c r="R658" s="298" t="s">
        <v>1229</v>
      </c>
      <c r="S658" s="340" t="s">
        <v>10</v>
      </c>
      <c r="T658" s="295" t="s">
        <v>449</v>
      </c>
      <c r="U658" s="332" t="s">
        <v>816</v>
      </c>
      <c r="V658" s="342" t="s">
        <v>1988</v>
      </c>
      <c r="W658" s="298" t="s">
        <v>447</v>
      </c>
      <c r="X658" s="64" t="s">
        <v>521</v>
      </c>
      <c r="Y658" s="282" t="s">
        <v>1556</v>
      </c>
      <c r="Z658" s="282" t="s">
        <v>1593</v>
      </c>
      <c r="AA658" s="299"/>
      <c r="AB658" s="300" t="s">
        <v>225</v>
      </c>
      <c r="AC658" s="301" t="s">
        <v>1964</v>
      </c>
      <c r="AD658" s="302" t="s">
        <v>1042</v>
      </c>
      <c r="AE658" s="302"/>
      <c r="AF658" s="302"/>
      <c r="AG658" s="302"/>
      <c r="AH658" s="302" t="s">
        <v>1980</v>
      </c>
    </row>
    <row r="659" spans="1:34">
      <c r="A659" s="51">
        <v>4189</v>
      </c>
      <c r="B659" s="81" t="str">
        <f t="shared" si="37"/>
        <v>105D</v>
      </c>
      <c r="C659" s="375" t="s">
        <v>1984</v>
      </c>
      <c r="D659" s="295" t="s">
        <v>1981</v>
      </c>
      <c r="E659" s="295" t="s">
        <v>1977</v>
      </c>
      <c r="F659" s="78" t="s">
        <v>1919</v>
      </c>
      <c r="G659" s="78" t="s">
        <v>1917</v>
      </c>
      <c r="H659" s="282" t="s">
        <v>637</v>
      </c>
      <c r="I659" s="295" t="s">
        <v>815</v>
      </c>
      <c r="J659" s="282" t="s">
        <v>1</v>
      </c>
      <c r="K659" s="282" t="s">
        <v>749</v>
      </c>
      <c r="L659" s="345" t="s">
        <v>2220</v>
      </c>
      <c r="M659" s="283" t="s">
        <v>1401</v>
      </c>
      <c r="N659" s="283" t="s">
        <v>1400</v>
      </c>
      <c r="O659" s="377" t="s">
        <v>1805</v>
      </c>
      <c r="P659" s="64" t="str">
        <f ca="1">IF(AND(OR(INDIRECT("K" &amp; ROW())="NAV-Premium",INDIRECT("K" &amp; ROW())="DA-Premium"),INDIRECT("M" &amp; ROW())="PARTITION_SCHEMA128__NavPiviJpn", INDIRECT("O" &amp; ROW())="JPN_SDB"),'SDB vs GN'!$B$41, IF(INDIRECT("H" &amp; ROW())="Chenc",'SDB vs GN'!$B$40, VLOOKUP(INDIRECT("O" &amp; ROW()),'SDB vs GN'!$A$16:$B$38,2,FALSE)))</f>
        <v>GCN2_CN_EU_NA</v>
      </c>
      <c r="Q659" s="297" t="s">
        <v>1903</v>
      </c>
      <c r="R659" s="298" t="s">
        <v>1229</v>
      </c>
      <c r="S659" s="340" t="s">
        <v>10</v>
      </c>
      <c r="T659" s="295" t="s">
        <v>449</v>
      </c>
      <c r="U659" s="332" t="s">
        <v>816</v>
      </c>
      <c r="V659" s="308" t="s">
        <v>553</v>
      </c>
      <c r="W659" s="298" t="s">
        <v>447</v>
      </c>
      <c r="X659" s="64" t="s">
        <v>521</v>
      </c>
      <c r="Y659" s="283" t="s">
        <v>1985</v>
      </c>
      <c r="Z659" s="282" t="s">
        <v>1592</v>
      </c>
      <c r="AA659" s="299"/>
      <c r="AB659" s="300" t="s">
        <v>225</v>
      </c>
      <c r="AC659" s="301" t="s">
        <v>1982</v>
      </c>
      <c r="AD659" s="302" t="s">
        <v>1042</v>
      </c>
      <c r="AE659" s="302"/>
      <c r="AF659" s="302"/>
      <c r="AG659" s="302"/>
      <c r="AH659" s="302" t="s">
        <v>1983</v>
      </c>
    </row>
    <row r="660" spans="1:34" ht="26.4">
      <c r="A660" s="51">
        <v>4190</v>
      </c>
      <c r="B660" s="81" t="str">
        <f t="shared" ref="B660:B661" si="38">DEC2HEX(A660,4)</f>
        <v>105E</v>
      </c>
      <c r="C660" s="375" t="s">
        <v>1984</v>
      </c>
      <c r="D660" s="295" t="s">
        <v>1981</v>
      </c>
      <c r="E660" s="295" t="s">
        <v>1977</v>
      </c>
      <c r="F660" s="78" t="s">
        <v>1919</v>
      </c>
      <c r="G660" s="78" t="s">
        <v>1917</v>
      </c>
      <c r="H660" s="282" t="s">
        <v>637</v>
      </c>
      <c r="I660" s="295" t="s">
        <v>815</v>
      </c>
      <c r="J660" s="282" t="s">
        <v>1</v>
      </c>
      <c r="K660" s="282" t="s">
        <v>749</v>
      </c>
      <c r="L660" s="345" t="s">
        <v>2220</v>
      </c>
      <c r="M660" s="283" t="s">
        <v>1401</v>
      </c>
      <c r="N660" s="283" t="s">
        <v>1400</v>
      </c>
      <c r="O660" s="377" t="s">
        <v>1805</v>
      </c>
      <c r="P660" s="64" t="str">
        <f ca="1">IF(AND(OR(INDIRECT("K" &amp; ROW())="NAV-Premium",INDIRECT("K" &amp; ROW())="DA-Premium"),INDIRECT("M" &amp; ROW())="PARTITION_SCHEMA128__NavPiviJpn", INDIRECT("O" &amp; ROW())="JPN_SDB"),'SDB vs GN'!$B$41, IF(INDIRECT("H" &amp; ROW())="Chenc",'SDB vs GN'!$B$40, VLOOKUP(INDIRECT("O" &amp; ROW()),'SDB vs GN'!$A$16:$B$38,2,FALSE)))</f>
        <v>GCN2_CN_EU_NA</v>
      </c>
      <c r="Q660" s="297" t="s">
        <v>1903</v>
      </c>
      <c r="R660" s="298" t="s">
        <v>1229</v>
      </c>
      <c r="S660" s="340" t="s">
        <v>10</v>
      </c>
      <c r="T660" s="295" t="s">
        <v>449</v>
      </c>
      <c r="U660" s="332" t="s">
        <v>816</v>
      </c>
      <c r="V660" s="308" t="s">
        <v>553</v>
      </c>
      <c r="W660" s="298" t="s">
        <v>447</v>
      </c>
      <c r="X660" s="64" t="s">
        <v>521</v>
      </c>
      <c r="Y660" s="283" t="s">
        <v>1985</v>
      </c>
      <c r="Z660" s="282" t="s">
        <v>1592</v>
      </c>
      <c r="AA660" s="299"/>
      <c r="AB660" s="300" t="s">
        <v>225</v>
      </c>
      <c r="AC660" s="301" t="s">
        <v>2176</v>
      </c>
      <c r="AD660" s="302" t="s">
        <v>1042</v>
      </c>
      <c r="AE660" s="302" t="s">
        <v>2306</v>
      </c>
      <c r="AF660" s="302"/>
      <c r="AG660" s="302"/>
      <c r="AH660" s="301" t="s">
        <v>2177</v>
      </c>
    </row>
    <row r="661" spans="1:34">
      <c r="A661" s="51">
        <v>4191</v>
      </c>
      <c r="B661" s="81" t="str">
        <f t="shared" si="38"/>
        <v>105F</v>
      </c>
      <c r="C661" s="379" t="s">
        <v>1430</v>
      </c>
      <c r="D661" s="295" t="s">
        <v>1932</v>
      </c>
      <c r="E661" s="295" t="s">
        <v>1977</v>
      </c>
      <c r="F661" s="371" t="s">
        <v>1926</v>
      </c>
      <c r="G661" s="371" t="s">
        <v>1916</v>
      </c>
      <c r="H661" s="282" t="s">
        <v>637</v>
      </c>
      <c r="I661" s="295" t="s">
        <v>815</v>
      </c>
      <c r="J661" s="282" t="s">
        <v>0</v>
      </c>
      <c r="K661" s="282" t="s">
        <v>452</v>
      </c>
      <c r="L661" s="297" t="s">
        <v>2318</v>
      </c>
      <c r="M661" s="369" t="s">
        <v>1496</v>
      </c>
      <c r="N661" s="282" t="s">
        <v>1215</v>
      </c>
      <c r="O661" s="238" t="s">
        <v>1801</v>
      </c>
      <c r="P661" s="64" t="str">
        <f ca="1">IF(AND(OR(INDIRECT("K" &amp; ROW())="NAV-Premium",INDIRECT("K" &amp; ROW())="DA-Premium"),INDIRECT("M" &amp; ROW())="PARTITION_SCHEMA128__NavPiviJpn", INDIRECT("O" &amp; ROW())="JPN_SDB"),'SDB vs GN'!$B$41, IF(INDIRECT("H" &amp; ROW())="Chenc",'SDB vs GN'!$B$40, VLOOKUP(INDIRECT("O" &amp; ROW()),'SDB vs GN'!$A$16:$B$38,2,FALSE)))</f>
        <v>GCN1_JP_KR_LA_NA</v>
      </c>
      <c r="Q661" s="297" t="s">
        <v>1903</v>
      </c>
      <c r="R661" s="298" t="s">
        <v>1228</v>
      </c>
      <c r="S661" s="340" t="s">
        <v>10</v>
      </c>
      <c r="T661" s="367" t="s">
        <v>450</v>
      </c>
      <c r="U661" s="332" t="s">
        <v>816</v>
      </c>
      <c r="V661" s="308" t="s">
        <v>1989</v>
      </c>
      <c r="W661" s="298" t="s">
        <v>447</v>
      </c>
      <c r="X661" s="64" t="s">
        <v>521</v>
      </c>
      <c r="Y661" s="380" t="s">
        <v>1857</v>
      </c>
      <c r="Z661" s="282" t="s">
        <v>1593</v>
      </c>
      <c r="AA661" s="299"/>
      <c r="AB661" s="300" t="s">
        <v>225</v>
      </c>
      <c r="AC661" s="301" t="s">
        <v>1996</v>
      </c>
      <c r="AD661" s="302" t="s">
        <v>1042</v>
      </c>
      <c r="AE661" s="302"/>
      <c r="AF661" s="302"/>
      <c r="AG661" s="302"/>
      <c r="AH661" s="302" t="s">
        <v>1999</v>
      </c>
    </row>
    <row r="662" spans="1:34">
      <c r="A662" s="51">
        <v>4192</v>
      </c>
      <c r="B662" s="81" t="str">
        <f t="shared" ref="B662:B664" si="39">DEC2HEX(A662,4)</f>
        <v>1060</v>
      </c>
      <c r="C662" s="379" t="s">
        <v>1431</v>
      </c>
      <c r="D662" s="295" t="s">
        <v>1932</v>
      </c>
      <c r="E662" s="295" t="s">
        <v>1977</v>
      </c>
      <c r="F662" s="371" t="s">
        <v>1926</v>
      </c>
      <c r="G662" s="371" t="s">
        <v>1916</v>
      </c>
      <c r="H662" s="282" t="s">
        <v>637</v>
      </c>
      <c r="I662" s="295" t="s">
        <v>815</v>
      </c>
      <c r="J662" s="282" t="s">
        <v>0</v>
      </c>
      <c r="K662" s="282" t="s">
        <v>452</v>
      </c>
      <c r="L662" s="297" t="s">
        <v>2318</v>
      </c>
      <c r="M662" s="369" t="s">
        <v>1496</v>
      </c>
      <c r="N662" s="282" t="s">
        <v>1215</v>
      </c>
      <c r="O662" s="238" t="s">
        <v>1802</v>
      </c>
      <c r="P662" s="64" t="str">
        <f ca="1">IF(AND(OR(INDIRECT("K" &amp; ROW())="NAV-Premium",INDIRECT("K" &amp; ROW())="DA-Premium"),INDIRECT("M" &amp; ROW())="PARTITION_SCHEMA128__NavPiviJpn", INDIRECT("O" &amp; ROW())="JPN_SDB"),'SDB vs GN'!$B$41, IF(INDIRECT("H" &amp; ROW())="Chenc",'SDB vs GN'!$B$40, VLOOKUP(INDIRECT("O" &amp; ROW()),'SDB vs GN'!$A$16:$B$38,2,FALSE)))</f>
        <v>GCN2_CN_EU_NA</v>
      </c>
      <c r="Q662" s="297" t="s">
        <v>1903</v>
      </c>
      <c r="R662" s="298" t="s">
        <v>1229</v>
      </c>
      <c r="S662" s="340" t="s">
        <v>10</v>
      </c>
      <c r="T662" s="295" t="s">
        <v>449</v>
      </c>
      <c r="U662" s="332" t="s">
        <v>816</v>
      </c>
      <c r="V662" s="342" t="s">
        <v>1988</v>
      </c>
      <c r="W662" s="298" t="s">
        <v>447</v>
      </c>
      <c r="X662" s="64" t="s">
        <v>521</v>
      </c>
      <c r="Y662" s="380" t="s">
        <v>1857</v>
      </c>
      <c r="Z662" s="282" t="s">
        <v>1593</v>
      </c>
      <c r="AA662" s="299"/>
      <c r="AB662" s="300" t="s">
        <v>225</v>
      </c>
      <c r="AC662" s="301" t="s">
        <v>1997</v>
      </c>
      <c r="AD662" s="302" t="s">
        <v>1042</v>
      </c>
      <c r="AE662" s="302"/>
      <c r="AF662" s="302"/>
      <c r="AG662" s="302"/>
      <c r="AH662" s="302" t="s">
        <v>1998</v>
      </c>
    </row>
    <row r="663" spans="1:34">
      <c r="A663" s="51">
        <v>4193</v>
      </c>
      <c r="B663" s="81" t="str">
        <f t="shared" si="39"/>
        <v>1061</v>
      </c>
      <c r="C663" s="379" t="s">
        <v>1747</v>
      </c>
      <c r="D663" s="295" t="s">
        <v>1932</v>
      </c>
      <c r="E663" s="295" t="s">
        <v>1977</v>
      </c>
      <c r="F663" s="371" t="s">
        <v>1926</v>
      </c>
      <c r="G663" s="371" t="s">
        <v>1916</v>
      </c>
      <c r="H663" s="282" t="s">
        <v>637</v>
      </c>
      <c r="I663" s="295" t="s">
        <v>815</v>
      </c>
      <c r="J663" s="282" t="s">
        <v>0</v>
      </c>
      <c r="K663" s="282" t="s">
        <v>452</v>
      </c>
      <c r="L663" s="297" t="s">
        <v>2318</v>
      </c>
      <c r="M663" s="369" t="s">
        <v>1496</v>
      </c>
      <c r="N663" s="282" t="s">
        <v>1215</v>
      </c>
      <c r="O663" s="238" t="s">
        <v>1804</v>
      </c>
      <c r="P663" s="64" t="str">
        <f ca="1">IF(AND(OR(INDIRECT("K" &amp; ROW())="NAV-Premium",INDIRECT("K" &amp; ROW())="DA-Premium"),INDIRECT("M" &amp; ROW())="PARTITION_SCHEMA128__NavPiviJpn", INDIRECT("O" &amp; ROW())="JPN_SDB"),'SDB vs GN'!$B$41, IF(INDIRECT("H" &amp; ROW())="Chenc",'SDB vs GN'!$B$40, VLOOKUP(INDIRECT("O" &amp; ROW()),'SDB vs GN'!$A$16:$B$38,2,FALSE)))</f>
        <v>GCN2_CN_EU_NA</v>
      </c>
      <c r="Q663" s="297" t="s">
        <v>1903</v>
      </c>
      <c r="R663" s="298" t="s">
        <v>1229</v>
      </c>
      <c r="S663" s="340" t="s">
        <v>10</v>
      </c>
      <c r="T663" s="295" t="s">
        <v>449</v>
      </c>
      <c r="U663" s="332" t="s">
        <v>816</v>
      </c>
      <c r="V663" s="342" t="s">
        <v>994</v>
      </c>
      <c r="W663" s="298" t="s">
        <v>447</v>
      </c>
      <c r="X663" s="64" t="s">
        <v>521</v>
      </c>
      <c r="Y663" s="380" t="s">
        <v>1857</v>
      </c>
      <c r="Z663" s="282" t="s">
        <v>1593</v>
      </c>
      <c r="AA663" s="299"/>
      <c r="AB663" s="300" t="s">
        <v>225</v>
      </c>
      <c r="AC663" s="301" t="s">
        <v>1990</v>
      </c>
      <c r="AD663" s="302" t="s">
        <v>1042</v>
      </c>
      <c r="AE663" s="302"/>
      <c r="AF663" s="302"/>
      <c r="AG663" s="302"/>
      <c r="AH663" s="302" t="s">
        <v>1993</v>
      </c>
    </row>
    <row r="664" spans="1:34">
      <c r="A664" s="51">
        <v>4194</v>
      </c>
      <c r="B664" s="81" t="str">
        <f t="shared" si="39"/>
        <v>1062</v>
      </c>
      <c r="C664" s="379" t="s">
        <v>1438</v>
      </c>
      <c r="D664" s="295" t="s">
        <v>1932</v>
      </c>
      <c r="E664" s="295" t="s">
        <v>1977</v>
      </c>
      <c r="F664" s="335" t="s">
        <v>1995</v>
      </c>
      <c r="G664" s="335" t="s">
        <v>1994</v>
      </c>
      <c r="H664" s="282" t="s">
        <v>637</v>
      </c>
      <c r="I664" s="295" t="s">
        <v>5</v>
      </c>
      <c r="J664" s="282" t="s">
        <v>0</v>
      </c>
      <c r="K664" s="282" t="s">
        <v>452</v>
      </c>
      <c r="L664" s="297" t="s">
        <v>2318</v>
      </c>
      <c r="M664" s="369" t="s">
        <v>1496</v>
      </c>
      <c r="N664" s="282" t="s">
        <v>1215</v>
      </c>
      <c r="O664" s="238" t="s">
        <v>1801</v>
      </c>
      <c r="P664" s="64" t="str">
        <f ca="1">IF(AND(OR(INDIRECT("K" &amp; ROW())="NAV-Premium",INDIRECT("K" &amp; ROW())="DA-Premium"),INDIRECT("M" &amp; ROW())="PARTITION_SCHEMA128__NavPiviJpn", INDIRECT("O" &amp; ROW())="JPN_SDB"),'SDB vs GN'!$B$41, IF(INDIRECT("H" &amp; ROW())="Chenc",'SDB vs GN'!$B$40, VLOOKUP(INDIRECT("O" &amp; ROW()),'SDB vs GN'!$A$16:$B$38,2,FALSE)))</f>
        <v>GCN1_JP_KR_LA_NA</v>
      </c>
      <c r="Q664" s="297" t="s">
        <v>1903</v>
      </c>
      <c r="R664" s="298" t="s">
        <v>1354</v>
      </c>
      <c r="S664" s="340" t="s">
        <v>10</v>
      </c>
      <c r="T664" s="295" t="s">
        <v>449</v>
      </c>
      <c r="U664" s="332" t="s">
        <v>816</v>
      </c>
      <c r="V664" s="342" t="s">
        <v>615</v>
      </c>
      <c r="W664" s="298" t="s">
        <v>447</v>
      </c>
      <c r="X664" s="297" t="s">
        <v>362</v>
      </c>
      <c r="Y664" s="380" t="s">
        <v>1857</v>
      </c>
      <c r="Z664" s="282" t="s">
        <v>1593</v>
      </c>
      <c r="AA664" s="299"/>
      <c r="AB664" s="300" t="s">
        <v>225</v>
      </c>
      <c r="AC664" s="301" t="s">
        <v>1991</v>
      </c>
      <c r="AD664" s="302" t="s">
        <v>1042</v>
      </c>
      <c r="AE664" s="302"/>
      <c r="AF664" s="302"/>
      <c r="AG664" s="302"/>
      <c r="AH664" s="302" t="s">
        <v>1992</v>
      </c>
    </row>
    <row r="665" spans="1:34" ht="26.4">
      <c r="A665" s="51">
        <v>4195</v>
      </c>
      <c r="B665" s="81" t="str">
        <f t="shared" ref="B665:B666" si="40">DEC2HEX(A665,4)</f>
        <v>1063</v>
      </c>
      <c r="C665" s="329" t="s">
        <v>1438</v>
      </c>
      <c r="D665" s="295" t="s">
        <v>2013</v>
      </c>
      <c r="E665" s="295" t="s">
        <v>1977</v>
      </c>
      <c r="F665" s="335" t="s">
        <v>1927</v>
      </c>
      <c r="G665" s="335" t="s">
        <v>1913</v>
      </c>
      <c r="H665" s="282" t="s">
        <v>637</v>
      </c>
      <c r="I665" s="295" t="s">
        <v>5</v>
      </c>
      <c r="J665" s="282" t="s">
        <v>0</v>
      </c>
      <c r="K665" s="282" t="s">
        <v>452</v>
      </c>
      <c r="L665" s="297" t="s">
        <v>2318</v>
      </c>
      <c r="M665" s="282" t="s">
        <v>1496</v>
      </c>
      <c r="N665" s="282" t="s">
        <v>1215</v>
      </c>
      <c r="O665" s="238" t="s">
        <v>1801</v>
      </c>
      <c r="P665" s="64" t="str">
        <f ca="1">IF(AND(OR(INDIRECT("K" &amp; ROW())="NAV-Premium",INDIRECT("K" &amp; ROW())="DA-Premium"),INDIRECT("M" &amp; ROW())="PARTITION_SCHEMA128__NavPiviJpn", INDIRECT("O" &amp; ROW())="JPN_SDB"),'SDB vs GN'!$B$41, IF(INDIRECT("H" &amp; ROW())="Chenc",'SDB vs GN'!$B$40, VLOOKUP(INDIRECT("O" &amp; ROW()),'SDB vs GN'!$A$16:$B$38,2,FALSE)))</f>
        <v>GCN1_JP_KR_LA_NA</v>
      </c>
      <c r="Q665" s="297" t="s">
        <v>1903</v>
      </c>
      <c r="R665" s="298" t="s">
        <v>1354</v>
      </c>
      <c r="S665" s="340" t="s">
        <v>10</v>
      </c>
      <c r="T665" s="295" t="s">
        <v>449</v>
      </c>
      <c r="U665" s="332" t="s">
        <v>816</v>
      </c>
      <c r="V665" s="308" t="s">
        <v>615</v>
      </c>
      <c r="W665" s="298" t="s">
        <v>447</v>
      </c>
      <c r="X665" s="297" t="s">
        <v>362</v>
      </c>
      <c r="Y665" s="282" t="s">
        <v>2014</v>
      </c>
      <c r="Z665" s="282" t="s">
        <v>1593</v>
      </c>
      <c r="AA665" s="299"/>
      <c r="AB665" s="300" t="s">
        <v>225</v>
      </c>
      <c r="AC665" s="301" t="s">
        <v>2149</v>
      </c>
      <c r="AD665" s="302" t="s">
        <v>1042</v>
      </c>
      <c r="AE665" s="302" t="s">
        <v>2303</v>
      </c>
      <c r="AF665" s="302"/>
      <c r="AG665" s="302"/>
      <c r="AH665" s="302" t="s">
        <v>2148</v>
      </c>
    </row>
    <row r="666" spans="1:34" ht="330">
      <c r="A666" s="51">
        <v>4196</v>
      </c>
      <c r="B666" s="81" t="str">
        <f t="shared" si="40"/>
        <v>1064</v>
      </c>
      <c r="C666" s="329" t="s">
        <v>2096</v>
      </c>
      <c r="D666" s="295" t="s">
        <v>1933</v>
      </c>
      <c r="E666" s="295" t="s">
        <v>1977</v>
      </c>
      <c r="F666" s="177" t="s">
        <v>1359</v>
      </c>
      <c r="G666" s="177" t="s">
        <v>2109</v>
      </c>
      <c r="H666" s="282" t="s">
        <v>637</v>
      </c>
      <c r="I666" s="314" t="s">
        <v>4</v>
      </c>
      <c r="J666" s="282" t="s">
        <v>0</v>
      </c>
      <c r="K666" s="282" t="s">
        <v>451</v>
      </c>
      <c r="L666" s="297" t="s">
        <v>2318</v>
      </c>
      <c r="M666" s="282" t="s">
        <v>1403</v>
      </c>
      <c r="N666" s="282" t="s">
        <v>1215</v>
      </c>
      <c r="O666" s="296" t="s">
        <v>1801</v>
      </c>
      <c r="P666" s="64" t="str">
        <f ca="1">IF(AND(OR(INDIRECT("K" &amp; ROW())="NAV-Premium",INDIRECT("K" &amp; ROW())="DA-Premium"),INDIRECT("M" &amp; ROW())="PARTITION_SCHEMA128__NavPiviJpn", INDIRECT("O" &amp; ROW())="JPN_SDB"),'SDB vs GN'!$B$41, IF(INDIRECT("H" &amp; ROW())="Chenc",'SDB vs GN'!$B$40, VLOOKUP(INDIRECT("O" &amp; ROW()),'SDB vs GN'!$A$16:$B$38,2,FALSE)))</f>
        <v>GCN1_JP_KR_LA_NA</v>
      </c>
      <c r="Q666" s="297" t="s">
        <v>1903</v>
      </c>
      <c r="R666" s="298" t="s">
        <v>1398</v>
      </c>
      <c r="S666" s="340" t="s">
        <v>10</v>
      </c>
      <c r="T666" s="367" t="s">
        <v>450</v>
      </c>
      <c r="U666" s="332" t="s">
        <v>816</v>
      </c>
      <c r="V666" s="308" t="s">
        <v>7</v>
      </c>
      <c r="W666" s="298" t="s">
        <v>447</v>
      </c>
      <c r="X666" s="64" t="s">
        <v>521</v>
      </c>
      <c r="Y666" s="282" t="s">
        <v>1556</v>
      </c>
      <c r="Z666" s="282" t="s">
        <v>1592</v>
      </c>
      <c r="AA666" s="299"/>
      <c r="AB666" s="300" t="s">
        <v>225</v>
      </c>
      <c r="AC666" s="301" t="s">
        <v>2592</v>
      </c>
      <c r="AD666" s="302" t="s">
        <v>1042</v>
      </c>
      <c r="AE666" s="301" t="s">
        <v>2304</v>
      </c>
      <c r="AF666" s="302"/>
      <c r="AG666" s="302"/>
      <c r="AH666" s="302" t="s">
        <v>2593</v>
      </c>
    </row>
    <row r="667" spans="1:34" ht="290.39999999999998">
      <c r="A667" s="51">
        <v>4197</v>
      </c>
      <c r="B667" s="81" t="str">
        <f t="shared" ref="B667:B669" si="41">DEC2HEX(A667,4)</f>
        <v>1065</v>
      </c>
      <c r="C667" s="329" t="s">
        <v>2135</v>
      </c>
      <c r="D667" s="295" t="s">
        <v>1933</v>
      </c>
      <c r="E667" s="295" t="s">
        <v>1977</v>
      </c>
      <c r="F667" s="177" t="s">
        <v>1359</v>
      </c>
      <c r="G667" s="177" t="s">
        <v>2109</v>
      </c>
      <c r="H667" s="282" t="s">
        <v>637</v>
      </c>
      <c r="I667" s="314" t="s">
        <v>4</v>
      </c>
      <c r="J667" s="282" t="s">
        <v>0</v>
      </c>
      <c r="K667" s="282" t="s">
        <v>451</v>
      </c>
      <c r="L667" s="297" t="s">
        <v>2318</v>
      </c>
      <c r="M667" s="282" t="s">
        <v>1403</v>
      </c>
      <c r="N667" s="282" t="s">
        <v>1215</v>
      </c>
      <c r="O667" s="238" t="s">
        <v>1805</v>
      </c>
      <c r="P667" s="64" t="str">
        <f ca="1">IF(AND(OR(INDIRECT("K" &amp; ROW())="NAV-Premium",INDIRECT("K" &amp; ROW())="DA-Premium"),INDIRECT("M" &amp; ROW())="PARTITION_SCHEMA128__NavPiviJpn", INDIRECT("O" &amp; ROW())="JPN_SDB"),'SDB vs GN'!$B$41, IF(INDIRECT("H" &amp; ROW())="Chenc",'SDB vs GN'!$B$40, VLOOKUP(INDIRECT("O" &amp; ROW()),'SDB vs GN'!$A$16:$B$38,2,FALSE)))</f>
        <v>GCN2_CN_EU_NA</v>
      </c>
      <c r="Q667" s="297" t="s">
        <v>1903</v>
      </c>
      <c r="R667" s="298" t="s">
        <v>1229</v>
      </c>
      <c r="S667" s="340" t="s">
        <v>10</v>
      </c>
      <c r="T667" s="295" t="s">
        <v>449</v>
      </c>
      <c r="U667" s="332" t="s">
        <v>816</v>
      </c>
      <c r="V667" s="308" t="s">
        <v>7</v>
      </c>
      <c r="W667" s="298" t="s">
        <v>447</v>
      </c>
      <c r="X667" s="64" t="s">
        <v>521</v>
      </c>
      <c r="Y667" s="282" t="s">
        <v>1556</v>
      </c>
      <c r="Z667" s="282" t="s">
        <v>1592</v>
      </c>
      <c r="AA667" s="299"/>
      <c r="AB667" s="300" t="s">
        <v>225</v>
      </c>
      <c r="AC667" s="301" t="s">
        <v>2564</v>
      </c>
      <c r="AD667" s="302" t="s">
        <v>1042</v>
      </c>
      <c r="AE667" s="301" t="s">
        <v>2305</v>
      </c>
      <c r="AF667" s="302"/>
      <c r="AG667" s="302"/>
      <c r="AH667" s="302" t="s">
        <v>2563</v>
      </c>
    </row>
    <row r="668" spans="1:34" ht="409.6">
      <c r="A668" s="51">
        <v>4198</v>
      </c>
      <c r="B668" s="81" t="str">
        <f t="shared" si="41"/>
        <v>1066</v>
      </c>
      <c r="C668" s="329" t="s">
        <v>2385</v>
      </c>
      <c r="D668" s="295" t="s">
        <v>1933</v>
      </c>
      <c r="E668" s="295" t="s">
        <v>1977</v>
      </c>
      <c r="F668" s="177" t="s">
        <v>1359</v>
      </c>
      <c r="G668" s="177" t="s">
        <v>2109</v>
      </c>
      <c r="H668" s="282" t="s">
        <v>637</v>
      </c>
      <c r="I668" s="314" t="s">
        <v>4</v>
      </c>
      <c r="J668" s="282" t="s">
        <v>0</v>
      </c>
      <c r="K668" s="282" t="s">
        <v>451</v>
      </c>
      <c r="L668" s="297" t="s">
        <v>2318</v>
      </c>
      <c r="M668" s="282" t="s">
        <v>1403</v>
      </c>
      <c r="N668" s="282" t="s">
        <v>1215</v>
      </c>
      <c r="O668" s="296" t="s">
        <v>1803</v>
      </c>
      <c r="P668" s="64" t="str">
        <f ca="1">IF(AND(OR(INDIRECT("K" &amp; ROW())="NAV-Premium",INDIRECT("K" &amp; ROW())="DA-Premium"),INDIRECT("M" &amp; ROW())="PARTITION_SCHEMA128__NavPiviJpn", INDIRECT("O" &amp; ROW())="JPN_SDB"),'SDB vs GN'!$B$41, IF(INDIRECT("H" &amp; ROW())="Chenc",'SDB vs GN'!$B$40, VLOOKUP(INDIRECT("O" &amp; ROW()),'SDB vs GN'!$A$16:$B$38,2,FALSE)))</f>
        <v>GCN3_CN_LA_NA</v>
      </c>
      <c r="Q668" s="297" t="s">
        <v>1903</v>
      </c>
      <c r="R668" s="298" t="s">
        <v>1398</v>
      </c>
      <c r="S668" s="340" t="s">
        <v>10</v>
      </c>
      <c r="T668" s="295" t="s">
        <v>449</v>
      </c>
      <c r="U668" s="332" t="s">
        <v>816</v>
      </c>
      <c r="V668" s="308" t="s">
        <v>7</v>
      </c>
      <c r="W668" s="298" t="s">
        <v>447</v>
      </c>
      <c r="X668" s="297" t="s">
        <v>521</v>
      </c>
      <c r="Y668" s="282" t="s">
        <v>1556</v>
      </c>
      <c r="Z668" s="282" t="s">
        <v>1592</v>
      </c>
      <c r="AA668" s="299"/>
      <c r="AB668" s="300" t="s">
        <v>225</v>
      </c>
      <c r="AC668" s="301" t="s">
        <v>2802</v>
      </c>
      <c r="AD668" s="302" t="s">
        <v>1042</v>
      </c>
      <c r="AE668" s="301" t="s">
        <v>2301</v>
      </c>
      <c r="AF668" s="302"/>
      <c r="AG668" s="302"/>
      <c r="AH668" s="302" t="s">
        <v>2801</v>
      </c>
    </row>
    <row r="669" spans="1:34" ht="39.6">
      <c r="A669" s="51">
        <v>4199</v>
      </c>
      <c r="B669" s="81" t="str">
        <f t="shared" si="41"/>
        <v>1067</v>
      </c>
      <c r="C669" s="375" t="s">
        <v>2095</v>
      </c>
      <c r="D669" s="295" t="s">
        <v>1933</v>
      </c>
      <c r="E669" s="295" t="s">
        <v>1977</v>
      </c>
      <c r="F669" s="177" t="s">
        <v>1359</v>
      </c>
      <c r="G669" s="177" t="s">
        <v>2109</v>
      </c>
      <c r="H669" s="282" t="s">
        <v>637</v>
      </c>
      <c r="I669" s="314" t="s">
        <v>4</v>
      </c>
      <c r="J669" s="282" t="s">
        <v>0</v>
      </c>
      <c r="K669" s="282" t="s">
        <v>451</v>
      </c>
      <c r="L669" s="297" t="s">
        <v>2318</v>
      </c>
      <c r="M669" s="282" t="s">
        <v>1403</v>
      </c>
      <c r="N669" s="282" t="s">
        <v>1215</v>
      </c>
      <c r="O669" s="238" t="s">
        <v>1804</v>
      </c>
      <c r="P669" s="64" t="str">
        <f ca="1">IF(AND(OR(INDIRECT("K" &amp; ROW())="NAV-Premium",INDIRECT("K" &amp; ROW())="DA-Premium"),INDIRECT("M" &amp; ROW())="PARTITION_SCHEMA128__NavPiviJpn", INDIRECT("O" &amp; ROW())="JPN_SDB"),'SDB vs GN'!$B$41, IF(INDIRECT("H" &amp; ROW())="Chenc",'SDB vs GN'!$B$40, VLOOKUP(INDIRECT("O" &amp; ROW()),'SDB vs GN'!$A$16:$B$38,2,FALSE)))</f>
        <v>GCN2_CN_EU_NA</v>
      </c>
      <c r="Q669" s="297" t="s">
        <v>1903</v>
      </c>
      <c r="R669" s="298" t="s">
        <v>1229</v>
      </c>
      <c r="S669" s="340" t="s">
        <v>10</v>
      </c>
      <c r="T669" s="295" t="s">
        <v>449</v>
      </c>
      <c r="U669" s="332" t="s">
        <v>816</v>
      </c>
      <c r="V669" s="308" t="s">
        <v>7</v>
      </c>
      <c r="W669" s="298" t="s">
        <v>447</v>
      </c>
      <c r="X669" s="64" t="s">
        <v>521</v>
      </c>
      <c r="Y669" s="282" t="s">
        <v>1556</v>
      </c>
      <c r="Z669" s="282" t="s">
        <v>1592</v>
      </c>
      <c r="AA669" s="299"/>
      <c r="AB669" s="300" t="s">
        <v>225</v>
      </c>
      <c r="AC669" s="301" t="s">
        <v>2088</v>
      </c>
      <c r="AD669" s="302" t="s">
        <v>1042</v>
      </c>
      <c r="AE669" s="382" t="s">
        <v>2078</v>
      </c>
      <c r="AF669" s="302"/>
      <c r="AG669" s="302"/>
      <c r="AH669" s="397" t="s">
        <v>2100</v>
      </c>
    </row>
    <row r="670" spans="1:34">
      <c r="A670" s="51">
        <v>4200</v>
      </c>
      <c r="B670" s="81" t="str">
        <f t="shared" ref="B670:B671" si="42">DEC2HEX(A670,4)</f>
        <v>1068</v>
      </c>
      <c r="C670" s="375" t="s">
        <v>2093</v>
      </c>
      <c r="D670" s="295" t="s">
        <v>1933</v>
      </c>
      <c r="E670" s="295" t="s">
        <v>1977</v>
      </c>
      <c r="F670" s="177" t="s">
        <v>1359</v>
      </c>
      <c r="G670" s="177" t="s">
        <v>2109</v>
      </c>
      <c r="H670" s="282" t="s">
        <v>637</v>
      </c>
      <c r="I670" s="314" t="s">
        <v>4</v>
      </c>
      <c r="J670" s="282" t="s">
        <v>0</v>
      </c>
      <c r="K670" s="282" t="s">
        <v>451</v>
      </c>
      <c r="L670" s="297" t="s">
        <v>2318</v>
      </c>
      <c r="M670" s="282" t="s">
        <v>1403</v>
      </c>
      <c r="N670" s="282" t="s">
        <v>1215</v>
      </c>
      <c r="O670" s="296" t="s">
        <v>1805</v>
      </c>
      <c r="P670" s="64" t="str">
        <f ca="1">IF(AND(OR(INDIRECT("K" &amp; ROW())="NAV-Premium",INDIRECT("K" &amp; ROW())="DA-Premium"),INDIRECT("M" &amp; ROW())="PARTITION_SCHEMA128__NavPiviJpn", INDIRECT("O" &amp; ROW())="JPN_SDB"),'SDB vs GN'!$B$41, IF(INDIRECT("H" &amp; ROW())="Chenc",'SDB vs GN'!$B$40, VLOOKUP(INDIRECT("O" &amp; ROW()),'SDB vs GN'!$A$16:$B$38,2,FALSE)))</f>
        <v>GCN2_CN_EU_NA</v>
      </c>
      <c r="Q670" s="297" t="s">
        <v>1903</v>
      </c>
      <c r="R670" s="298" t="s">
        <v>1229</v>
      </c>
      <c r="S670" s="340" t="s">
        <v>10</v>
      </c>
      <c r="T670" s="295" t="s">
        <v>449</v>
      </c>
      <c r="U670" s="332" t="s">
        <v>816</v>
      </c>
      <c r="V670" s="308" t="s">
        <v>7</v>
      </c>
      <c r="W670" s="298" t="s">
        <v>447</v>
      </c>
      <c r="X670" s="64" t="s">
        <v>521</v>
      </c>
      <c r="Y670" s="282" t="s">
        <v>1556</v>
      </c>
      <c r="Z670" s="282" t="s">
        <v>1592</v>
      </c>
      <c r="AA670" s="299"/>
      <c r="AB670" s="300" t="s">
        <v>225</v>
      </c>
      <c r="AC670" s="307" t="s">
        <v>2097</v>
      </c>
      <c r="AD670" s="302" t="s">
        <v>1042</v>
      </c>
      <c r="AE670" s="302"/>
      <c r="AF670" s="302"/>
      <c r="AG670" s="302"/>
      <c r="AH670" s="397" t="s">
        <v>2099</v>
      </c>
    </row>
    <row r="671" spans="1:34">
      <c r="A671" s="51">
        <v>4201</v>
      </c>
      <c r="B671" s="81" t="str">
        <f t="shared" si="42"/>
        <v>1069</v>
      </c>
      <c r="C671" s="375" t="s">
        <v>2296</v>
      </c>
      <c r="D671" s="295" t="s">
        <v>1933</v>
      </c>
      <c r="E671" s="295" t="s">
        <v>1977</v>
      </c>
      <c r="F671" s="177" t="s">
        <v>1359</v>
      </c>
      <c r="G671" s="177" t="s">
        <v>2109</v>
      </c>
      <c r="H671" s="282" t="s">
        <v>637</v>
      </c>
      <c r="I671" s="314" t="s">
        <v>4</v>
      </c>
      <c r="J671" s="282" t="s">
        <v>0</v>
      </c>
      <c r="K671" s="282" t="s">
        <v>451</v>
      </c>
      <c r="L671" s="297" t="s">
        <v>2318</v>
      </c>
      <c r="M671" s="282" t="s">
        <v>1403</v>
      </c>
      <c r="N671" s="282" t="s">
        <v>1215</v>
      </c>
      <c r="O671" s="296" t="s">
        <v>1803</v>
      </c>
      <c r="P671" s="64" t="str">
        <f ca="1">IF(AND(OR(INDIRECT("K" &amp; ROW())="NAV-Premium",INDIRECT("K" &amp; ROW())="DA-Premium"),INDIRECT("M" &amp; ROW())="PARTITION_SCHEMA128__NavPiviJpn", INDIRECT("O" &amp; ROW())="JPN_SDB"),'SDB vs GN'!$B$41, IF(INDIRECT("H" &amp; ROW())="Chenc",'SDB vs GN'!$B$40, VLOOKUP(INDIRECT("O" &amp; ROW()),'SDB vs GN'!$A$16:$B$38,2,FALSE)))</f>
        <v>GCN3_CN_LA_NA</v>
      </c>
      <c r="Q671" s="297" t="s">
        <v>1903</v>
      </c>
      <c r="R671" s="298" t="s">
        <v>1229</v>
      </c>
      <c r="S671" s="340" t="s">
        <v>10</v>
      </c>
      <c r="T671" s="295" t="s">
        <v>449</v>
      </c>
      <c r="U671" s="332" t="s">
        <v>816</v>
      </c>
      <c r="V671" s="308" t="s">
        <v>7</v>
      </c>
      <c r="W671" s="298" t="s">
        <v>447</v>
      </c>
      <c r="X671" s="64" t="s">
        <v>521</v>
      </c>
      <c r="Y671" s="282" t="s">
        <v>1556</v>
      </c>
      <c r="Z671" s="282" t="s">
        <v>1592</v>
      </c>
      <c r="AA671" s="299"/>
      <c r="AB671" s="300" t="s">
        <v>225</v>
      </c>
      <c r="AC671" s="307" t="s">
        <v>2294</v>
      </c>
      <c r="AD671" s="302" t="s">
        <v>1042</v>
      </c>
      <c r="AE671" s="302"/>
      <c r="AF671" s="302"/>
      <c r="AG671" s="302"/>
      <c r="AH671" s="397" t="s">
        <v>2295</v>
      </c>
    </row>
    <row r="672" spans="1:34" ht="171.6">
      <c r="A672" s="51">
        <v>4202</v>
      </c>
      <c r="B672" s="81" t="str">
        <f t="shared" ref="B672:B673" si="43">DEC2HEX(A672,4)</f>
        <v>106A</v>
      </c>
      <c r="C672" s="329" t="s">
        <v>2104</v>
      </c>
      <c r="D672" s="295" t="s">
        <v>1934</v>
      </c>
      <c r="E672" s="295" t="s">
        <v>1977</v>
      </c>
      <c r="F672" s="371" t="s">
        <v>1230</v>
      </c>
      <c r="G672" s="252" t="s">
        <v>1918</v>
      </c>
      <c r="H672" s="282" t="s">
        <v>637</v>
      </c>
      <c r="I672" s="295" t="s">
        <v>815</v>
      </c>
      <c r="J672" s="282" t="s">
        <v>0</v>
      </c>
      <c r="K672" s="282" t="s">
        <v>452</v>
      </c>
      <c r="L672" s="297" t="s">
        <v>2318</v>
      </c>
      <c r="M672" s="282" t="s">
        <v>1401</v>
      </c>
      <c r="N672" s="282" t="s">
        <v>1400</v>
      </c>
      <c r="O672" s="238" t="s">
        <v>1801</v>
      </c>
      <c r="P672" s="64" t="str">
        <f ca="1">IF(AND(OR(INDIRECT("K" &amp; ROW())="NAV-Premium",INDIRECT("K" &amp; ROW())="DA-Premium"),INDIRECT("M" &amp; ROW())="PARTITION_SCHEMA128__NavPiviJpn", INDIRECT("O" &amp; ROW())="JPN_SDB"),'SDB vs GN'!$B$41, IF(INDIRECT("H" &amp; ROW())="Chenc",'SDB vs GN'!$B$40, VLOOKUP(INDIRECT("O" &amp; ROW()),'SDB vs GN'!$A$16:$B$38,2,FALSE)))</f>
        <v>GCN1_JP_KR_LA_NA</v>
      </c>
      <c r="Q672" s="297" t="s">
        <v>1903</v>
      </c>
      <c r="R672" s="298" t="s">
        <v>1229</v>
      </c>
      <c r="S672" s="340" t="s">
        <v>10</v>
      </c>
      <c r="T672" s="295" t="s">
        <v>449</v>
      </c>
      <c r="U672" s="332" t="s">
        <v>816</v>
      </c>
      <c r="V672" s="308" t="s">
        <v>1989</v>
      </c>
      <c r="W672" s="298" t="s">
        <v>447</v>
      </c>
      <c r="X672" s="64" t="s">
        <v>521</v>
      </c>
      <c r="Y672" s="282" t="s">
        <v>1556</v>
      </c>
      <c r="Z672" s="282" t="s">
        <v>1593</v>
      </c>
      <c r="AA672" s="299"/>
      <c r="AB672" s="300" t="s">
        <v>225</v>
      </c>
      <c r="AC672" s="307" t="s">
        <v>2550</v>
      </c>
      <c r="AD672" s="302" t="s">
        <v>1042</v>
      </c>
      <c r="AE672" s="302" t="s">
        <v>2492</v>
      </c>
      <c r="AF672" s="302"/>
      <c r="AG672" s="302"/>
      <c r="AH672" s="302" t="s">
        <v>2551</v>
      </c>
    </row>
    <row r="673" spans="1:34">
      <c r="A673" s="51">
        <v>4203</v>
      </c>
      <c r="B673" s="81" t="str">
        <f t="shared" si="43"/>
        <v>106B</v>
      </c>
      <c r="C673" s="375" t="s">
        <v>1984</v>
      </c>
      <c r="D673" s="295" t="s">
        <v>1981</v>
      </c>
      <c r="E673" s="295" t="s">
        <v>1977</v>
      </c>
      <c r="F673" s="78" t="s">
        <v>1919</v>
      </c>
      <c r="G673" s="78" t="s">
        <v>1917</v>
      </c>
      <c r="H673" s="282" t="s">
        <v>637</v>
      </c>
      <c r="I673" s="295" t="s">
        <v>815</v>
      </c>
      <c r="J673" s="282" t="s">
        <v>1</v>
      </c>
      <c r="K673" s="282" t="s">
        <v>749</v>
      </c>
      <c r="L673" s="345" t="s">
        <v>2220</v>
      </c>
      <c r="M673" s="55" t="s">
        <v>1399</v>
      </c>
      <c r="N673" s="282" t="s">
        <v>1215</v>
      </c>
      <c r="O673" s="377" t="s">
        <v>1805</v>
      </c>
      <c r="P673" s="64" t="str">
        <f ca="1">IF(AND(OR(INDIRECT("K" &amp; ROW())="NAV-Premium",INDIRECT("K" &amp; ROW())="DA-Premium"),INDIRECT("M" &amp; ROW())="PARTITION_SCHEMA128__NavPiviJpn", INDIRECT("O" &amp; ROW())="JPN_SDB"),'SDB vs GN'!$B$41, IF(INDIRECT("H" &amp; ROW())="Chenc",'SDB vs GN'!$B$40, VLOOKUP(INDIRECT("O" &amp; ROW()),'SDB vs GN'!$A$16:$B$38,2,FALSE)))</f>
        <v>GCN2_CN_EU_NA</v>
      </c>
      <c r="Q673" s="297" t="s">
        <v>1903</v>
      </c>
      <c r="R673" s="298" t="s">
        <v>1229</v>
      </c>
      <c r="S673" s="340" t="s">
        <v>10</v>
      </c>
      <c r="T673" s="295" t="s">
        <v>449</v>
      </c>
      <c r="U673" s="332" t="s">
        <v>816</v>
      </c>
      <c r="V673" s="308" t="s">
        <v>553</v>
      </c>
      <c r="W673" s="298" t="s">
        <v>447</v>
      </c>
      <c r="X673" s="64" t="s">
        <v>521</v>
      </c>
      <c r="Y673" s="283" t="s">
        <v>1985</v>
      </c>
      <c r="Z673" s="282" t="s">
        <v>1592</v>
      </c>
      <c r="AA673" s="299"/>
      <c r="AB673" s="300" t="s">
        <v>225</v>
      </c>
      <c r="AC673" s="301" t="s">
        <v>2107</v>
      </c>
      <c r="AD673" s="302" t="s">
        <v>1042</v>
      </c>
      <c r="AE673" s="302"/>
      <c r="AF673" s="302"/>
      <c r="AG673" s="302"/>
      <c r="AH673" s="301" t="s">
        <v>2108</v>
      </c>
    </row>
    <row r="674" spans="1:34" ht="290.39999999999998">
      <c r="A674" s="51">
        <v>4204</v>
      </c>
      <c r="B674" s="81" t="str">
        <f t="shared" ref="B674:B675" si="44">DEC2HEX(A674,4)</f>
        <v>106C</v>
      </c>
      <c r="C674" s="329" t="s">
        <v>1438</v>
      </c>
      <c r="D674" s="295" t="s">
        <v>2150</v>
      </c>
      <c r="E674" s="295" t="s">
        <v>1977</v>
      </c>
      <c r="F674" s="335" t="s">
        <v>1927</v>
      </c>
      <c r="G674" s="335" t="s">
        <v>1913</v>
      </c>
      <c r="H674" s="282" t="s">
        <v>637</v>
      </c>
      <c r="I674" s="295" t="s">
        <v>5</v>
      </c>
      <c r="J674" s="282" t="s">
        <v>0</v>
      </c>
      <c r="K674" s="282" t="s">
        <v>452</v>
      </c>
      <c r="L674" s="297" t="s">
        <v>2318</v>
      </c>
      <c r="M674" s="282" t="s">
        <v>1496</v>
      </c>
      <c r="N674" s="282" t="s">
        <v>1215</v>
      </c>
      <c r="O674" s="238" t="s">
        <v>1801</v>
      </c>
      <c r="P674" s="64" t="str">
        <f ca="1">IF(AND(OR(INDIRECT("K" &amp; ROW())="NAV-Premium",INDIRECT("K" &amp; ROW())="DA-Premium"),INDIRECT("M" &amp; ROW())="PARTITION_SCHEMA128__NavPiviJpn", INDIRECT("O" &amp; ROW())="JPN_SDB"),'SDB vs GN'!$B$41, IF(INDIRECT("H" &amp; ROW())="Chenc",'SDB vs GN'!$B$40, VLOOKUP(INDIRECT("O" &amp; ROW()),'SDB vs GN'!$A$16:$B$38,2,FALSE)))</f>
        <v>GCN1_JP_KR_LA_NA</v>
      </c>
      <c r="Q674" s="297" t="s">
        <v>1903</v>
      </c>
      <c r="R674" s="298" t="s">
        <v>1354</v>
      </c>
      <c r="S674" s="340" t="s">
        <v>10</v>
      </c>
      <c r="T674" s="295" t="s">
        <v>449</v>
      </c>
      <c r="U674" s="332" t="s">
        <v>816</v>
      </c>
      <c r="V674" s="308" t="s">
        <v>615</v>
      </c>
      <c r="W674" s="298" t="s">
        <v>447</v>
      </c>
      <c r="X674" s="297" t="s">
        <v>362</v>
      </c>
      <c r="Y674" s="282" t="s">
        <v>2014</v>
      </c>
      <c r="Z674" s="282" t="s">
        <v>1593</v>
      </c>
      <c r="AA674" s="299"/>
      <c r="AB674" s="300" t="s">
        <v>225</v>
      </c>
      <c r="AC674" s="301" t="s">
        <v>2674</v>
      </c>
      <c r="AD674" s="302" t="s">
        <v>1042</v>
      </c>
      <c r="AE674" s="302" t="s">
        <v>2479</v>
      </c>
      <c r="AF674" s="302"/>
      <c r="AG674" s="302"/>
      <c r="AH674" s="302" t="s">
        <v>2675</v>
      </c>
    </row>
    <row r="675" spans="1:34" ht="409.6">
      <c r="A675" s="51">
        <v>4205</v>
      </c>
      <c r="B675" s="81" t="str">
        <f t="shared" si="44"/>
        <v>106D</v>
      </c>
      <c r="C675" s="329" t="s">
        <v>2157</v>
      </c>
      <c r="D675" s="295" t="s">
        <v>1934</v>
      </c>
      <c r="E675" s="295" t="s">
        <v>1977</v>
      </c>
      <c r="F675" s="371" t="s">
        <v>1230</v>
      </c>
      <c r="G675" s="252" t="s">
        <v>1918</v>
      </c>
      <c r="H675" s="282" t="s">
        <v>637</v>
      </c>
      <c r="I675" s="295" t="s">
        <v>815</v>
      </c>
      <c r="J675" s="282" t="s">
        <v>0</v>
      </c>
      <c r="K675" s="282" t="s">
        <v>452</v>
      </c>
      <c r="L675" s="297" t="s">
        <v>2318</v>
      </c>
      <c r="M675" s="282" t="s">
        <v>1401</v>
      </c>
      <c r="N675" s="282" t="s">
        <v>1400</v>
      </c>
      <c r="O675" s="238" t="s">
        <v>1801</v>
      </c>
      <c r="P675" s="64" t="str">
        <f ca="1">IF(AND(OR(INDIRECT("K" &amp; ROW())="NAV-Premium",INDIRECT("K" &amp; ROW())="DA-Premium"),INDIRECT("M" &amp; ROW())="PARTITION_SCHEMA128__NavPiviJpn", INDIRECT("O" &amp; ROW())="JPN_SDB"),'SDB vs GN'!$B$41, IF(INDIRECT("H" &amp; ROW())="Chenc",'SDB vs GN'!$B$40, VLOOKUP(INDIRECT("O" &amp; ROW()),'SDB vs GN'!$A$16:$B$38,2,FALSE)))</f>
        <v>GCN1_JP_KR_LA_NA</v>
      </c>
      <c r="Q675" s="297" t="s">
        <v>1903</v>
      </c>
      <c r="R675" s="298" t="s">
        <v>1398</v>
      </c>
      <c r="S675" s="340" t="s">
        <v>10</v>
      </c>
      <c r="T675" s="367" t="s">
        <v>450</v>
      </c>
      <c r="U675" s="332" t="s">
        <v>816</v>
      </c>
      <c r="V675" s="308" t="s">
        <v>1989</v>
      </c>
      <c r="W675" s="298" t="s">
        <v>447</v>
      </c>
      <c r="X675" s="64" t="s">
        <v>521</v>
      </c>
      <c r="Y675" s="282" t="s">
        <v>1556</v>
      </c>
      <c r="Z675" s="282" t="s">
        <v>1593</v>
      </c>
      <c r="AA675" s="299"/>
      <c r="AB675" s="300" t="s">
        <v>225</v>
      </c>
      <c r="AC675" s="301" t="s">
        <v>2653</v>
      </c>
      <c r="AD675" s="302" t="s">
        <v>1042</v>
      </c>
      <c r="AE675" s="302" t="s">
        <v>2485</v>
      </c>
      <c r="AF675" s="302"/>
      <c r="AG675" s="302"/>
      <c r="AH675" s="302" t="s">
        <v>2652</v>
      </c>
    </row>
    <row r="676" spans="1:34" ht="343.2">
      <c r="A676" s="387">
        <v>4206</v>
      </c>
      <c r="B676" s="388" t="str">
        <f t="shared" ref="B676:B677" si="45">DEC2HEX(A676,4)</f>
        <v>106E</v>
      </c>
      <c r="C676" s="329" t="s">
        <v>2136</v>
      </c>
      <c r="D676" s="295" t="s">
        <v>2171</v>
      </c>
      <c r="E676" s="295" t="s">
        <v>1977</v>
      </c>
      <c r="F676" s="371" t="s">
        <v>1230</v>
      </c>
      <c r="G676" s="252" t="s">
        <v>1918</v>
      </c>
      <c r="H676" s="282" t="s">
        <v>637</v>
      </c>
      <c r="I676" s="295" t="s">
        <v>815</v>
      </c>
      <c r="J676" s="282" t="s">
        <v>0</v>
      </c>
      <c r="K676" s="282" t="s">
        <v>452</v>
      </c>
      <c r="L676" s="297" t="s">
        <v>2318</v>
      </c>
      <c r="M676" s="282" t="s">
        <v>1401</v>
      </c>
      <c r="N676" s="282" t="s">
        <v>1400</v>
      </c>
      <c r="O676" s="304" t="s">
        <v>1802</v>
      </c>
      <c r="P676" s="64" t="str">
        <f ca="1">IF(AND(OR(INDIRECT("K" &amp; ROW())="NAV-Premium",INDIRECT("K" &amp; ROW())="DA-Premium"),INDIRECT("M" &amp; ROW())="PARTITION_SCHEMA128__NavPiviJpn", INDIRECT("O" &amp; ROW())="JPN_SDB"),'SDB vs GN'!$B$41, IF(INDIRECT("H" &amp; ROW())="Chenc",'SDB vs GN'!$B$40, VLOOKUP(INDIRECT("O" &amp; ROW()),'SDB vs GN'!$A$16:$B$38,2,FALSE)))</f>
        <v>GCN2_CN_EU_NA</v>
      </c>
      <c r="Q676" s="297" t="s">
        <v>1903</v>
      </c>
      <c r="R676" s="298" t="s">
        <v>1229</v>
      </c>
      <c r="S676" s="340" t="s">
        <v>10</v>
      </c>
      <c r="T676" s="295" t="s">
        <v>449</v>
      </c>
      <c r="U676" s="332" t="s">
        <v>816</v>
      </c>
      <c r="V676" s="342" t="s">
        <v>1988</v>
      </c>
      <c r="W676" s="298" t="s">
        <v>447</v>
      </c>
      <c r="X676" s="64" t="s">
        <v>521</v>
      </c>
      <c r="Y676" s="282" t="s">
        <v>2178</v>
      </c>
      <c r="Z676" s="282" t="s">
        <v>1593</v>
      </c>
      <c r="AA676" s="299"/>
      <c r="AB676" s="300" t="s">
        <v>225</v>
      </c>
      <c r="AC676" s="301" t="s">
        <v>2859</v>
      </c>
      <c r="AD676" s="302" t="s">
        <v>1042</v>
      </c>
      <c r="AE676" s="302" t="s">
        <v>2491</v>
      </c>
      <c r="AF676" s="302"/>
      <c r="AG676" s="302"/>
      <c r="AH676" s="302" t="s">
        <v>2860</v>
      </c>
    </row>
    <row r="677" spans="1:34" ht="92.4">
      <c r="A677" s="387">
        <v>4207</v>
      </c>
      <c r="B677" s="388" t="str">
        <f t="shared" si="45"/>
        <v>106F</v>
      </c>
      <c r="C677" s="329" t="s">
        <v>2157</v>
      </c>
      <c r="D677" s="295" t="s">
        <v>2171</v>
      </c>
      <c r="E677" s="295" t="s">
        <v>1977</v>
      </c>
      <c r="F677" s="371" t="s">
        <v>1230</v>
      </c>
      <c r="G677" s="252" t="s">
        <v>1918</v>
      </c>
      <c r="H677" s="282" t="s">
        <v>637</v>
      </c>
      <c r="I677" s="295" t="s">
        <v>815</v>
      </c>
      <c r="J677" s="282" t="s">
        <v>0</v>
      </c>
      <c r="K677" s="282" t="s">
        <v>452</v>
      </c>
      <c r="L677" s="297" t="s">
        <v>2318</v>
      </c>
      <c r="M677" s="282" t="s">
        <v>1401</v>
      </c>
      <c r="N677" s="282" t="s">
        <v>1400</v>
      </c>
      <c r="O677" s="238" t="s">
        <v>1801</v>
      </c>
      <c r="P677" s="64" t="str">
        <f ca="1">IF(AND(OR(INDIRECT("K" &amp; ROW())="NAV-Premium",INDIRECT("K" &amp; ROW())="DA-Premium"),INDIRECT("M" &amp; ROW())="PARTITION_SCHEMA128__NavPiviJpn", INDIRECT("O" &amp; ROW())="JPN_SDB"),'SDB vs GN'!$B$41, IF(INDIRECT("H" &amp; ROW())="Chenc",'SDB vs GN'!$B$40, VLOOKUP(INDIRECT("O" &amp; ROW()),'SDB vs GN'!$A$16:$B$38,2,FALSE)))</f>
        <v>GCN1_JP_KR_LA_NA</v>
      </c>
      <c r="Q677" s="297" t="s">
        <v>1903</v>
      </c>
      <c r="R677" s="385" t="s">
        <v>1398</v>
      </c>
      <c r="S677" s="340" t="s">
        <v>10</v>
      </c>
      <c r="T677" s="367" t="s">
        <v>450</v>
      </c>
      <c r="U677" s="332" t="s">
        <v>816</v>
      </c>
      <c r="V677" s="308" t="s">
        <v>1989</v>
      </c>
      <c r="W677" s="298" t="s">
        <v>447</v>
      </c>
      <c r="X677" s="64" t="s">
        <v>521</v>
      </c>
      <c r="Y677" s="282" t="s">
        <v>2178</v>
      </c>
      <c r="Z677" s="282" t="s">
        <v>1593</v>
      </c>
      <c r="AA677" s="299"/>
      <c r="AB677" s="300" t="s">
        <v>225</v>
      </c>
      <c r="AC677" s="301" t="s">
        <v>2857</v>
      </c>
      <c r="AD677" s="302" t="s">
        <v>1042</v>
      </c>
      <c r="AE677" s="302" t="s">
        <v>2490</v>
      </c>
      <c r="AF677" s="302"/>
      <c r="AG677" s="302"/>
      <c r="AH677" s="302" t="s">
        <v>2858</v>
      </c>
    </row>
    <row r="678" spans="1:34" ht="39.6">
      <c r="A678" s="387">
        <v>4208</v>
      </c>
      <c r="B678" s="388" t="str">
        <f t="shared" ref="B678:B691" si="46">DEC2HEX(A678,4)</f>
        <v>1070</v>
      </c>
      <c r="C678" s="329" t="s">
        <v>1438</v>
      </c>
      <c r="D678" s="295" t="s">
        <v>2171</v>
      </c>
      <c r="E678" s="295" t="s">
        <v>1977</v>
      </c>
      <c r="F678" s="335" t="s">
        <v>1927</v>
      </c>
      <c r="G678" s="335" t="s">
        <v>1913</v>
      </c>
      <c r="H678" s="282" t="s">
        <v>637</v>
      </c>
      <c r="I678" s="295" t="s">
        <v>5</v>
      </c>
      <c r="J678" s="282" t="s">
        <v>0</v>
      </c>
      <c r="K678" s="282" t="s">
        <v>452</v>
      </c>
      <c r="L678" s="297" t="s">
        <v>2318</v>
      </c>
      <c r="M678" s="282" t="s">
        <v>1496</v>
      </c>
      <c r="N678" s="282" t="s">
        <v>1215</v>
      </c>
      <c r="O678" s="238" t="s">
        <v>1801</v>
      </c>
      <c r="P678" s="64" t="str">
        <f ca="1">IF(AND(OR(INDIRECT("K" &amp; ROW())="NAV-Premium",INDIRECT("K" &amp; ROW())="DA-Premium"),INDIRECT("M" &amp; ROW())="PARTITION_SCHEMA128__NavPiviJpn", INDIRECT("O" &amp; ROW())="JPN_SDB"),'SDB vs GN'!$B$41, IF(INDIRECT("H" &amp; ROW())="Chenc",'SDB vs GN'!$B$40, VLOOKUP(INDIRECT("O" &amp; ROW()),'SDB vs GN'!$A$16:$B$38,2,FALSE)))</f>
        <v>GCN1_JP_KR_LA_NA</v>
      </c>
      <c r="Q678" s="297" t="s">
        <v>1903</v>
      </c>
      <c r="R678" s="298" t="s">
        <v>1354</v>
      </c>
      <c r="S678" s="340" t="s">
        <v>10</v>
      </c>
      <c r="T678" s="295" t="s">
        <v>449</v>
      </c>
      <c r="U678" s="332" t="s">
        <v>816</v>
      </c>
      <c r="V678" s="308" t="s">
        <v>615</v>
      </c>
      <c r="W678" s="298" t="s">
        <v>447</v>
      </c>
      <c r="X678" s="297" t="s">
        <v>362</v>
      </c>
      <c r="Y678" s="282" t="s">
        <v>2178</v>
      </c>
      <c r="Z678" s="282" t="s">
        <v>1593</v>
      </c>
      <c r="AA678" s="299"/>
      <c r="AB678" s="300" t="s">
        <v>225</v>
      </c>
      <c r="AC678" s="301" t="s">
        <v>2187</v>
      </c>
      <c r="AD678" s="302" t="s">
        <v>1042</v>
      </c>
      <c r="AE678" s="302" t="s">
        <v>2302</v>
      </c>
      <c r="AF678" s="302"/>
      <c r="AG678" s="302"/>
      <c r="AH678" s="302" t="s">
        <v>2206</v>
      </c>
    </row>
    <row r="679" spans="1:34" ht="26.4">
      <c r="A679" s="387">
        <v>4209</v>
      </c>
      <c r="B679" s="388" t="str">
        <f t="shared" si="46"/>
        <v>1071</v>
      </c>
      <c r="C679" s="329" t="s">
        <v>1754</v>
      </c>
      <c r="D679" s="295" t="s">
        <v>2171</v>
      </c>
      <c r="E679" s="295" t="s">
        <v>1977</v>
      </c>
      <c r="F679" s="372" t="s">
        <v>1315</v>
      </c>
      <c r="G679" s="115" t="s">
        <v>1914</v>
      </c>
      <c r="H679" s="282" t="s">
        <v>637</v>
      </c>
      <c r="I679" s="295" t="s">
        <v>815</v>
      </c>
      <c r="J679" s="282" t="s">
        <v>0</v>
      </c>
      <c r="K679" s="282" t="s">
        <v>454</v>
      </c>
      <c r="L679" s="360" t="s">
        <v>1306</v>
      </c>
      <c r="M679" s="282" t="s">
        <v>1401</v>
      </c>
      <c r="N679" s="282" t="s">
        <v>1400</v>
      </c>
      <c r="O679" s="296" t="s">
        <v>1806</v>
      </c>
      <c r="P679" s="64" t="str">
        <f ca="1">IF(AND(OR(INDIRECT("K" &amp; ROW())="NAV-Premium",INDIRECT("K" &amp; ROW())="DA-Premium"),INDIRECT("M" &amp; ROW())="PARTITION_SCHEMA128__NavPiviJpn", INDIRECT("O" &amp; ROW())="JPN_SDB"),'SDB vs GN'!$B$41, IF(INDIRECT("H" &amp; ROW())="Chenc",'SDB vs GN'!$B$40, VLOOKUP(INDIRECT("O" &amp; ROW()),'SDB vs GN'!$A$16:$B$38,2,FALSE)))</f>
        <v>GCN1_JP_KR_LA_NA</v>
      </c>
      <c r="Q679" s="297" t="s">
        <v>1903</v>
      </c>
      <c r="R679" s="298" t="s">
        <v>1228</v>
      </c>
      <c r="S679" s="340" t="s">
        <v>10</v>
      </c>
      <c r="T679" s="367" t="s">
        <v>450</v>
      </c>
      <c r="U679" s="332" t="s">
        <v>816</v>
      </c>
      <c r="V679" s="308" t="s">
        <v>604</v>
      </c>
      <c r="W679" s="298" t="s">
        <v>447</v>
      </c>
      <c r="X679" s="297" t="s">
        <v>521</v>
      </c>
      <c r="Y679" s="282" t="s">
        <v>2178</v>
      </c>
      <c r="Z679" s="282" t="s">
        <v>1593</v>
      </c>
      <c r="AA679" s="299"/>
      <c r="AB679" s="300" t="s">
        <v>225</v>
      </c>
      <c r="AC679" s="333" t="s">
        <v>2188</v>
      </c>
      <c r="AD679" s="302" t="s">
        <v>1042</v>
      </c>
      <c r="AE679" s="302"/>
      <c r="AF679" s="302"/>
      <c r="AG679" s="302"/>
      <c r="AH679" s="353" t="s">
        <v>2207</v>
      </c>
    </row>
    <row r="680" spans="1:34">
      <c r="A680" s="387">
        <v>4210</v>
      </c>
      <c r="B680" s="388" t="str">
        <f t="shared" si="46"/>
        <v>1072</v>
      </c>
      <c r="C680" s="418" t="s">
        <v>1430</v>
      </c>
      <c r="D680" s="295" t="s">
        <v>2171</v>
      </c>
      <c r="E680" s="295" t="s">
        <v>1977</v>
      </c>
      <c r="F680" s="371" t="s">
        <v>1230</v>
      </c>
      <c r="G680" s="252" t="s">
        <v>1918</v>
      </c>
      <c r="H680" s="282" t="s">
        <v>637</v>
      </c>
      <c r="I680" s="295" t="s">
        <v>815</v>
      </c>
      <c r="J680" s="282" t="s">
        <v>0</v>
      </c>
      <c r="K680" s="282" t="s">
        <v>452</v>
      </c>
      <c r="L680" s="297" t="s">
        <v>2318</v>
      </c>
      <c r="M680" s="282" t="s">
        <v>1401</v>
      </c>
      <c r="N680" s="282" t="s">
        <v>1400</v>
      </c>
      <c r="O680" s="238" t="s">
        <v>1801</v>
      </c>
      <c r="P680" s="64" t="str">
        <f ca="1">IF(AND(OR(INDIRECT("K" &amp; ROW())="NAV-Premium",INDIRECT("K" &amp; ROW())="DA-Premium"),INDIRECT("M" &amp; ROW())="PARTITION_SCHEMA128__NavPiviJpn", INDIRECT("O" &amp; ROW())="JPN_SDB"),'SDB vs GN'!$B$41, IF(INDIRECT("H" &amp; ROW())="Chenc",'SDB vs GN'!$B$40, VLOOKUP(INDIRECT("O" &amp; ROW()),'SDB vs GN'!$A$16:$B$38,2,FALSE)))</f>
        <v>GCN1_JP_KR_LA_NA</v>
      </c>
      <c r="Q680" s="297" t="s">
        <v>1903</v>
      </c>
      <c r="R680" s="385" t="s">
        <v>1228</v>
      </c>
      <c r="S680" s="340" t="s">
        <v>10</v>
      </c>
      <c r="T680" s="367" t="s">
        <v>450</v>
      </c>
      <c r="U680" s="332" t="s">
        <v>816</v>
      </c>
      <c r="V680" s="308" t="s">
        <v>1989</v>
      </c>
      <c r="W680" s="298" t="s">
        <v>447</v>
      </c>
      <c r="X680" s="297" t="s">
        <v>521</v>
      </c>
      <c r="Y680" s="282" t="s">
        <v>2178</v>
      </c>
      <c r="Z680" s="282" t="s">
        <v>1593</v>
      </c>
      <c r="AA680" s="299"/>
      <c r="AB680" s="300" t="s">
        <v>225</v>
      </c>
      <c r="AC680" s="400" t="s">
        <v>2203</v>
      </c>
      <c r="AD680" s="302" t="s">
        <v>1042</v>
      </c>
      <c r="AE680" s="302"/>
      <c r="AF680" s="302"/>
      <c r="AG680" s="302"/>
      <c r="AH680" s="402" t="s">
        <v>2204</v>
      </c>
    </row>
    <row r="681" spans="1:34" ht="26.4">
      <c r="A681" s="387">
        <v>4211</v>
      </c>
      <c r="B681" s="388" t="str">
        <f t="shared" si="46"/>
        <v>1073</v>
      </c>
      <c r="C681" s="329" t="s">
        <v>2201</v>
      </c>
      <c r="D681" s="295" t="s">
        <v>2171</v>
      </c>
      <c r="E681" s="295" t="s">
        <v>1977</v>
      </c>
      <c r="F681" s="371" t="s">
        <v>1230</v>
      </c>
      <c r="G681" s="252" t="s">
        <v>1918</v>
      </c>
      <c r="H681" s="282" t="s">
        <v>637</v>
      </c>
      <c r="I681" s="295" t="s">
        <v>815</v>
      </c>
      <c r="J681" s="282" t="s">
        <v>0</v>
      </c>
      <c r="K681" s="282" t="s">
        <v>452</v>
      </c>
      <c r="L681" s="297" t="s">
        <v>2318</v>
      </c>
      <c r="M681" s="282" t="s">
        <v>1401</v>
      </c>
      <c r="N681" s="282" t="s">
        <v>1400</v>
      </c>
      <c r="O681" s="238" t="s">
        <v>1801</v>
      </c>
      <c r="P681" s="64" t="str">
        <f ca="1">IF(AND(OR(INDIRECT("K" &amp; ROW())="NAV-Premium",INDIRECT("K" &amp; ROW())="DA-Premium"),INDIRECT("M" &amp; ROW())="PARTITION_SCHEMA128__NavPiviJpn", INDIRECT("O" &amp; ROW())="JPN_SDB"),'SDB vs GN'!$B$41, IF(INDIRECT("H" &amp; ROW())="Chenc",'SDB vs GN'!$B$40, VLOOKUP(INDIRECT("O" &amp; ROW()),'SDB vs GN'!$A$16:$B$38,2,FALSE)))</f>
        <v>GCN1_JP_KR_LA_NA</v>
      </c>
      <c r="Q681" s="297" t="s">
        <v>1903</v>
      </c>
      <c r="R681" s="385" t="s">
        <v>1229</v>
      </c>
      <c r="S681" s="340" t="s">
        <v>10</v>
      </c>
      <c r="T681" s="295" t="s">
        <v>449</v>
      </c>
      <c r="U681" s="332" t="s">
        <v>816</v>
      </c>
      <c r="V681" s="308" t="s">
        <v>1989</v>
      </c>
      <c r="W681" s="298" t="s">
        <v>447</v>
      </c>
      <c r="X681" s="297" t="s">
        <v>521</v>
      </c>
      <c r="Y681" s="282" t="s">
        <v>2178</v>
      </c>
      <c r="Z681" s="282" t="s">
        <v>1593</v>
      </c>
      <c r="AA681" s="299"/>
      <c r="AB681" s="300" t="s">
        <v>225</v>
      </c>
      <c r="AC681" s="333" t="s">
        <v>2193</v>
      </c>
      <c r="AD681" s="302" t="s">
        <v>1042</v>
      </c>
      <c r="AE681" s="302"/>
      <c r="AF681" s="302"/>
      <c r="AG681" s="302"/>
      <c r="AH681" s="353" t="s">
        <v>2208</v>
      </c>
    </row>
    <row r="682" spans="1:34">
      <c r="A682" s="387">
        <v>4212</v>
      </c>
      <c r="B682" s="388" t="str">
        <f t="shared" si="46"/>
        <v>1074</v>
      </c>
      <c r="C682" s="418" t="s">
        <v>2200</v>
      </c>
      <c r="D682" s="295" t="s">
        <v>2171</v>
      </c>
      <c r="E682" s="295" t="s">
        <v>1977</v>
      </c>
      <c r="F682" s="371" t="s">
        <v>1230</v>
      </c>
      <c r="G682" s="252" t="s">
        <v>1918</v>
      </c>
      <c r="H682" s="282" t="s">
        <v>637</v>
      </c>
      <c r="I682" s="295" t="s">
        <v>815</v>
      </c>
      <c r="J682" s="282" t="s">
        <v>0</v>
      </c>
      <c r="K682" s="282" t="s">
        <v>452</v>
      </c>
      <c r="L682" s="297" t="s">
        <v>2318</v>
      </c>
      <c r="M682" s="282" t="s">
        <v>1401</v>
      </c>
      <c r="N682" s="282" t="s">
        <v>1400</v>
      </c>
      <c r="O682" s="238" t="s">
        <v>1801</v>
      </c>
      <c r="P682" s="64" t="str">
        <f ca="1">IF(AND(OR(INDIRECT("K" &amp; ROW())="NAV-Premium",INDIRECT("K" &amp; ROW())="DA-Premium"),INDIRECT("M" &amp; ROW())="PARTITION_SCHEMA128__NavPiviJpn", INDIRECT("O" &amp; ROW())="JPN_SDB"),'SDB vs GN'!$B$41, IF(INDIRECT("H" &amp; ROW())="Chenc",'SDB vs GN'!$B$40, VLOOKUP(INDIRECT("O" &amp; ROW()),'SDB vs GN'!$A$16:$B$38,2,FALSE)))</f>
        <v>GCN1_JP_KR_LA_NA</v>
      </c>
      <c r="Q682" s="297" t="s">
        <v>1903</v>
      </c>
      <c r="R682" s="385" t="s">
        <v>1228</v>
      </c>
      <c r="S682" s="340" t="s">
        <v>10</v>
      </c>
      <c r="T682" s="295" t="s">
        <v>449</v>
      </c>
      <c r="U682" s="332" t="s">
        <v>816</v>
      </c>
      <c r="V682" s="308" t="s">
        <v>1989</v>
      </c>
      <c r="W682" s="298" t="s">
        <v>447</v>
      </c>
      <c r="X682" s="297" t="s">
        <v>521</v>
      </c>
      <c r="Y682" s="282" t="s">
        <v>2178</v>
      </c>
      <c r="Z682" s="282" t="s">
        <v>1593</v>
      </c>
      <c r="AA682" s="299"/>
      <c r="AB682" s="300" t="s">
        <v>225</v>
      </c>
      <c r="AC682" s="400" t="s">
        <v>2202</v>
      </c>
      <c r="AD682" s="302" t="s">
        <v>1042</v>
      </c>
      <c r="AE682" s="302"/>
      <c r="AF682" s="302"/>
      <c r="AG682" s="302"/>
      <c r="AH682" s="402" t="s">
        <v>2205</v>
      </c>
    </row>
    <row r="683" spans="1:34" ht="26.4">
      <c r="A683" s="387">
        <v>4213</v>
      </c>
      <c r="B683" s="388" t="str">
        <f t="shared" si="46"/>
        <v>1075</v>
      </c>
      <c r="C683" s="329" t="s">
        <v>2092</v>
      </c>
      <c r="D683" s="295" t="s">
        <v>2171</v>
      </c>
      <c r="E683" s="295" t="s">
        <v>1977</v>
      </c>
      <c r="F683" s="371" t="s">
        <v>1230</v>
      </c>
      <c r="G683" s="252" t="s">
        <v>1918</v>
      </c>
      <c r="H683" s="282" t="s">
        <v>637</v>
      </c>
      <c r="I683" s="295" t="s">
        <v>815</v>
      </c>
      <c r="J683" s="282" t="s">
        <v>0</v>
      </c>
      <c r="K683" s="282" t="s">
        <v>452</v>
      </c>
      <c r="L683" s="297" t="s">
        <v>2318</v>
      </c>
      <c r="M683" s="282" t="s">
        <v>1401</v>
      </c>
      <c r="N683" s="282" t="s">
        <v>1400</v>
      </c>
      <c r="O683" s="296" t="s">
        <v>1805</v>
      </c>
      <c r="P683" s="64" t="str">
        <f ca="1">IF(AND(OR(INDIRECT("K" &amp; ROW())="NAV-Premium",INDIRECT("K" &amp; ROW())="DA-Premium"),INDIRECT("M" &amp; ROW())="PARTITION_SCHEMA128__NavPiviJpn", INDIRECT("O" &amp; ROW())="JPN_SDB"),'SDB vs GN'!$B$41, IF(INDIRECT("H" &amp; ROW())="Chenc",'SDB vs GN'!$B$40, VLOOKUP(INDIRECT("O" &amp; ROW()),'SDB vs GN'!$A$16:$B$38,2,FALSE)))</f>
        <v>GCN2_CN_EU_NA</v>
      </c>
      <c r="Q683" s="297" t="s">
        <v>1903</v>
      </c>
      <c r="R683" s="298" t="s">
        <v>1229</v>
      </c>
      <c r="S683" s="340" t="s">
        <v>10</v>
      </c>
      <c r="T683" s="295" t="s">
        <v>449</v>
      </c>
      <c r="U683" s="332" t="s">
        <v>816</v>
      </c>
      <c r="V683" s="342" t="s">
        <v>787</v>
      </c>
      <c r="W683" s="298" t="s">
        <v>447</v>
      </c>
      <c r="X683" s="297" t="s">
        <v>521</v>
      </c>
      <c r="Y683" s="282" t="s">
        <v>2178</v>
      </c>
      <c r="Z683" s="282" t="s">
        <v>1593</v>
      </c>
      <c r="AA683" s="299"/>
      <c r="AB683" s="300" t="s">
        <v>225</v>
      </c>
      <c r="AC683" s="333" t="s">
        <v>2189</v>
      </c>
      <c r="AD683" s="302" t="s">
        <v>1042</v>
      </c>
      <c r="AE683" s="302"/>
      <c r="AF683" s="302"/>
      <c r="AG683" s="302"/>
      <c r="AH683" s="353" t="s">
        <v>2209</v>
      </c>
    </row>
    <row r="684" spans="1:34" ht="26.4">
      <c r="A684" s="387">
        <v>4214</v>
      </c>
      <c r="B684" s="388" t="str">
        <f t="shared" si="46"/>
        <v>1076</v>
      </c>
      <c r="C684" s="329" t="s">
        <v>1747</v>
      </c>
      <c r="D684" s="295" t="s">
        <v>2171</v>
      </c>
      <c r="E684" s="295" t="s">
        <v>1977</v>
      </c>
      <c r="F684" s="371" t="s">
        <v>1230</v>
      </c>
      <c r="G684" s="252" t="s">
        <v>1918</v>
      </c>
      <c r="H684" s="282" t="s">
        <v>637</v>
      </c>
      <c r="I684" s="295" t="s">
        <v>815</v>
      </c>
      <c r="J684" s="282" t="s">
        <v>0</v>
      </c>
      <c r="K684" s="282" t="s">
        <v>452</v>
      </c>
      <c r="L684" s="297" t="s">
        <v>2318</v>
      </c>
      <c r="M684" s="282" t="s">
        <v>1401</v>
      </c>
      <c r="N684" s="282" t="s">
        <v>1400</v>
      </c>
      <c r="O684" s="238" t="s">
        <v>1804</v>
      </c>
      <c r="P684" s="64" t="str">
        <f ca="1">IF(AND(OR(INDIRECT("K" &amp; ROW())="NAV-Premium",INDIRECT("K" &amp; ROW())="DA-Premium"),INDIRECT("M" &amp; ROW())="PARTITION_SCHEMA128__NavPiviJpn", INDIRECT("O" &amp; ROW())="JPN_SDB"),'SDB vs GN'!$B$41, IF(INDIRECT("H" &amp; ROW())="Chenc",'SDB vs GN'!$B$40, VLOOKUP(INDIRECT("O" &amp; ROW()),'SDB vs GN'!$A$16:$B$38,2,FALSE)))</f>
        <v>GCN2_CN_EU_NA</v>
      </c>
      <c r="Q684" s="297" t="s">
        <v>1903</v>
      </c>
      <c r="R684" s="298" t="s">
        <v>1229</v>
      </c>
      <c r="S684" s="340" t="s">
        <v>10</v>
      </c>
      <c r="T684" s="295" t="s">
        <v>449</v>
      </c>
      <c r="U684" s="332" t="s">
        <v>816</v>
      </c>
      <c r="V684" s="342" t="s">
        <v>994</v>
      </c>
      <c r="W684" s="298" t="s">
        <v>447</v>
      </c>
      <c r="X684" s="297" t="s">
        <v>521</v>
      </c>
      <c r="Y684" s="282" t="s">
        <v>2178</v>
      </c>
      <c r="Z684" s="282" t="s">
        <v>1593</v>
      </c>
      <c r="AA684" s="299"/>
      <c r="AB684" s="300" t="s">
        <v>225</v>
      </c>
      <c r="AC684" s="333" t="s">
        <v>2190</v>
      </c>
      <c r="AD684" s="302" t="s">
        <v>1042</v>
      </c>
      <c r="AE684" s="302"/>
      <c r="AF684" s="302"/>
      <c r="AG684" s="302"/>
      <c r="AH684" s="353" t="s">
        <v>2210</v>
      </c>
    </row>
    <row r="685" spans="1:34" ht="26.4">
      <c r="A685" s="387">
        <v>4215</v>
      </c>
      <c r="B685" s="388" t="str">
        <f t="shared" si="46"/>
        <v>1077</v>
      </c>
      <c r="C685" s="329" t="s">
        <v>1928</v>
      </c>
      <c r="D685" s="295" t="s">
        <v>2171</v>
      </c>
      <c r="E685" s="295" t="s">
        <v>1977</v>
      </c>
      <c r="F685" s="371" t="s">
        <v>1230</v>
      </c>
      <c r="G685" s="252" t="s">
        <v>1918</v>
      </c>
      <c r="H685" s="282" t="s">
        <v>637</v>
      </c>
      <c r="I685" s="295" t="s">
        <v>815</v>
      </c>
      <c r="J685" s="282" t="s">
        <v>0</v>
      </c>
      <c r="K685" s="282" t="s">
        <v>452</v>
      </c>
      <c r="L685" s="297" t="s">
        <v>2318</v>
      </c>
      <c r="M685" s="282" t="s">
        <v>1401</v>
      </c>
      <c r="N685" s="282" t="s">
        <v>1400</v>
      </c>
      <c r="O685" s="238" t="s">
        <v>1804</v>
      </c>
      <c r="P685" s="64" t="str">
        <f ca="1">IF(AND(OR(INDIRECT("K" &amp; ROW())="NAV-Premium",INDIRECT("K" &amp; ROW())="DA-Premium"),INDIRECT("M" &amp; ROW())="PARTITION_SCHEMA128__NavPiviJpn", INDIRECT("O" &amp; ROW())="JPN_SDB"),'SDB vs GN'!$B$41, IF(INDIRECT("H" &amp; ROW())="Chenc",'SDB vs GN'!$B$40, VLOOKUP(INDIRECT("O" &amp; ROW()),'SDB vs GN'!$A$16:$B$38,2,FALSE)))</f>
        <v>GCN2_CN_EU_NA</v>
      </c>
      <c r="Q685" s="297" t="s">
        <v>1903</v>
      </c>
      <c r="R685" s="298" t="s">
        <v>1229</v>
      </c>
      <c r="S685" s="340" t="s">
        <v>10</v>
      </c>
      <c r="T685" s="295" t="s">
        <v>449</v>
      </c>
      <c r="U685" s="332" t="s">
        <v>816</v>
      </c>
      <c r="V685" s="342" t="s">
        <v>1244</v>
      </c>
      <c r="W685" s="298" t="s">
        <v>447</v>
      </c>
      <c r="X685" s="297" t="s">
        <v>521</v>
      </c>
      <c r="Y685" s="282" t="s">
        <v>2178</v>
      </c>
      <c r="Z685" s="282" t="s">
        <v>1593</v>
      </c>
      <c r="AA685" s="299"/>
      <c r="AB685" s="300" t="s">
        <v>225</v>
      </c>
      <c r="AC685" s="333" t="s">
        <v>2191</v>
      </c>
      <c r="AD685" s="302" t="s">
        <v>1042</v>
      </c>
      <c r="AE685" s="302"/>
      <c r="AF685" s="302"/>
      <c r="AG685" s="302"/>
      <c r="AH685" s="353" t="s">
        <v>2211</v>
      </c>
    </row>
    <row r="686" spans="1:34" ht="26.4">
      <c r="A686" s="387">
        <v>4216</v>
      </c>
      <c r="B686" s="388" t="str">
        <f t="shared" si="46"/>
        <v>1078</v>
      </c>
      <c r="C686" s="329" t="s">
        <v>1751</v>
      </c>
      <c r="D686" s="295" t="s">
        <v>2171</v>
      </c>
      <c r="E686" s="295" t="s">
        <v>1977</v>
      </c>
      <c r="F686" s="371" t="s">
        <v>1230</v>
      </c>
      <c r="G686" s="252" t="s">
        <v>1918</v>
      </c>
      <c r="H686" s="282" t="s">
        <v>637</v>
      </c>
      <c r="I686" s="295" t="s">
        <v>815</v>
      </c>
      <c r="J686" s="282" t="s">
        <v>0</v>
      </c>
      <c r="K686" s="282" t="s">
        <v>452</v>
      </c>
      <c r="L686" s="297" t="s">
        <v>2318</v>
      </c>
      <c r="M686" s="282" t="s">
        <v>1401</v>
      </c>
      <c r="N686" s="282" t="s">
        <v>1400</v>
      </c>
      <c r="O686" s="296" t="s">
        <v>1806</v>
      </c>
      <c r="P686" s="64" t="str">
        <f ca="1">IF(AND(OR(INDIRECT("K" &amp; ROW())="NAV-Premium",INDIRECT("K" &amp; ROW())="DA-Premium"),INDIRECT("M" &amp; ROW())="PARTITION_SCHEMA128__NavPiviJpn", INDIRECT("O" &amp; ROW())="JPN_SDB"),'SDB vs GN'!$B$41, IF(INDIRECT("H" &amp; ROW())="Chenc",'SDB vs GN'!$B$40, VLOOKUP(INDIRECT("O" &amp; ROW()),'SDB vs GN'!$A$16:$B$38,2,FALSE)))</f>
        <v>GCN1_JP_KR_LA_NA</v>
      </c>
      <c r="Q686" s="297" t="s">
        <v>1903</v>
      </c>
      <c r="R686" s="298" t="s">
        <v>1229</v>
      </c>
      <c r="S686" s="340" t="s">
        <v>10</v>
      </c>
      <c r="T686" s="295" t="s">
        <v>449</v>
      </c>
      <c r="U686" s="332" t="s">
        <v>816</v>
      </c>
      <c r="V686" s="342" t="s">
        <v>930</v>
      </c>
      <c r="W686" s="298" t="s">
        <v>447</v>
      </c>
      <c r="X686" s="297" t="s">
        <v>521</v>
      </c>
      <c r="Y686" s="282" t="s">
        <v>2178</v>
      </c>
      <c r="Z686" s="282" t="s">
        <v>1593</v>
      </c>
      <c r="AA686" s="299"/>
      <c r="AB686" s="300" t="s">
        <v>225</v>
      </c>
      <c r="AC686" s="333" t="s">
        <v>2192</v>
      </c>
      <c r="AD686" s="302" t="s">
        <v>1042</v>
      </c>
      <c r="AE686" s="302"/>
      <c r="AF686" s="302"/>
      <c r="AG686" s="302"/>
      <c r="AH686" s="353" t="s">
        <v>2212</v>
      </c>
    </row>
    <row r="687" spans="1:34">
      <c r="A687" s="387">
        <v>4217</v>
      </c>
      <c r="B687" s="388" t="str">
        <f t="shared" si="46"/>
        <v>1079</v>
      </c>
      <c r="C687" s="329" t="s">
        <v>1752</v>
      </c>
      <c r="D687" s="295" t="s">
        <v>2171</v>
      </c>
      <c r="E687" s="295" t="s">
        <v>1977</v>
      </c>
      <c r="F687" s="371" t="s">
        <v>1230</v>
      </c>
      <c r="G687" s="252" t="s">
        <v>1918</v>
      </c>
      <c r="H687" s="282" t="s">
        <v>637</v>
      </c>
      <c r="I687" s="295" t="s">
        <v>815</v>
      </c>
      <c r="J687" s="282" t="s">
        <v>0</v>
      </c>
      <c r="K687" s="282" t="s">
        <v>452</v>
      </c>
      <c r="L687" s="297" t="s">
        <v>2318</v>
      </c>
      <c r="M687" s="282" t="s">
        <v>1401</v>
      </c>
      <c r="N687" s="282" t="s">
        <v>1400</v>
      </c>
      <c r="O687" s="296" t="s">
        <v>1806</v>
      </c>
      <c r="P687" s="64" t="str">
        <f ca="1">IF(AND(OR(INDIRECT("K" &amp; ROW())="NAV-Premium",INDIRECT("K" &amp; ROW())="DA-Premium"),INDIRECT("M" &amp; ROW())="PARTITION_SCHEMA128__NavPiviJpn", INDIRECT("O" &amp; ROW())="JPN_SDB"),'SDB vs GN'!$B$41, IF(INDIRECT("H" &amp; ROW())="Chenc",'SDB vs GN'!$B$40, VLOOKUP(INDIRECT("O" &amp; ROW()),'SDB vs GN'!$A$16:$B$38,2,FALSE)))</f>
        <v>GCN1_JP_KR_LA_NA</v>
      </c>
      <c r="Q687" s="297" t="s">
        <v>1903</v>
      </c>
      <c r="R687" s="298" t="s">
        <v>1229</v>
      </c>
      <c r="S687" s="340" t="s">
        <v>10</v>
      </c>
      <c r="T687" s="295" t="s">
        <v>449</v>
      </c>
      <c r="U687" s="332" t="s">
        <v>816</v>
      </c>
      <c r="V687" s="342" t="s">
        <v>1133</v>
      </c>
      <c r="W687" s="298" t="s">
        <v>447</v>
      </c>
      <c r="X687" s="297" t="s">
        <v>521</v>
      </c>
      <c r="Y687" s="282" t="s">
        <v>2178</v>
      </c>
      <c r="Z687" s="282" t="s">
        <v>1593</v>
      </c>
      <c r="AA687" s="299"/>
      <c r="AB687" s="300" t="s">
        <v>225</v>
      </c>
      <c r="AC687" s="386" t="s">
        <v>2179</v>
      </c>
      <c r="AD687" s="302" t="s">
        <v>1042</v>
      </c>
      <c r="AE687" s="302"/>
      <c r="AF687" s="302"/>
      <c r="AG687" s="302"/>
      <c r="AH687" s="314" t="s">
        <v>2213</v>
      </c>
    </row>
    <row r="688" spans="1:34" ht="26.4">
      <c r="A688" s="387">
        <v>4218</v>
      </c>
      <c r="B688" s="388" t="str">
        <f t="shared" si="46"/>
        <v>107A</v>
      </c>
      <c r="C688" s="329" t="s">
        <v>1748</v>
      </c>
      <c r="D688" s="295" t="s">
        <v>2171</v>
      </c>
      <c r="E688" s="295" t="s">
        <v>1977</v>
      </c>
      <c r="F688" s="371" t="s">
        <v>1230</v>
      </c>
      <c r="G688" s="252" t="s">
        <v>1918</v>
      </c>
      <c r="H688" s="282" t="s">
        <v>637</v>
      </c>
      <c r="I688" s="295" t="s">
        <v>815</v>
      </c>
      <c r="J688" s="282" t="s">
        <v>0</v>
      </c>
      <c r="K688" s="282" t="s">
        <v>452</v>
      </c>
      <c r="L688" s="297" t="s">
        <v>2318</v>
      </c>
      <c r="M688" s="282" t="s">
        <v>1401</v>
      </c>
      <c r="N688" s="282" t="s">
        <v>1400</v>
      </c>
      <c r="O688" s="296" t="s">
        <v>1805</v>
      </c>
      <c r="P688" s="64" t="str">
        <f ca="1">IF(AND(OR(INDIRECT("K" &amp; ROW())="NAV-Premium",INDIRECT("K" &amp; ROW())="DA-Premium"),INDIRECT("M" &amp; ROW())="PARTITION_SCHEMA128__NavPiviJpn", INDIRECT("O" &amp; ROW())="JPN_SDB"),'SDB vs GN'!$B$41, IF(INDIRECT("H" &amp; ROW())="Chenc",'SDB vs GN'!$B$40, VLOOKUP(INDIRECT("O" &amp; ROW()),'SDB vs GN'!$A$16:$B$38,2,FALSE)))</f>
        <v>GCN2_CN_EU_NA</v>
      </c>
      <c r="Q688" s="297" t="s">
        <v>1903</v>
      </c>
      <c r="R688" s="298" t="s">
        <v>1229</v>
      </c>
      <c r="S688" s="340" t="s">
        <v>10</v>
      </c>
      <c r="T688" s="295" t="s">
        <v>449</v>
      </c>
      <c r="U688" s="332" t="s">
        <v>816</v>
      </c>
      <c r="V688" s="342" t="s">
        <v>872</v>
      </c>
      <c r="W688" s="298" t="s">
        <v>447</v>
      </c>
      <c r="X688" s="297" t="s">
        <v>521</v>
      </c>
      <c r="Y688" s="282" t="s">
        <v>2178</v>
      </c>
      <c r="Z688" s="282" t="s">
        <v>1593</v>
      </c>
      <c r="AA688" s="299"/>
      <c r="AB688" s="300" t="s">
        <v>225</v>
      </c>
      <c r="AC688" s="333" t="s">
        <v>2194</v>
      </c>
      <c r="AD688" s="302" t="s">
        <v>1042</v>
      </c>
      <c r="AE688" s="302"/>
      <c r="AF688" s="302"/>
      <c r="AG688" s="302"/>
      <c r="AH688" s="353" t="s">
        <v>2214</v>
      </c>
    </row>
    <row r="689" spans="1:34" ht="26.4">
      <c r="A689" s="387">
        <v>4219</v>
      </c>
      <c r="B689" s="388" t="str">
        <f t="shared" si="46"/>
        <v>107B</v>
      </c>
      <c r="C689" s="329" t="s">
        <v>1753</v>
      </c>
      <c r="D689" s="295" t="s">
        <v>2171</v>
      </c>
      <c r="E689" s="295" t="s">
        <v>1977</v>
      </c>
      <c r="F689" s="371" t="s">
        <v>1230</v>
      </c>
      <c r="G689" s="252" t="s">
        <v>1918</v>
      </c>
      <c r="H689" s="282" t="s">
        <v>637</v>
      </c>
      <c r="I689" s="295" t="s">
        <v>815</v>
      </c>
      <c r="J689" s="282" t="s">
        <v>0</v>
      </c>
      <c r="K689" s="282" t="s">
        <v>452</v>
      </c>
      <c r="L689" s="297" t="s">
        <v>2318</v>
      </c>
      <c r="M689" s="282" t="s">
        <v>1401</v>
      </c>
      <c r="N689" s="282" t="s">
        <v>1400</v>
      </c>
      <c r="O689" s="296" t="s">
        <v>1803</v>
      </c>
      <c r="P689" s="64" t="str">
        <f ca="1">IF(AND(OR(INDIRECT("K" &amp; ROW())="NAV-Premium",INDIRECT("K" &amp; ROW())="DA-Premium"),INDIRECT("M" &amp; ROW())="PARTITION_SCHEMA128__NavPiviJpn", INDIRECT("O" &amp; ROW())="JPN_SDB"),'SDB vs GN'!$B$41, IF(INDIRECT("H" &amp; ROW())="Chenc",'SDB vs GN'!$B$40, VLOOKUP(INDIRECT("O" &amp; ROW()),'SDB vs GN'!$A$16:$B$38,2,FALSE)))</f>
        <v>GCN3_CN_LA_NA</v>
      </c>
      <c r="Q689" s="297" t="s">
        <v>1903</v>
      </c>
      <c r="R689" s="298" t="s">
        <v>1229</v>
      </c>
      <c r="S689" s="340" t="s">
        <v>10</v>
      </c>
      <c r="T689" s="295" t="s">
        <v>449</v>
      </c>
      <c r="U689" s="332" t="s">
        <v>816</v>
      </c>
      <c r="V689" s="342" t="s">
        <v>728</v>
      </c>
      <c r="W689" s="298" t="s">
        <v>447</v>
      </c>
      <c r="X689" s="297" t="s">
        <v>521</v>
      </c>
      <c r="Y689" s="282" t="s">
        <v>2178</v>
      </c>
      <c r="Z689" s="282" t="s">
        <v>1593</v>
      </c>
      <c r="AA689" s="299"/>
      <c r="AB689" s="300" t="s">
        <v>225</v>
      </c>
      <c r="AC689" s="333" t="s">
        <v>2195</v>
      </c>
      <c r="AD689" s="302" t="s">
        <v>1042</v>
      </c>
      <c r="AE689" s="302"/>
      <c r="AF689" s="302"/>
      <c r="AG689" s="302"/>
      <c r="AH689" s="353" t="s">
        <v>2215</v>
      </c>
    </row>
    <row r="690" spans="1:34">
      <c r="A690" s="387">
        <v>4220</v>
      </c>
      <c r="B690" s="388" t="str">
        <f t="shared" si="46"/>
        <v>107C</v>
      </c>
      <c r="C690" s="329" t="s">
        <v>1750</v>
      </c>
      <c r="D690" s="295" t="s">
        <v>2171</v>
      </c>
      <c r="E690" s="295" t="s">
        <v>1977</v>
      </c>
      <c r="F690" s="371" t="s">
        <v>1230</v>
      </c>
      <c r="G690" s="252" t="s">
        <v>1918</v>
      </c>
      <c r="H690" s="282" t="s">
        <v>637</v>
      </c>
      <c r="I690" s="295" t="s">
        <v>815</v>
      </c>
      <c r="J690" s="282" t="s">
        <v>0</v>
      </c>
      <c r="K690" s="282" t="s">
        <v>452</v>
      </c>
      <c r="L690" s="297" t="s">
        <v>2318</v>
      </c>
      <c r="M690" s="282" t="s">
        <v>1401</v>
      </c>
      <c r="N690" s="282" t="s">
        <v>1400</v>
      </c>
      <c r="O690" s="296" t="s">
        <v>1803</v>
      </c>
      <c r="P690" s="64" t="str">
        <f ca="1">IF(AND(OR(INDIRECT("K" &amp; ROW())="NAV-Premium",INDIRECT("K" &amp; ROW())="DA-Premium"),INDIRECT("M" &amp; ROW())="PARTITION_SCHEMA128__NavPiviJpn", INDIRECT("O" &amp; ROW())="JPN_SDB"),'SDB vs GN'!$B$41, IF(INDIRECT("H" &amp; ROW())="Chenc",'SDB vs GN'!$B$40, VLOOKUP(INDIRECT("O" &amp; ROW()),'SDB vs GN'!$A$16:$B$38,2,FALSE)))</f>
        <v>GCN3_CN_LA_NA</v>
      </c>
      <c r="Q690" s="297" t="s">
        <v>1903</v>
      </c>
      <c r="R690" s="298" t="s">
        <v>1229</v>
      </c>
      <c r="S690" s="340" t="s">
        <v>10</v>
      </c>
      <c r="T690" s="295" t="s">
        <v>449</v>
      </c>
      <c r="U690" s="332" t="s">
        <v>816</v>
      </c>
      <c r="V690" s="342" t="s">
        <v>786</v>
      </c>
      <c r="W690" s="298" t="s">
        <v>447</v>
      </c>
      <c r="X690" s="297" t="s">
        <v>521</v>
      </c>
      <c r="Y690" s="282" t="s">
        <v>2178</v>
      </c>
      <c r="Z690" s="282" t="s">
        <v>1593</v>
      </c>
      <c r="AA690" s="299"/>
      <c r="AB690" s="300" t="s">
        <v>225</v>
      </c>
      <c r="AC690" s="386" t="s">
        <v>2180</v>
      </c>
      <c r="AD690" s="302" t="s">
        <v>1042</v>
      </c>
      <c r="AE690" s="302"/>
      <c r="AF690" s="302"/>
      <c r="AG690" s="302"/>
      <c r="AH690" s="314" t="s">
        <v>2216</v>
      </c>
    </row>
    <row r="691" spans="1:34" ht="79.2">
      <c r="A691" s="387">
        <v>4221</v>
      </c>
      <c r="B691" s="388" t="str">
        <f t="shared" si="46"/>
        <v>107D</v>
      </c>
      <c r="C691" s="329" t="s">
        <v>2136</v>
      </c>
      <c r="D691" s="295" t="s">
        <v>2181</v>
      </c>
      <c r="E691" s="295" t="s">
        <v>1977</v>
      </c>
      <c r="F691" s="371" t="s">
        <v>1230</v>
      </c>
      <c r="G691" s="252" t="s">
        <v>1918</v>
      </c>
      <c r="H691" s="282" t="s">
        <v>637</v>
      </c>
      <c r="I691" s="295" t="s">
        <v>815</v>
      </c>
      <c r="J691" s="282" t="s">
        <v>0</v>
      </c>
      <c r="K691" s="282" t="s">
        <v>452</v>
      </c>
      <c r="L691" s="297" t="s">
        <v>2318</v>
      </c>
      <c r="M691" s="282" t="s">
        <v>1401</v>
      </c>
      <c r="N691" s="282" t="s">
        <v>1400</v>
      </c>
      <c r="O691" s="304" t="s">
        <v>1802</v>
      </c>
      <c r="P691" s="64" t="str">
        <f ca="1">IF(AND(OR(INDIRECT("K" &amp; ROW())="NAV-Premium",INDIRECT("K" &amp; ROW())="DA-Premium"),INDIRECT("M" &amp; ROW())="PARTITION_SCHEMA128__NavPiviJpn", INDIRECT("O" &amp; ROW())="JPN_SDB"),'SDB vs GN'!$B$41, IF(INDIRECT("H" &amp; ROW())="Chenc",'SDB vs GN'!$B$40, VLOOKUP(INDIRECT("O" &amp; ROW()),'SDB vs GN'!$A$16:$B$38,2,FALSE)))</f>
        <v>GCN2_CN_EU_NA</v>
      </c>
      <c r="Q691" s="297" t="s">
        <v>1903</v>
      </c>
      <c r="R691" s="298" t="s">
        <v>1229</v>
      </c>
      <c r="S691" s="340" t="s">
        <v>10</v>
      </c>
      <c r="T691" s="295" t="s">
        <v>449</v>
      </c>
      <c r="U691" s="332" t="s">
        <v>816</v>
      </c>
      <c r="V691" s="342" t="s">
        <v>1988</v>
      </c>
      <c r="W691" s="298" t="s">
        <v>2182</v>
      </c>
      <c r="X691" s="64" t="s">
        <v>521</v>
      </c>
      <c r="Y691" s="282" t="s">
        <v>2178</v>
      </c>
      <c r="Z691" s="282" t="s">
        <v>1593</v>
      </c>
      <c r="AA691" s="299"/>
      <c r="AB691" s="300" t="s">
        <v>225</v>
      </c>
      <c r="AC691" s="301" t="s">
        <v>2586</v>
      </c>
      <c r="AD691" s="302" t="s">
        <v>1042</v>
      </c>
      <c r="AE691" s="302" t="s">
        <v>2489</v>
      </c>
      <c r="AF691" s="302"/>
      <c r="AG691" s="302"/>
      <c r="AH691" s="302" t="s">
        <v>2587</v>
      </c>
    </row>
    <row r="692" spans="1:34" ht="224.4">
      <c r="A692" s="387">
        <v>4222</v>
      </c>
      <c r="B692" s="388" t="str">
        <f t="shared" ref="B692:B693" si="47">DEC2HEX(A692,4)</f>
        <v>107E</v>
      </c>
      <c r="C692" s="329" t="s">
        <v>2221</v>
      </c>
      <c r="D692" s="295" t="s">
        <v>2219</v>
      </c>
      <c r="E692" s="295" t="s">
        <v>1977</v>
      </c>
      <c r="F692" s="78" t="s">
        <v>1919</v>
      </c>
      <c r="G692" s="78" t="s">
        <v>1917</v>
      </c>
      <c r="H692" s="282" t="s">
        <v>637</v>
      </c>
      <c r="I692" s="295" t="s">
        <v>815</v>
      </c>
      <c r="J692" s="282" t="s">
        <v>1</v>
      </c>
      <c r="K692" s="282" t="s">
        <v>749</v>
      </c>
      <c r="L692" s="345" t="s">
        <v>2220</v>
      </c>
      <c r="M692" s="55" t="s">
        <v>1399</v>
      </c>
      <c r="N692" s="282" t="s">
        <v>1215</v>
      </c>
      <c r="O692" s="304" t="s">
        <v>1805</v>
      </c>
      <c r="P692" s="64" t="str">
        <f ca="1">IF(AND(OR(INDIRECT("K" &amp; ROW())="NAV-Premium",INDIRECT("K" &amp; ROW())="DA-Premium"),INDIRECT("M" &amp; ROW())="PARTITION_SCHEMA128__NavPiviJpn", INDIRECT("O" &amp; ROW())="JPN_SDB"),'SDB vs GN'!$B$41, IF(INDIRECT("H" &amp; ROW())="Chenc",'SDB vs GN'!$B$40, VLOOKUP(INDIRECT("O" &amp; ROW()),'SDB vs GN'!$A$16:$B$38,2,FALSE)))</f>
        <v>GCN2_CN_EU_NA</v>
      </c>
      <c r="Q692" s="297" t="s">
        <v>1903</v>
      </c>
      <c r="R692" s="298" t="s">
        <v>1229</v>
      </c>
      <c r="S692" s="340" t="s">
        <v>10</v>
      </c>
      <c r="T692" s="295" t="s">
        <v>449</v>
      </c>
      <c r="U692" s="332" t="s">
        <v>816</v>
      </c>
      <c r="V692" s="308" t="s">
        <v>553</v>
      </c>
      <c r="W692" s="298" t="s">
        <v>2182</v>
      </c>
      <c r="X692" s="64" t="s">
        <v>521</v>
      </c>
      <c r="Y692" s="282" t="s">
        <v>1985</v>
      </c>
      <c r="Z692" s="282" t="s">
        <v>1592</v>
      </c>
      <c r="AA692" s="299"/>
      <c r="AB692" s="300" t="s">
        <v>225</v>
      </c>
      <c r="AC692" s="301" t="s">
        <v>2599</v>
      </c>
      <c r="AD692" s="302" t="s">
        <v>1042</v>
      </c>
      <c r="AE692" s="302" t="s">
        <v>2478</v>
      </c>
      <c r="AF692" s="302"/>
      <c r="AG692" s="302"/>
      <c r="AH692" s="301" t="s">
        <v>2634</v>
      </c>
    </row>
    <row r="693" spans="1:34" ht="52.8">
      <c r="A693" s="387">
        <v>4223</v>
      </c>
      <c r="B693" s="388" t="str">
        <f t="shared" si="47"/>
        <v>107F</v>
      </c>
      <c r="C693" s="329" t="s">
        <v>2224</v>
      </c>
      <c r="D693" s="295" t="s">
        <v>2219</v>
      </c>
      <c r="E693" s="295" t="s">
        <v>1977</v>
      </c>
      <c r="F693" s="78" t="s">
        <v>1919</v>
      </c>
      <c r="G693" s="78" t="s">
        <v>1917</v>
      </c>
      <c r="H693" s="282" t="s">
        <v>637</v>
      </c>
      <c r="I693" s="295" t="s">
        <v>815</v>
      </c>
      <c r="J693" s="282" t="s">
        <v>1</v>
      </c>
      <c r="K693" s="282" t="s">
        <v>749</v>
      </c>
      <c r="L693" s="345" t="s">
        <v>2220</v>
      </c>
      <c r="M693" s="55" t="s">
        <v>1399</v>
      </c>
      <c r="N693" s="282" t="s">
        <v>1215</v>
      </c>
      <c r="O693" s="304" t="s">
        <v>1804</v>
      </c>
      <c r="P693" s="64" t="str">
        <f ca="1">IF(AND(OR(INDIRECT("K" &amp; ROW())="NAV-Premium",INDIRECT("K" &amp; ROW())="DA-Premium"),INDIRECT("M" &amp; ROW())="PARTITION_SCHEMA128__NavPiviJpn", INDIRECT("O" &amp; ROW())="JPN_SDB"),'SDB vs GN'!$B$41, IF(INDIRECT("H" &amp; ROW())="Chenc",'SDB vs GN'!$B$40, VLOOKUP(INDIRECT("O" &amp; ROW()),'SDB vs GN'!$A$16:$B$38,2,FALSE)))</f>
        <v>GCN2_CN_EU_NA</v>
      </c>
      <c r="Q693" s="297" t="s">
        <v>1903</v>
      </c>
      <c r="R693" s="298" t="s">
        <v>1229</v>
      </c>
      <c r="S693" s="340" t="s">
        <v>10</v>
      </c>
      <c r="T693" s="295" t="s">
        <v>449</v>
      </c>
      <c r="U693" s="332" t="s">
        <v>816</v>
      </c>
      <c r="V693" s="172" t="s">
        <v>546</v>
      </c>
      <c r="W693" s="298" t="s">
        <v>2182</v>
      </c>
      <c r="X693" s="64" t="s">
        <v>521</v>
      </c>
      <c r="Y693" s="282" t="s">
        <v>1985</v>
      </c>
      <c r="Z693" s="282" t="s">
        <v>1592</v>
      </c>
      <c r="AA693" s="299"/>
      <c r="AB693" s="300" t="s">
        <v>225</v>
      </c>
      <c r="AC693" s="301" t="s">
        <v>2594</v>
      </c>
      <c r="AD693" s="302" t="s">
        <v>1042</v>
      </c>
      <c r="AE693" s="302" t="s">
        <v>2484</v>
      </c>
      <c r="AF693" s="302"/>
      <c r="AG693" s="302"/>
      <c r="AH693" s="301" t="s">
        <v>2635</v>
      </c>
    </row>
    <row r="694" spans="1:34" ht="52.8">
      <c r="A694" s="387">
        <v>4224</v>
      </c>
      <c r="B694" s="388" t="str">
        <f t="shared" ref="B694:B699" si="48">DEC2HEX(A694,4)</f>
        <v>1080</v>
      </c>
      <c r="C694" s="329" t="s">
        <v>2223</v>
      </c>
      <c r="D694" s="295" t="s">
        <v>2219</v>
      </c>
      <c r="E694" s="295" t="s">
        <v>1977</v>
      </c>
      <c r="F694" s="78" t="s">
        <v>1919</v>
      </c>
      <c r="G694" s="78" t="s">
        <v>1917</v>
      </c>
      <c r="H694" s="282" t="s">
        <v>637</v>
      </c>
      <c r="I694" s="295" t="s">
        <v>815</v>
      </c>
      <c r="J694" s="282" t="s">
        <v>1</v>
      </c>
      <c r="K694" s="282" t="s">
        <v>749</v>
      </c>
      <c r="L694" s="345" t="s">
        <v>2220</v>
      </c>
      <c r="M694" s="55" t="s">
        <v>1399</v>
      </c>
      <c r="N694" s="282" t="s">
        <v>1215</v>
      </c>
      <c r="O694" s="304" t="s">
        <v>1803</v>
      </c>
      <c r="P694" s="64" t="str">
        <f ca="1">IF(AND(OR(INDIRECT("K" &amp; ROW())="NAV-Premium",INDIRECT("K" &amp; ROW())="DA-Premium"),INDIRECT("M" &amp; ROW())="PARTITION_SCHEMA128__NavPiviJpn", INDIRECT("O" &amp; ROW())="JPN_SDB"),'SDB vs GN'!$B$41, IF(INDIRECT("H" &amp; ROW())="Chenc",'SDB vs GN'!$B$40, VLOOKUP(INDIRECT("O" &amp; ROW()),'SDB vs GN'!$A$16:$B$38,2,FALSE)))</f>
        <v>GCN3_CN_LA_NA</v>
      </c>
      <c r="Q694" s="297" t="s">
        <v>1903</v>
      </c>
      <c r="R694" s="298" t="s">
        <v>1229</v>
      </c>
      <c r="S694" s="340" t="s">
        <v>10</v>
      </c>
      <c r="T694" s="295" t="s">
        <v>449</v>
      </c>
      <c r="U694" s="332" t="s">
        <v>816</v>
      </c>
      <c r="V694" s="172" t="s">
        <v>563</v>
      </c>
      <c r="W694" s="298" t="s">
        <v>2182</v>
      </c>
      <c r="X694" s="64" t="s">
        <v>521</v>
      </c>
      <c r="Y694" s="282" t="s">
        <v>1985</v>
      </c>
      <c r="Z694" s="282" t="s">
        <v>1592</v>
      </c>
      <c r="AA694" s="299"/>
      <c r="AB694" s="300" t="s">
        <v>225</v>
      </c>
      <c r="AC694" s="301" t="s">
        <v>2595</v>
      </c>
      <c r="AD694" s="302" t="s">
        <v>1042</v>
      </c>
      <c r="AE694" s="302" t="s">
        <v>2477</v>
      </c>
      <c r="AF694" s="302"/>
      <c r="AG694" s="302"/>
      <c r="AH694" s="301" t="s">
        <v>2636</v>
      </c>
    </row>
    <row r="695" spans="1:34" ht="52.8">
      <c r="A695" s="387">
        <v>4225</v>
      </c>
      <c r="B695" s="388" t="str">
        <f t="shared" si="48"/>
        <v>1081</v>
      </c>
      <c r="C695" s="329" t="s">
        <v>2226</v>
      </c>
      <c r="D695" s="295" t="s">
        <v>2219</v>
      </c>
      <c r="E695" s="295" t="s">
        <v>1977</v>
      </c>
      <c r="F695" s="78" t="s">
        <v>1919</v>
      </c>
      <c r="G695" s="78" t="s">
        <v>1917</v>
      </c>
      <c r="H695" s="282" t="s">
        <v>637</v>
      </c>
      <c r="I695" s="295" t="s">
        <v>815</v>
      </c>
      <c r="J695" s="282" t="s">
        <v>1</v>
      </c>
      <c r="K695" s="282" t="s">
        <v>749</v>
      </c>
      <c r="L695" s="345" t="s">
        <v>2220</v>
      </c>
      <c r="M695" s="55" t="s">
        <v>1399</v>
      </c>
      <c r="N695" s="282" t="s">
        <v>1215</v>
      </c>
      <c r="O695" s="304" t="s">
        <v>1804</v>
      </c>
      <c r="P695" s="64" t="str">
        <f ca="1">IF(AND(OR(INDIRECT("K" &amp; ROW())="NAV-Premium",INDIRECT("K" &amp; ROW())="DA-Premium"),INDIRECT("M" &amp; ROW())="PARTITION_SCHEMA128__NavPiviJpn", INDIRECT("O" &amp; ROW())="JPN_SDB"),'SDB vs GN'!$B$41, IF(INDIRECT("H" &amp; ROW())="Chenc",'SDB vs GN'!$B$40, VLOOKUP(INDIRECT("O" &amp; ROW()),'SDB vs GN'!$A$16:$B$38,2,FALSE)))</f>
        <v>GCN2_CN_EU_NA</v>
      </c>
      <c r="Q695" s="297" t="s">
        <v>1903</v>
      </c>
      <c r="R695" s="298" t="s">
        <v>1229</v>
      </c>
      <c r="S695" s="340" t="s">
        <v>10</v>
      </c>
      <c r="T695" s="295" t="s">
        <v>449</v>
      </c>
      <c r="U695" s="332" t="s">
        <v>816</v>
      </c>
      <c r="V695" s="172" t="s">
        <v>559</v>
      </c>
      <c r="W695" s="298" t="s">
        <v>2182</v>
      </c>
      <c r="X695" s="64" t="s">
        <v>521</v>
      </c>
      <c r="Y695" s="282" t="s">
        <v>1985</v>
      </c>
      <c r="Z695" s="282" t="s">
        <v>1592</v>
      </c>
      <c r="AA695" s="299"/>
      <c r="AB695" s="300" t="s">
        <v>225</v>
      </c>
      <c r="AC695" s="301" t="s">
        <v>2597</v>
      </c>
      <c r="AD695" s="302" t="s">
        <v>1042</v>
      </c>
      <c r="AE695" s="302"/>
      <c r="AF695" s="302"/>
      <c r="AG695" s="302"/>
      <c r="AH695" s="301" t="s">
        <v>2596</v>
      </c>
    </row>
    <row r="696" spans="1:34" ht="66">
      <c r="A696" s="387">
        <v>4226</v>
      </c>
      <c r="B696" s="388" t="str">
        <f t="shared" si="48"/>
        <v>1082</v>
      </c>
      <c r="C696" s="328" t="s">
        <v>2227</v>
      </c>
      <c r="D696" s="295" t="s">
        <v>2219</v>
      </c>
      <c r="E696" s="295" t="s">
        <v>1977</v>
      </c>
      <c r="F696" s="78" t="s">
        <v>1919</v>
      </c>
      <c r="G696" s="78" t="s">
        <v>1917</v>
      </c>
      <c r="H696" s="282" t="s">
        <v>637</v>
      </c>
      <c r="I696" s="295" t="s">
        <v>815</v>
      </c>
      <c r="J696" s="282" t="s">
        <v>1</v>
      </c>
      <c r="K696" s="282" t="s">
        <v>749</v>
      </c>
      <c r="L696" s="345" t="s">
        <v>2220</v>
      </c>
      <c r="M696" s="55" t="s">
        <v>1399</v>
      </c>
      <c r="N696" s="282" t="s">
        <v>1215</v>
      </c>
      <c r="O696" s="304" t="s">
        <v>1805</v>
      </c>
      <c r="P696" s="64" t="str">
        <f ca="1">IF(AND(OR(INDIRECT("K" &amp; ROW())="NAV-Premium",INDIRECT("K" &amp; ROW())="DA-Premium"),INDIRECT("M" &amp; ROW())="PARTITION_SCHEMA128__NavPiviJpn", INDIRECT("O" &amp; ROW())="JPN_SDB"),'SDB vs GN'!$B$41, IF(INDIRECT("H" &amp; ROW())="Chenc",'SDB vs GN'!$B$40, VLOOKUP(INDIRECT("O" &amp; ROW()),'SDB vs GN'!$A$16:$B$38,2,FALSE)))</f>
        <v>GCN2_CN_EU_NA</v>
      </c>
      <c r="Q696" s="297" t="s">
        <v>1903</v>
      </c>
      <c r="R696" s="298" t="s">
        <v>1229</v>
      </c>
      <c r="S696" s="340" t="s">
        <v>10</v>
      </c>
      <c r="T696" s="295" t="s">
        <v>449</v>
      </c>
      <c r="U696" s="332" t="s">
        <v>816</v>
      </c>
      <c r="V696" s="172" t="s">
        <v>560</v>
      </c>
      <c r="W696" s="298" t="s">
        <v>2182</v>
      </c>
      <c r="X696" s="64" t="s">
        <v>521</v>
      </c>
      <c r="Y696" s="282" t="s">
        <v>1985</v>
      </c>
      <c r="Z696" s="282" t="s">
        <v>1592</v>
      </c>
      <c r="AA696" s="299"/>
      <c r="AB696" s="300" t="s">
        <v>225</v>
      </c>
      <c r="AC696" s="301" t="s">
        <v>2598</v>
      </c>
      <c r="AD696" s="302" t="s">
        <v>1042</v>
      </c>
      <c r="AE696" s="302" t="s">
        <v>2483</v>
      </c>
      <c r="AF696" s="302"/>
      <c r="AG696" s="302"/>
      <c r="AH696" s="301" t="s">
        <v>2637</v>
      </c>
    </row>
    <row r="697" spans="1:34" ht="66">
      <c r="A697" s="387">
        <v>4227</v>
      </c>
      <c r="B697" s="388" t="str">
        <f t="shared" si="48"/>
        <v>1083</v>
      </c>
      <c r="C697" s="328" t="s">
        <v>2225</v>
      </c>
      <c r="D697" s="295" t="s">
        <v>2219</v>
      </c>
      <c r="E697" s="295" t="s">
        <v>1977</v>
      </c>
      <c r="F697" s="78" t="s">
        <v>1919</v>
      </c>
      <c r="G697" s="78" t="s">
        <v>1917</v>
      </c>
      <c r="H697" s="282" t="s">
        <v>637</v>
      </c>
      <c r="I697" s="295" t="s">
        <v>815</v>
      </c>
      <c r="J697" s="282" t="s">
        <v>1</v>
      </c>
      <c r="K697" s="282" t="s">
        <v>749</v>
      </c>
      <c r="L697" s="345" t="s">
        <v>2220</v>
      </c>
      <c r="M697" s="55" t="s">
        <v>1399</v>
      </c>
      <c r="N697" s="282" t="s">
        <v>1215</v>
      </c>
      <c r="O697" s="304" t="s">
        <v>1804</v>
      </c>
      <c r="P697" s="64" t="str">
        <f ca="1">IF(AND(OR(INDIRECT("K" &amp; ROW())="NAV-Premium",INDIRECT("K" &amp; ROW())="DA-Premium"),INDIRECT("M" &amp; ROW())="PARTITION_SCHEMA128__NavPiviJpn", INDIRECT("O" &amp; ROW())="JPN_SDB"),'SDB vs GN'!$B$41, IF(INDIRECT("H" &amp; ROW())="Chenc",'SDB vs GN'!$B$40, VLOOKUP(INDIRECT("O" &amp; ROW()),'SDB vs GN'!$A$16:$B$38,2,FALSE)))</f>
        <v>GCN2_CN_EU_NA</v>
      </c>
      <c r="Q697" s="297" t="s">
        <v>1903</v>
      </c>
      <c r="R697" s="298" t="s">
        <v>1229</v>
      </c>
      <c r="S697" s="340" t="s">
        <v>10</v>
      </c>
      <c r="T697" s="295" t="s">
        <v>449</v>
      </c>
      <c r="U697" s="332" t="s">
        <v>816</v>
      </c>
      <c r="V697" s="101" t="s">
        <v>564</v>
      </c>
      <c r="W697" s="298" t="s">
        <v>2182</v>
      </c>
      <c r="X697" s="64" t="s">
        <v>521</v>
      </c>
      <c r="Y697" s="282" t="s">
        <v>1985</v>
      </c>
      <c r="Z697" s="282" t="s">
        <v>1592</v>
      </c>
      <c r="AA697" s="299"/>
      <c r="AB697" s="300" t="s">
        <v>225</v>
      </c>
      <c r="AC697" s="301" t="s">
        <v>2600</v>
      </c>
      <c r="AD697" s="302" t="s">
        <v>1042</v>
      </c>
      <c r="AE697" s="302" t="s">
        <v>2476</v>
      </c>
      <c r="AF697" s="302"/>
      <c r="AG697" s="302"/>
      <c r="AH697" s="301" t="s">
        <v>2638</v>
      </c>
    </row>
    <row r="698" spans="1:34" ht="105.6">
      <c r="A698" s="387">
        <v>4228</v>
      </c>
      <c r="B698" s="388" t="str">
        <f t="shared" si="48"/>
        <v>1084</v>
      </c>
      <c r="C698" s="328" t="s">
        <v>2228</v>
      </c>
      <c r="D698" s="295" t="s">
        <v>2219</v>
      </c>
      <c r="E698" s="295" t="s">
        <v>1977</v>
      </c>
      <c r="F698" s="78" t="s">
        <v>1919</v>
      </c>
      <c r="G698" s="78" t="s">
        <v>1917</v>
      </c>
      <c r="H698" s="282" t="s">
        <v>637</v>
      </c>
      <c r="I698" s="295" t="s">
        <v>815</v>
      </c>
      <c r="J698" s="282" t="s">
        <v>1</v>
      </c>
      <c r="K698" s="282" t="s">
        <v>749</v>
      </c>
      <c r="L698" s="345" t="s">
        <v>2220</v>
      </c>
      <c r="M698" s="55" t="s">
        <v>1399</v>
      </c>
      <c r="N698" s="282" t="s">
        <v>1215</v>
      </c>
      <c r="O698" s="304" t="s">
        <v>1804</v>
      </c>
      <c r="P698" s="64" t="str">
        <f ca="1">IF(AND(OR(INDIRECT("K" &amp; ROW())="NAV-Premium",INDIRECT("K" &amp; ROW())="DA-Premium"),INDIRECT("M" &amp; ROW())="PARTITION_SCHEMA128__NavPiviJpn", INDIRECT("O" &amp; ROW())="JPN_SDB"),'SDB vs GN'!$B$41, IF(INDIRECT("H" &amp; ROW())="Chenc",'SDB vs GN'!$B$40, VLOOKUP(INDIRECT("O" &amp; ROW()),'SDB vs GN'!$A$16:$B$38,2,FALSE)))</f>
        <v>GCN2_CN_EU_NA</v>
      </c>
      <c r="Q698" s="297" t="s">
        <v>1903</v>
      </c>
      <c r="R698" s="298" t="s">
        <v>1229</v>
      </c>
      <c r="S698" s="340" t="s">
        <v>10</v>
      </c>
      <c r="T698" s="295" t="s">
        <v>449</v>
      </c>
      <c r="U698" s="332" t="s">
        <v>816</v>
      </c>
      <c r="V698" s="174" t="s">
        <v>558</v>
      </c>
      <c r="W698" s="298" t="s">
        <v>2182</v>
      </c>
      <c r="X698" s="64" t="s">
        <v>521</v>
      </c>
      <c r="Y698" s="282" t="s">
        <v>1985</v>
      </c>
      <c r="Z698" s="282" t="s">
        <v>1592</v>
      </c>
      <c r="AA698" s="299"/>
      <c r="AB698" s="300" t="s">
        <v>225</v>
      </c>
      <c r="AC698" s="301" t="s">
        <v>2601</v>
      </c>
      <c r="AD698" s="302" t="s">
        <v>1042</v>
      </c>
      <c r="AE698" s="302" t="s">
        <v>2475</v>
      </c>
      <c r="AF698" s="302"/>
      <c r="AG698" s="302"/>
      <c r="AH698" s="301" t="s">
        <v>2639</v>
      </c>
    </row>
    <row r="699" spans="1:34" ht="52.8">
      <c r="A699" s="387">
        <v>4229</v>
      </c>
      <c r="B699" s="388" t="str">
        <f t="shared" si="48"/>
        <v>1085</v>
      </c>
      <c r="C699" s="329" t="s">
        <v>2222</v>
      </c>
      <c r="D699" s="295" t="s">
        <v>2219</v>
      </c>
      <c r="E699" s="295" t="s">
        <v>1977</v>
      </c>
      <c r="F699" s="78" t="s">
        <v>1919</v>
      </c>
      <c r="G699" s="78" t="s">
        <v>1917</v>
      </c>
      <c r="H699" s="282" t="s">
        <v>637</v>
      </c>
      <c r="I699" s="295" t="s">
        <v>815</v>
      </c>
      <c r="J699" s="282" t="s">
        <v>1</v>
      </c>
      <c r="K699" s="282" t="s">
        <v>749</v>
      </c>
      <c r="L699" s="345" t="s">
        <v>2220</v>
      </c>
      <c r="M699" s="55" t="s">
        <v>1399</v>
      </c>
      <c r="N699" s="282" t="s">
        <v>1215</v>
      </c>
      <c r="O699" s="296" t="s">
        <v>1806</v>
      </c>
      <c r="P699" s="64" t="str">
        <f ca="1">IF(AND(OR(INDIRECT("K" &amp; ROW())="NAV-Premium",INDIRECT("K" &amp; ROW())="DA-Premium"),INDIRECT("M" &amp; ROW())="PARTITION_SCHEMA128__NavPiviJpn", INDIRECT("O" &amp; ROW())="JPN_SDB"),'SDB vs GN'!$B$41, IF(INDIRECT("H" &amp; ROW())="Chenc",'SDB vs GN'!$B$40, VLOOKUP(INDIRECT("O" &amp; ROW()),'SDB vs GN'!$A$16:$B$38,2,FALSE)))</f>
        <v>GCN1_JP_KR_LA_NA</v>
      </c>
      <c r="Q699" s="297" t="s">
        <v>1903</v>
      </c>
      <c r="R699" s="298" t="s">
        <v>1229</v>
      </c>
      <c r="S699" s="340" t="s">
        <v>10</v>
      </c>
      <c r="T699" s="295" t="s">
        <v>449</v>
      </c>
      <c r="U699" s="332" t="s">
        <v>816</v>
      </c>
      <c r="V699" s="68" t="s">
        <v>555</v>
      </c>
      <c r="W699" s="298" t="s">
        <v>2182</v>
      </c>
      <c r="X699" s="64" t="s">
        <v>521</v>
      </c>
      <c r="Y699" s="282" t="s">
        <v>1985</v>
      </c>
      <c r="Z699" s="282" t="s">
        <v>1592</v>
      </c>
      <c r="AA699" s="299"/>
      <c r="AB699" s="300" t="s">
        <v>225</v>
      </c>
      <c r="AC699" s="301" t="s">
        <v>2381</v>
      </c>
      <c r="AD699" s="302" t="s">
        <v>1042</v>
      </c>
      <c r="AE699" s="302"/>
      <c r="AF699" s="302"/>
      <c r="AG699" s="302"/>
      <c r="AH699" s="301" t="s">
        <v>2382</v>
      </c>
    </row>
    <row r="700" spans="1:34" ht="26.4">
      <c r="A700" s="387">
        <v>4230</v>
      </c>
      <c r="B700" s="388" t="str">
        <f t="shared" ref="B700:B703" si="49">DEC2HEX(A700,4)</f>
        <v>1086</v>
      </c>
      <c r="C700" s="329" t="s">
        <v>1754</v>
      </c>
      <c r="D700" s="295" t="s">
        <v>2181</v>
      </c>
      <c r="E700" s="295" t="s">
        <v>1977</v>
      </c>
      <c r="F700" s="372" t="s">
        <v>1315</v>
      </c>
      <c r="G700" s="115" t="s">
        <v>1914</v>
      </c>
      <c r="H700" s="282" t="s">
        <v>637</v>
      </c>
      <c r="I700" s="295" t="s">
        <v>815</v>
      </c>
      <c r="J700" s="282" t="s">
        <v>0</v>
      </c>
      <c r="K700" s="282" t="s">
        <v>454</v>
      </c>
      <c r="L700" s="360" t="s">
        <v>1306</v>
      </c>
      <c r="M700" s="282" t="s">
        <v>1401</v>
      </c>
      <c r="N700" s="282" t="s">
        <v>1400</v>
      </c>
      <c r="O700" s="296" t="s">
        <v>1806</v>
      </c>
      <c r="P700" s="64" t="s">
        <v>1866</v>
      </c>
      <c r="Q700" s="297" t="s">
        <v>1903</v>
      </c>
      <c r="R700" s="298" t="s">
        <v>1228</v>
      </c>
      <c r="S700" s="340" t="s">
        <v>10</v>
      </c>
      <c r="T700" s="367" t="s">
        <v>450</v>
      </c>
      <c r="U700" s="332" t="s">
        <v>816</v>
      </c>
      <c r="V700" s="308" t="s">
        <v>604</v>
      </c>
      <c r="W700" s="298" t="s">
        <v>2182</v>
      </c>
      <c r="X700" s="297" t="s">
        <v>521</v>
      </c>
      <c r="Y700" s="282" t="s">
        <v>2178</v>
      </c>
      <c r="Z700" s="282" t="s">
        <v>1593</v>
      </c>
      <c r="AA700" s="299"/>
      <c r="AB700" s="300" t="s">
        <v>225</v>
      </c>
      <c r="AC700" s="390" t="s">
        <v>2260</v>
      </c>
      <c r="AD700" s="302" t="s">
        <v>1042</v>
      </c>
      <c r="AE700" s="301" t="s">
        <v>2488</v>
      </c>
      <c r="AF700" s="302"/>
      <c r="AG700" s="302"/>
      <c r="AH700" s="302" t="s">
        <v>2263</v>
      </c>
    </row>
    <row r="701" spans="1:34" ht="26.4">
      <c r="A701" s="387">
        <v>4231</v>
      </c>
      <c r="B701" s="388" t="str">
        <f t="shared" si="49"/>
        <v>1087</v>
      </c>
      <c r="C701" s="329" t="s">
        <v>1756</v>
      </c>
      <c r="D701" s="295" t="s">
        <v>2181</v>
      </c>
      <c r="E701" s="295" t="s">
        <v>1977</v>
      </c>
      <c r="F701" s="372" t="s">
        <v>1315</v>
      </c>
      <c r="G701" s="115" t="s">
        <v>1914</v>
      </c>
      <c r="H701" s="282" t="s">
        <v>637</v>
      </c>
      <c r="I701" s="295" t="s">
        <v>815</v>
      </c>
      <c r="J701" s="282" t="s">
        <v>0</v>
      </c>
      <c r="K701" s="282" t="s">
        <v>454</v>
      </c>
      <c r="L701" s="360" t="s">
        <v>1306</v>
      </c>
      <c r="M701" s="282" t="s">
        <v>1401</v>
      </c>
      <c r="N701" s="282" t="s">
        <v>1400</v>
      </c>
      <c r="O701" s="238" t="s">
        <v>1804</v>
      </c>
      <c r="P701" s="64" t="s">
        <v>1867</v>
      </c>
      <c r="Q701" s="297" t="s">
        <v>1903</v>
      </c>
      <c r="R701" s="298" t="s">
        <v>1229</v>
      </c>
      <c r="S701" s="340" t="s">
        <v>10</v>
      </c>
      <c r="T701" s="295" t="s">
        <v>449</v>
      </c>
      <c r="U701" s="332" t="s">
        <v>816</v>
      </c>
      <c r="V701" s="308" t="s">
        <v>599</v>
      </c>
      <c r="W701" s="298" t="s">
        <v>2182</v>
      </c>
      <c r="X701" s="297" t="s">
        <v>521</v>
      </c>
      <c r="Y701" s="282" t="s">
        <v>2178</v>
      </c>
      <c r="Z701" s="282" t="s">
        <v>1593</v>
      </c>
      <c r="AA701" s="299"/>
      <c r="AB701" s="300" t="s">
        <v>225</v>
      </c>
      <c r="AC701" s="390" t="s">
        <v>2261</v>
      </c>
      <c r="AD701" s="302" t="s">
        <v>1042</v>
      </c>
      <c r="AE701" s="301" t="s">
        <v>2487</v>
      </c>
      <c r="AF701" s="302"/>
      <c r="AG701" s="302"/>
      <c r="AH701" s="302" t="s">
        <v>2262</v>
      </c>
    </row>
    <row r="702" spans="1:34" ht="92.4">
      <c r="A702" s="387">
        <v>4232</v>
      </c>
      <c r="B702" s="388" t="str">
        <f t="shared" si="49"/>
        <v>1088</v>
      </c>
      <c r="C702" s="329" t="s">
        <v>1748</v>
      </c>
      <c r="D702" s="295" t="s">
        <v>1934</v>
      </c>
      <c r="E702" s="295" t="s">
        <v>1977</v>
      </c>
      <c r="F702" s="371" t="s">
        <v>1230</v>
      </c>
      <c r="G702" s="252" t="s">
        <v>1918</v>
      </c>
      <c r="H702" s="282" t="s">
        <v>637</v>
      </c>
      <c r="I702" s="295" t="s">
        <v>815</v>
      </c>
      <c r="J702" s="282" t="s">
        <v>0</v>
      </c>
      <c r="K702" s="282" t="s">
        <v>452</v>
      </c>
      <c r="L702" s="297" t="s">
        <v>2318</v>
      </c>
      <c r="M702" s="282" t="s">
        <v>1399</v>
      </c>
      <c r="N702" s="282" t="s">
        <v>1215</v>
      </c>
      <c r="O702" s="304" t="s">
        <v>1805</v>
      </c>
      <c r="P702" s="64" t="str">
        <f ca="1">IF(AND(OR(INDIRECT("K" &amp; ROW())="NAV-Premium",INDIRECT("K" &amp; ROW())="DA-Premium"),INDIRECT("M" &amp; ROW())="PARTITION_SCHEMA128__NavPiviJpn", INDIRECT("O" &amp; ROW())="JPN_SDB"),'SDB vs GN'!$B$41, IF(INDIRECT("H" &amp; ROW())="Chenc",'SDB vs GN'!$B$40, VLOOKUP(INDIRECT("O" &amp; ROW()),'SDB vs GN'!$A$16:$B$38,2,FALSE)))</f>
        <v>GCN2_CN_EU_NA</v>
      </c>
      <c r="Q702" s="297" t="s">
        <v>1903</v>
      </c>
      <c r="R702" s="298" t="s">
        <v>1229</v>
      </c>
      <c r="S702" s="340" t="s">
        <v>10</v>
      </c>
      <c r="T702" s="295" t="s">
        <v>449</v>
      </c>
      <c r="U702" s="332" t="s">
        <v>816</v>
      </c>
      <c r="V702" s="342" t="s">
        <v>872</v>
      </c>
      <c r="W702" s="298" t="s">
        <v>447</v>
      </c>
      <c r="X702" s="297" t="s">
        <v>521</v>
      </c>
      <c r="Y702" s="282" t="s">
        <v>1556</v>
      </c>
      <c r="Z702" s="282" t="s">
        <v>1593</v>
      </c>
      <c r="AA702" s="299"/>
      <c r="AB702" s="300" t="s">
        <v>225</v>
      </c>
      <c r="AC702" s="301" t="s">
        <v>2659</v>
      </c>
      <c r="AD702" s="302" t="s">
        <v>1042</v>
      </c>
      <c r="AE702" s="302"/>
      <c r="AF702" s="302"/>
      <c r="AG702" s="302"/>
      <c r="AH702" s="302" t="s">
        <v>2658</v>
      </c>
    </row>
    <row r="703" spans="1:34" ht="237.6">
      <c r="A703" s="387">
        <v>4233</v>
      </c>
      <c r="B703" s="388" t="str">
        <f t="shared" si="49"/>
        <v>1089</v>
      </c>
      <c r="C703" s="329" t="s">
        <v>2157</v>
      </c>
      <c r="D703" s="295" t="s">
        <v>2181</v>
      </c>
      <c r="E703" s="295" t="s">
        <v>1977</v>
      </c>
      <c r="F703" s="371" t="s">
        <v>1230</v>
      </c>
      <c r="G703" s="252" t="s">
        <v>1918</v>
      </c>
      <c r="H703" s="282" t="s">
        <v>637</v>
      </c>
      <c r="I703" s="295" t="s">
        <v>815</v>
      </c>
      <c r="J703" s="282" t="s">
        <v>0</v>
      </c>
      <c r="K703" s="282" t="s">
        <v>452</v>
      </c>
      <c r="L703" s="297" t="s">
        <v>2318</v>
      </c>
      <c r="M703" s="282" t="s">
        <v>1401</v>
      </c>
      <c r="N703" s="282" t="s">
        <v>1400</v>
      </c>
      <c r="O703" s="238" t="s">
        <v>1801</v>
      </c>
      <c r="P703" s="64" t="str">
        <f ca="1">IF(AND(OR(INDIRECT("K" &amp; ROW())="NAV-Premium",INDIRECT("K" &amp; ROW())="DA-Premium"),INDIRECT("M" &amp; ROW())="PARTITION_SCHEMA128__NavPiviJpn", INDIRECT("O" &amp; ROW())="JPN_SDB"),'SDB vs GN'!$B$41, IF(INDIRECT("H" &amp; ROW())="Chenc",'SDB vs GN'!$B$40, VLOOKUP(INDIRECT("O" &amp; ROW()),'SDB vs GN'!$A$16:$B$38,2,FALSE)))</f>
        <v>GCN1_JP_KR_LA_NA</v>
      </c>
      <c r="Q703" s="297" t="s">
        <v>1903</v>
      </c>
      <c r="R703" s="298" t="s">
        <v>1398</v>
      </c>
      <c r="S703" s="340" t="s">
        <v>10</v>
      </c>
      <c r="T703" s="367" t="s">
        <v>450</v>
      </c>
      <c r="U703" s="332" t="s">
        <v>816</v>
      </c>
      <c r="V703" s="342" t="s">
        <v>1989</v>
      </c>
      <c r="W703" s="298" t="s">
        <v>2182</v>
      </c>
      <c r="X703" s="64" t="s">
        <v>521</v>
      </c>
      <c r="Y703" s="282" t="s">
        <v>2178</v>
      </c>
      <c r="Z703" s="282" t="s">
        <v>1593</v>
      </c>
      <c r="AA703" s="299"/>
      <c r="AB703" s="300" t="s">
        <v>225</v>
      </c>
      <c r="AC703" s="301" t="s">
        <v>2585</v>
      </c>
      <c r="AD703" s="302" t="s">
        <v>1042</v>
      </c>
      <c r="AE703" s="302" t="s">
        <v>2342</v>
      </c>
      <c r="AF703" s="302"/>
      <c r="AG703" s="302"/>
      <c r="AH703" s="302" t="s">
        <v>2584</v>
      </c>
    </row>
    <row r="704" spans="1:34" ht="39.6">
      <c r="A704" s="51">
        <v>4234</v>
      </c>
      <c r="B704" s="81" t="str">
        <f t="shared" ref="B704:B707" si="50">DEC2HEX(A704,4)</f>
        <v>108A</v>
      </c>
      <c r="C704" s="329" t="s">
        <v>2329</v>
      </c>
      <c r="D704" s="295" t="s">
        <v>1934</v>
      </c>
      <c r="E704" s="295" t="s">
        <v>1977</v>
      </c>
      <c r="F704" s="393" t="s">
        <v>2324</v>
      </c>
      <c r="G704" s="394" t="s">
        <v>2326</v>
      </c>
      <c r="H704" s="282" t="s">
        <v>637</v>
      </c>
      <c r="I704" s="295" t="s">
        <v>815</v>
      </c>
      <c r="J704" s="282" t="s">
        <v>1409</v>
      </c>
      <c r="K704" s="282" t="s">
        <v>452</v>
      </c>
      <c r="L704" s="297" t="s">
        <v>2317</v>
      </c>
      <c r="M704" s="282" t="s">
        <v>1401</v>
      </c>
      <c r="N704" s="282" t="s">
        <v>1400</v>
      </c>
      <c r="O704" s="238" t="s">
        <v>1801</v>
      </c>
      <c r="P704" s="64" t="str">
        <f ca="1">IF(AND(OR(INDIRECT("K" &amp; ROW())="NAV-Premium",INDIRECT("K" &amp; ROW())="DA-Premium"),INDIRECT("M" &amp; ROW())="PARTITION_SCHEMA128__NavPiviJpn", INDIRECT("O" &amp; ROW())="JPN_SDB"),'SDB vs GN'!$B$41, IF(INDIRECT("H" &amp; ROW())="Chenc",'SDB vs GN'!$B$40, VLOOKUP(INDIRECT("O" &amp; ROW()),'SDB vs GN'!$A$16:$B$38,2,FALSE)))</f>
        <v>GCN1_JP_KR_LA_NA</v>
      </c>
      <c r="Q704" s="297" t="s">
        <v>1903</v>
      </c>
      <c r="R704" s="298" t="s">
        <v>1398</v>
      </c>
      <c r="S704" s="340" t="s">
        <v>10</v>
      </c>
      <c r="T704" s="367" t="s">
        <v>450</v>
      </c>
      <c r="U704" s="332" t="s">
        <v>816</v>
      </c>
      <c r="V704" s="342" t="s">
        <v>1989</v>
      </c>
      <c r="W704" s="298" t="s">
        <v>447</v>
      </c>
      <c r="X704" s="64" t="s">
        <v>521</v>
      </c>
      <c r="Y704" s="282" t="s">
        <v>1556</v>
      </c>
      <c r="Z704" s="282" t="s">
        <v>1593</v>
      </c>
      <c r="AA704" s="299"/>
      <c r="AB704" s="300" t="s">
        <v>225</v>
      </c>
      <c r="AC704" s="301" t="s">
        <v>2379</v>
      </c>
      <c r="AD704" s="302" t="s">
        <v>1042</v>
      </c>
      <c r="AE704" s="302"/>
      <c r="AF704" s="302"/>
      <c r="AG704" s="302"/>
      <c r="AH704" s="302" t="s">
        <v>2380</v>
      </c>
    </row>
    <row r="705" spans="1:34" s="1" customFormat="1" ht="237.6">
      <c r="A705" s="347">
        <v>4235</v>
      </c>
      <c r="B705" s="348" t="str">
        <f t="shared" si="50"/>
        <v>108B</v>
      </c>
      <c r="C705" s="323" t="s">
        <v>2331</v>
      </c>
      <c r="D705" s="295" t="s">
        <v>1934</v>
      </c>
      <c r="E705" s="295" t="s">
        <v>1977</v>
      </c>
      <c r="F705" s="395" t="s">
        <v>2325</v>
      </c>
      <c r="G705" s="395" t="s">
        <v>2327</v>
      </c>
      <c r="H705" s="282" t="s">
        <v>637</v>
      </c>
      <c r="I705" s="295" t="s">
        <v>5</v>
      </c>
      <c r="J705" s="282" t="s">
        <v>1409</v>
      </c>
      <c r="K705" s="282" t="s">
        <v>452</v>
      </c>
      <c r="L705" s="297" t="s">
        <v>2317</v>
      </c>
      <c r="M705" s="282" t="s">
        <v>1496</v>
      </c>
      <c r="N705" s="282" t="s">
        <v>1215</v>
      </c>
      <c r="O705" s="296" t="s">
        <v>1801</v>
      </c>
      <c r="P705" s="64" t="str">
        <f ca="1">IF(AND(OR(INDIRECT("K" &amp; ROW())="NAV-Premium",INDIRECT("K" &amp; ROW())="DA-Premium"),INDIRECT("M" &amp; ROW())="PARTITION_SCHEMA128__NavPiviJpn", INDIRECT("O" &amp; ROW())="JPN_SDB"),'SDB vs GN'!$B$41, IF(INDIRECT("H" &amp; ROW())="Chenc",'SDB vs GN'!$B$40, VLOOKUP(INDIRECT("O" &amp; ROW()),'SDB vs GN'!$A$16:$B$38,2,FALSE)))</f>
        <v>GCN1_JP_KR_LA_NA</v>
      </c>
      <c r="Q705" s="297" t="s">
        <v>1903</v>
      </c>
      <c r="R705" s="314" t="s">
        <v>1354</v>
      </c>
      <c r="S705" s="340" t="s">
        <v>10</v>
      </c>
      <c r="T705" s="295" t="s">
        <v>449</v>
      </c>
      <c r="U705" s="332" t="s">
        <v>816</v>
      </c>
      <c r="V705" s="308" t="s">
        <v>615</v>
      </c>
      <c r="W705" s="314" t="s">
        <v>447</v>
      </c>
      <c r="X705" s="297" t="s">
        <v>362</v>
      </c>
      <c r="Y705" s="282" t="s">
        <v>1556</v>
      </c>
      <c r="Z705" s="282" t="s">
        <v>1593</v>
      </c>
      <c r="AA705" s="284"/>
      <c r="AB705" s="300" t="s">
        <v>225</v>
      </c>
      <c r="AC705" s="411" t="s">
        <v>2899</v>
      </c>
      <c r="AD705" s="302" t="s">
        <v>1042</v>
      </c>
      <c r="AE705" s="302"/>
      <c r="AF705" s="302"/>
      <c r="AG705" s="302"/>
      <c r="AH705" s="302" t="s">
        <v>2900</v>
      </c>
    </row>
    <row r="706" spans="1:34" s="1" customFormat="1" ht="26.4">
      <c r="A706" s="347">
        <v>4236</v>
      </c>
      <c r="B706" s="348" t="str">
        <f t="shared" si="50"/>
        <v>108C</v>
      </c>
      <c r="C706" s="323" t="s">
        <v>2330</v>
      </c>
      <c r="D706" s="295" t="s">
        <v>1934</v>
      </c>
      <c r="E706" s="295" t="s">
        <v>1977</v>
      </c>
      <c r="F706" s="393" t="s">
        <v>2324</v>
      </c>
      <c r="G706" s="393" t="s">
        <v>2326</v>
      </c>
      <c r="H706" s="282" t="s">
        <v>637</v>
      </c>
      <c r="I706" s="295" t="s">
        <v>815</v>
      </c>
      <c r="J706" s="282" t="s">
        <v>1409</v>
      </c>
      <c r="K706" s="282" t="s">
        <v>452</v>
      </c>
      <c r="L706" s="297" t="s">
        <v>2317</v>
      </c>
      <c r="M706" s="282" t="s">
        <v>1401</v>
      </c>
      <c r="N706" s="282" t="s">
        <v>1400</v>
      </c>
      <c r="O706" s="296" t="s">
        <v>1803</v>
      </c>
      <c r="P706" s="64" t="str">
        <f ca="1">IF(AND(OR(INDIRECT("K" &amp; ROW())="NAV-Premium",INDIRECT("K" &amp; ROW())="DA-Premium"),INDIRECT("M" &amp; ROW())="PARTITION_SCHEMA128__NavPiviJpn", INDIRECT("O" &amp; ROW())="JPN_SDB"),'SDB vs GN'!$B$41, IF(INDIRECT("H" &amp; ROW())="Chenc",'SDB vs GN'!$B$40, VLOOKUP(INDIRECT("O" &amp; ROW()),'SDB vs GN'!$A$16:$B$38,2,FALSE)))</f>
        <v>GCN3_CN_LA_NA</v>
      </c>
      <c r="Q706" s="297" t="s">
        <v>1903</v>
      </c>
      <c r="R706" s="314" t="s">
        <v>1229</v>
      </c>
      <c r="S706" s="340" t="s">
        <v>10</v>
      </c>
      <c r="T706" s="295" t="s">
        <v>449</v>
      </c>
      <c r="U706" s="332" t="s">
        <v>816</v>
      </c>
      <c r="V706" s="342" t="s">
        <v>728</v>
      </c>
      <c r="W706" s="314" t="s">
        <v>447</v>
      </c>
      <c r="X706" s="297" t="s">
        <v>521</v>
      </c>
      <c r="Y706" s="282" t="s">
        <v>1556</v>
      </c>
      <c r="Z706" s="282" t="s">
        <v>1593</v>
      </c>
      <c r="AA706" s="284"/>
      <c r="AB706" s="300" t="s">
        <v>225</v>
      </c>
      <c r="AC706" s="411" t="s">
        <v>2469</v>
      </c>
      <c r="AD706" s="302" t="s">
        <v>1042</v>
      </c>
      <c r="AE706" s="302"/>
      <c r="AF706" s="302"/>
      <c r="AG706" s="302"/>
      <c r="AH706" s="302" t="s">
        <v>2470</v>
      </c>
    </row>
    <row r="707" spans="1:34" s="1" customFormat="1" ht="66">
      <c r="A707" s="347">
        <v>4237</v>
      </c>
      <c r="B707" s="348" t="str">
        <f t="shared" si="50"/>
        <v>108D</v>
      </c>
      <c r="C707" s="323" t="s">
        <v>2332</v>
      </c>
      <c r="D707" s="295" t="s">
        <v>1933</v>
      </c>
      <c r="E707" s="295" t="s">
        <v>1977</v>
      </c>
      <c r="F707" s="410" t="s">
        <v>2323</v>
      </c>
      <c r="G707" s="410" t="s">
        <v>2328</v>
      </c>
      <c r="H707" s="282" t="s">
        <v>637</v>
      </c>
      <c r="I707" s="314" t="s">
        <v>4</v>
      </c>
      <c r="J707" s="282" t="s">
        <v>1409</v>
      </c>
      <c r="K707" s="282" t="s">
        <v>451</v>
      </c>
      <c r="L707" s="297" t="s">
        <v>2317</v>
      </c>
      <c r="M707" s="282" t="s">
        <v>1403</v>
      </c>
      <c r="N707" s="282" t="s">
        <v>1215</v>
      </c>
      <c r="O707" s="296" t="s">
        <v>1801</v>
      </c>
      <c r="P707" s="64" t="str">
        <f ca="1">IF(AND(OR(INDIRECT("K" &amp; ROW())="NAV-Premium",INDIRECT("K" &amp; ROW())="DA-Premium"),INDIRECT("M" &amp; ROW())="PARTITION_SCHEMA128__NavPiviJpn", INDIRECT("O" &amp; ROW())="JPN_SDB"),'SDB vs GN'!$B$41, IF(INDIRECT("H" &amp; ROW())="Chenc",'SDB vs GN'!$B$40, VLOOKUP(INDIRECT("O" &amp; ROW()),'SDB vs GN'!$A$16:$B$38,2,FALSE)))</f>
        <v>GCN1_JP_KR_LA_NA</v>
      </c>
      <c r="Q707" s="297" t="s">
        <v>1903</v>
      </c>
      <c r="R707" s="314" t="s">
        <v>1398</v>
      </c>
      <c r="S707" s="340" t="s">
        <v>10</v>
      </c>
      <c r="T707" s="367" t="s">
        <v>450</v>
      </c>
      <c r="U707" s="332" t="s">
        <v>816</v>
      </c>
      <c r="V707" s="308" t="s">
        <v>7</v>
      </c>
      <c r="W707" s="314" t="s">
        <v>447</v>
      </c>
      <c r="X707" s="297" t="s">
        <v>521</v>
      </c>
      <c r="Y707" s="282" t="s">
        <v>1556</v>
      </c>
      <c r="Z707" s="282" t="s">
        <v>1592</v>
      </c>
      <c r="AA707" s="284"/>
      <c r="AB707" s="300" t="s">
        <v>225</v>
      </c>
      <c r="AC707" s="353" t="s">
        <v>2471</v>
      </c>
      <c r="AD707" s="302" t="s">
        <v>1042</v>
      </c>
      <c r="AE707" s="302"/>
      <c r="AF707" s="302"/>
      <c r="AG707" s="302"/>
      <c r="AH707" s="302" t="s">
        <v>2472</v>
      </c>
    </row>
    <row r="708" spans="1:34" s="1" customFormat="1">
      <c r="A708" s="347">
        <v>4238</v>
      </c>
      <c r="B708" s="348" t="str">
        <f t="shared" ref="B708:B730" si="51">DEC2HEX(A708,4)</f>
        <v>108E</v>
      </c>
      <c r="C708" s="419" t="s">
        <v>2467</v>
      </c>
      <c r="D708" s="295" t="s">
        <v>1933</v>
      </c>
      <c r="E708" s="295" t="s">
        <v>1977</v>
      </c>
      <c r="F708" s="410" t="s">
        <v>2323</v>
      </c>
      <c r="G708" s="410" t="s">
        <v>2328</v>
      </c>
      <c r="H708" s="282" t="s">
        <v>637</v>
      </c>
      <c r="I708" s="314" t="s">
        <v>4</v>
      </c>
      <c r="J708" s="282" t="s">
        <v>1409</v>
      </c>
      <c r="K708" s="282" t="s">
        <v>451</v>
      </c>
      <c r="L708" s="297" t="s">
        <v>2317</v>
      </c>
      <c r="M708" s="282" t="s">
        <v>1403</v>
      </c>
      <c r="N708" s="282" t="s">
        <v>1215</v>
      </c>
      <c r="O708" s="391" t="s">
        <v>1802</v>
      </c>
      <c r="P708" s="64" t="str">
        <f ca="1">IF(AND(OR(INDIRECT("K" &amp; ROW())="NAV-Premium",INDIRECT("K" &amp; ROW())="DA-Premium"),INDIRECT("M" &amp; ROW())="PARTITION_SCHEMA128__NavPiviJpn", INDIRECT("O" &amp; ROW())="JPN_SDB"),'SDB vs GN'!$B$41, IF(INDIRECT("H" &amp; ROW())="Chenc",'SDB vs GN'!$B$40, VLOOKUP(INDIRECT("O" &amp; ROW()),'SDB vs GN'!$A$16:$B$38,2,FALSE)))</f>
        <v>GCN2_CN_EU_NA</v>
      </c>
      <c r="Q708" s="297" t="s">
        <v>1903</v>
      </c>
      <c r="R708" s="314" t="s">
        <v>1229</v>
      </c>
      <c r="S708" s="340" t="s">
        <v>10</v>
      </c>
      <c r="T708" s="295" t="s">
        <v>449</v>
      </c>
      <c r="U708" s="332" t="s">
        <v>816</v>
      </c>
      <c r="V708" s="308" t="s">
        <v>7</v>
      </c>
      <c r="W708" s="314" t="s">
        <v>447</v>
      </c>
      <c r="X708" s="297" t="s">
        <v>521</v>
      </c>
      <c r="Y708" s="282" t="s">
        <v>1556</v>
      </c>
      <c r="Z708" s="282" t="s">
        <v>1592</v>
      </c>
      <c r="AA708" s="284"/>
      <c r="AB708" s="300" t="s">
        <v>225</v>
      </c>
      <c r="AC708" s="353" t="s">
        <v>2316</v>
      </c>
      <c r="AD708" s="302" t="s">
        <v>1042</v>
      </c>
      <c r="AE708" s="302"/>
      <c r="AF708" s="302"/>
      <c r="AG708" s="302"/>
      <c r="AH708" s="397" t="s">
        <v>2468</v>
      </c>
    </row>
    <row r="709" spans="1:34" s="1" customFormat="1">
      <c r="A709" s="347">
        <v>4239</v>
      </c>
      <c r="B709" s="348" t="str">
        <f t="shared" si="51"/>
        <v>108F</v>
      </c>
      <c r="C709" s="323" t="s">
        <v>2431</v>
      </c>
      <c r="D709" s="295" t="s">
        <v>1933</v>
      </c>
      <c r="E709" s="295" t="s">
        <v>1977</v>
      </c>
      <c r="F709" s="410" t="s">
        <v>2323</v>
      </c>
      <c r="G709" s="410" t="s">
        <v>2328</v>
      </c>
      <c r="H709" s="282" t="s">
        <v>637</v>
      </c>
      <c r="I709" s="314" t="s">
        <v>4</v>
      </c>
      <c r="J709" s="282" t="s">
        <v>1409</v>
      </c>
      <c r="K709" s="282" t="s">
        <v>451</v>
      </c>
      <c r="L709" s="297" t="s">
        <v>2317</v>
      </c>
      <c r="M709" s="282" t="s">
        <v>1403</v>
      </c>
      <c r="N709" s="282" t="s">
        <v>1215</v>
      </c>
      <c r="O709" s="296" t="s">
        <v>1805</v>
      </c>
      <c r="P709" s="64" t="str">
        <f ca="1">IF(AND(OR(INDIRECT("K" &amp; ROW())="NAV-Premium",INDIRECT("K" &amp; ROW())="DA-Premium"),INDIRECT("M" &amp; ROW())="PARTITION_SCHEMA128__NavPiviJpn", INDIRECT("O" &amp; ROW())="JPN_SDB"),'SDB vs GN'!$B$41, IF(INDIRECT("H" &amp; ROW())="Chenc",'SDB vs GN'!$B$40, VLOOKUP(INDIRECT("O" &amp; ROW()),'SDB vs GN'!$A$16:$B$38,2,FALSE)))</f>
        <v>GCN2_CN_EU_NA</v>
      </c>
      <c r="Q709" s="297" t="s">
        <v>1903</v>
      </c>
      <c r="R709" s="314" t="s">
        <v>1229</v>
      </c>
      <c r="S709" s="340" t="s">
        <v>10</v>
      </c>
      <c r="T709" s="295" t="s">
        <v>449</v>
      </c>
      <c r="U709" s="332" t="s">
        <v>816</v>
      </c>
      <c r="V709" s="308" t="s">
        <v>7</v>
      </c>
      <c r="W709" s="314" t="s">
        <v>447</v>
      </c>
      <c r="X709" s="297" t="s">
        <v>521</v>
      </c>
      <c r="Y709" s="282" t="s">
        <v>1556</v>
      </c>
      <c r="Z709" s="282" t="s">
        <v>1592</v>
      </c>
      <c r="AA709" s="284"/>
      <c r="AB709" s="300" t="s">
        <v>225</v>
      </c>
      <c r="AC709" s="411" t="s">
        <v>2445</v>
      </c>
      <c r="AD709" s="302" t="s">
        <v>1042</v>
      </c>
      <c r="AE709" s="302"/>
      <c r="AF709" s="302"/>
      <c r="AG709" s="302"/>
      <c r="AH709" s="302" t="s">
        <v>2446</v>
      </c>
    </row>
    <row r="710" spans="1:34" s="1" customFormat="1">
      <c r="A710" s="347">
        <v>4240</v>
      </c>
      <c r="B710" s="348" t="str">
        <f t="shared" si="51"/>
        <v>1090</v>
      </c>
      <c r="C710" s="323" t="s">
        <v>2333</v>
      </c>
      <c r="D710" s="295" t="s">
        <v>1933</v>
      </c>
      <c r="E710" s="295" t="s">
        <v>1977</v>
      </c>
      <c r="F710" s="410" t="s">
        <v>2323</v>
      </c>
      <c r="G710" s="410" t="s">
        <v>2328</v>
      </c>
      <c r="H710" s="282" t="s">
        <v>637</v>
      </c>
      <c r="I710" s="314" t="s">
        <v>4</v>
      </c>
      <c r="J710" s="282" t="s">
        <v>1409</v>
      </c>
      <c r="K710" s="282" t="s">
        <v>451</v>
      </c>
      <c r="L710" s="297" t="s">
        <v>2317</v>
      </c>
      <c r="M710" s="282" t="s">
        <v>1403</v>
      </c>
      <c r="N710" s="282" t="s">
        <v>1215</v>
      </c>
      <c r="O710" s="296" t="s">
        <v>1804</v>
      </c>
      <c r="P710" s="64" t="str">
        <f ca="1">IF(AND(OR(INDIRECT("K" &amp; ROW())="NAV-Premium",INDIRECT("K" &amp; ROW())="DA-Premium"),INDIRECT("M" &amp; ROW())="PARTITION_SCHEMA128__NavPiviJpn", INDIRECT("O" &amp; ROW())="JPN_SDB"),'SDB vs GN'!$B$41, IF(INDIRECT("H" &amp; ROW())="Chenc",'SDB vs GN'!$B$40, VLOOKUP(INDIRECT("O" &amp; ROW()),'SDB vs GN'!$A$16:$B$38,2,FALSE)))</f>
        <v>GCN2_CN_EU_NA</v>
      </c>
      <c r="Q710" s="297" t="s">
        <v>1903</v>
      </c>
      <c r="R710" s="314" t="s">
        <v>1229</v>
      </c>
      <c r="S710" s="340" t="s">
        <v>10</v>
      </c>
      <c r="T710" s="295" t="s">
        <v>449</v>
      </c>
      <c r="U710" s="332" t="s">
        <v>816</v>
      </c>
      <c r="V710" s="308" t="s">
        <v>7</v>
      </c>
      <c r="W710" s="314" t="s">
        <v>447</v>
      </c>
      <c r="X710" s="297" t="s">
        <v>521</v>
      </c>
      <c r="Y710" s="282" t="s">
        <v>1556</v>
      </c>
      <c r="Z710" s="282" t="s">
        <v>1592</v>
      </c>
      <c r="AA710" s="284"/>
      <c r="AB710" s="300" t="s">
        <v>225</v>
      </c>
      <c r="AC710" s="411" t="s">
        <v>2447</v>
      </c>
      <c r="AD710" s="302" t="s">
        <v>1042</v>
      </c>
      <c r="AE710" s="302"/>
      <c r="AF710" s="302"/>
      <c r="AG710" s="302"/>
      <c r="AH710" s="302" t="s">
        <v>2448</v>
      </c>
    </row>
    <row r="711" spans="1:34" s="1" customFormat="1">
      <c r="A711" s="347">
        <v>4241</v>
      </c>
      <c r="B711" s="348" t="str">
        <f t="shared" si="51"/>
        <v>1091</v>
      </c>
      <c r="C711" s="323" t="s">
        <v>2432</v>
      </c>
      <c r="D711" s="295" t="s">
        <v>1933</v>
      </c>
      <c r="E711" s="295" t="s">
        <v>1977</v>
      </c>
      <c r="F711" s="410" t="s">
        <v>2323</v>
      </c>
      <c r="G711" s="410" t="s">
        <v>2328</v>
      </c>
      <c r="H711" s="282" t="s">
        <v>637</v>
      </c>
      <c r="I711" s="314" t="s">
        <v>4</v>
      </c>
      <c r="J711" s="282" t="s">
        <v>1409</v>
      </c>
      <c r="K711" s="282" t="s">
        <v>451</v>
      </c>
      <c r="L711" s="297" t="s">
        <v>2317</v>
      </c>
      <c r="M711" s="282" t="s">
        <v>1403</v>
      </c>
      <c r="N711" s="282" t="s">
        <v>1215</v>
      </c>
      <c r="O711" s="296" t="s">
        <v>1803</v>
      </c>
      <c r="P711" s="64" t="str">
        <f ca="1">IF(AND(OR(INDIRECT("K" &amp; ROW())="NAV-Premium",INDIRECT("K" &amp; ROW())="DA-Premium"),INDIRECT("M" &amp; ROW())="PARTITION_SCHEMA128__NavPiviJpn", INDIRECT("O" &amp; ROW())="JPN_SDB"),'SDB vs GN'!$B$41, IF(INDIRECT("H" &amp; ROW())="Chenc",'SDB vs GN'!$B$40, VLOOKUP(INDIRECT("O" &amp; ROW()),'SDB vs GN'!$A$16:$B$38,2,FALSE)))</f>
        <v>GCN3_CN_LA_NA</v>
      </c>
      <c r="Q711" s="297" t="s">
        <v>1903</v>
      </c>
      <c r="R711" s="314" t="s">
        <v>1398</v>
      </c>
      <c r="S711" s="340" t="s">
        <v>10</v>
      </c>
      <c r="T711" s="295" t="s">
        <v>449</v>
      </c>
      <c r="U711" s="332" t="s">
        <v>816</v>
      </c>
      <c r="V711" s="308" t="s">
        <v>7</v>
      </c>
      <c r="W711" s="314" t="s">
        <v>447</v>
      </c>
      <c r="X711" s="297" t="s">
        <v>521</v>
      </c>
      <c r="Y711" s="282" t="s">
        <v>1556</v>
      </c>
      <c r="Z711" s="282" t="s">
        <v>1592</v>
      </c>
      <c r="AA711" s="284"/>
      <c r="AB711" s="300" t="s">
        <v>225</v>
      </c>
      <c r="AC711" s="411" t="s">
        <v>2449</v>
      </c>
      <c r="AD711" s="302" t="s">
        <v>1042</v>
      </c>
      <c r="AE711" s="302"/>
      <c r="AF711" s="302"/>
      <c r="AG711" s="302"/>
      <c r="AH711" s="302" t="s">
        <v>2450</v>
      </c>
    </row>
    <row r="712" spans="1:34" s="1" customFormat="1">
      <c r="A712" s="347">
        <v>4242</v>
      </c>
      <c r="B712" s="348" t="str">
        <f t="shared" si="51"/>
        <v>1092</v>
      </c>
      <c r="C712" s="323" t="s">
        <v>2334</v>
      </c>
      <c r="D712" s="295" t="s">
        <v>1934</v>
      </c>
      <c r="E712" s="295" t="s">
        <v>1977</v>
      </c>
      <c r="F712" s="393" t="s">
        <v>2324</v>
      </c>
      <c r="G712" s="393" t="s">
        <v>2326</v>
      </c>
      <c r="H712" s="282" t="s">
        <v>637</v>
      </c>
      <c r="I712" s="295" t="s">
        <v>815</v>
      </c>
      <c r="J712" s="282" t="s">
        <v>1409</v>
      </c>
      <c r="K712" s="282" t="s">
        <v>452</v>
      </c>
      <c r="L712" s="297" t="s">
        <v>2317</v>
      </c>
      <c r="M712" s="282" t="s">
        <v>1401</v>
      </c>
      <c r="N712" s="282" t="s">
        <v>1400</v>
      </c>
      <c r="O712" s="296" t="s">
        <v>1801</v>
      </c>
      <c r="P712" s="64" t="str">
        <f ca="1">IF(AND(OR(INDIRECT("K" &amp; ROW())="NAV-Premium",INDIRECT("K" &amp; ROW())="DA-Premium"),INDIRECT("M" &amp; ROW())="PARTITION_SCHEMA128__NavPiviJpn", INDIRECT("O" &amp; ROW())="JPN_SDB"),'SDB vs GN'!$B$41, IF(INDIRECT("H" &amp; ROW())="Chenc",'SDB vs GN'!$B$40, VLOOKUP(INDIRECT("O" &amp; ROW()),'SDB vs GN'!$A$16:$B$38,2,FALSE)))</f>
        <v>GCN1_JP_KR_LA_NA</v>
      </c>
      <c r="Q712" s="297" t="s">
        <v>1903</v>
      </c>
      <c r="R712" s="314" t="s">
        <v>1229</v>
      </c>
      <c r="S712" s="340" t="s">
        <v>10</v>
      </c>
      <c r="T712" s="295" t="s">
        <v>449</v>
      </c>
      <c r="U712" s="332" t="s">
        <v>816</v>
      </c>
      <c r="V712" s="342" t="s">
        <v>1989</v>
      </c>
      <c r="W712" s="314" t="s">
        <v>447</v>
      </c>
      <c r="X712" s="297" t="s">
        <v>521</v>
      </c>
      <c r="Y712" s="282" t="s">
        <v>1556</v>
      </c>
      <c r="Z712" s="282" t="s">
        <v>1593</v>
      </c>
      <c r="AA712" s="284"/>
      <c r="AB712" s="300" t="s">
        <v>225</v>
      </c>
      <c r="AC712" s="411" t="s">
        <v>2451</v>
      </c>
      <c r="AD712" s="302" t="s">
        <v>1042</v>
      </c>
      <c r="AE712" s="302"/>
      <c r="AF712" s="302"/>
      <c r="AG712" s="302"/>
      <c r="AH712" s="302" t="s">
        <v>2452</v>
      </c>
    </row>
    <row r="713" spans="1:34" s="1" customFormat="1">
      <c r="A713" s="347">
        <v>4243</v>
      </c>
      <c r="B713" s="348" t="str">
        <f t="shared" si="51"/>
        <v>1093</v>
      </c>
      <c r="C713" s="323" t="s">
        <v>2335</v>
      </c>
      <c r="D713" s="295" t="s">
        <v>1934</v>
      </c>
      <c r="E713" s="295" t="s">
        <v>1977</v>
      </c>
      <c r="F713" s="393" t="s">
        <v>2324</v>
      </c>
      <c r="G713" s="393" t="s">
        <v>2326</v>
      </c>
      <c r="H713" s="282" t="s">
        <v>637</v>
      </c>
      <c r="I713" s="295" t="s">
        <v>815</v>
      </c>
      <c r="J713" s="282" t="s">
        <v>1409</v>
      </c>
      <c r="K713" s="282" t="s">
        <v>452</v>
      </c>
      <c r="L713" s="297" t="s">
        <v>2317</v>
      </c>
      <c r="M713" s="282" t="s">
        <v>1401</v>
      </c>
      <c r="N713" s="282" t="s">
        <v>1400</v>
      </c>
      <c r="O713" s="304" t="s">
        <v>1802</v>
      </c>
      <c r="P713" s="64" t="str">
        <f ca="1">IF(AND(OR(INDIRECT("K" &amp; ROW())="NAV-Premium",INDIRECT("K" &amp; ROW())="DA-Premium"),INDIRECT("M" &amp; ROW())="PARTITION_SCHEMA128__NavPiviJpn", INDIRECT("O" &amp; ROW())="JPN_SDB"),'SDB vs GN'!$B$41, IF(INDIRECT("H" &amp; ROW())="Chenc",'SDB vs GN'!$B$40, VLOOKUP(INDIRECT("O" &amp; ROW()),'SDB vs GN'!$A$16:$B$38,2,FALSE)))</f>
        <v>GCN2_CN_EU_NA</v>
      </c>
      <c r="Q713" s="297" t="s">
        <v>1903</v>
      </c>
      <c r="R713" s="314" t="s">
        <v>1229</v>
      </c>
      <c r="S713" s="340" t="s">
        <v>10</v>
      </c>
      <c r="T713" s="295" t="s">
        <v>449</v>
      </c>
      <c r="U713" s="332" t="s">
        <v>816</v>
      </c>
      <c r="V713" s="342" t="s">
        <v>1988</v>
      </c>
      <c r="W713" s="314" t="s">
        <v>447</v>
      </c>
      <c r="X713" s="297" t="s">
        <v>521</v>
      </c>
      <c r="Y713" s="282" t="s">
        <v>1556</v>
      </c>
      <c r="Z713" s="282" t="s">
        <v>1593</v>
      </c>
      <c r="AA713" s="284"/>
      <c r="AB713" s="300" t="s">
        <v>225</v>
      </c>
      <c r="AC713" s="411" t="s">
        <v>2453</v>
      </c>
      <c r="AD713" s="302" t="s">
        <v>1042</v>
      </c>
      <c r="AE713" s="302"/>
      <c r="AF713" s="302"/>
      <c r="AG713" s="302"/>
      <c r="AH713" s="302" t="s">
        <v>2454</v>
      </c>
    </row>
    <row r="714" spans="1:34" s="1" customFormat="1">
      <c r="A714" s="347">
        <v>4244</v>
      </c>
      <c r="B714" s="348" t="str">
        <f t="shared" si="51"/>
        <v>1094</v>
      </c>
      <c r="C714" s="323" t="s">
        <v>2336</v>
      </c>
      <c r="D714" s="295" t="s">
        <v>1934</v>
      </c>
      <c r="E714" s="295" t="s">
        <v>1977</v>
      </c>
      <c r="F714" s="393" t="s">
        <v>2324</v>
      </c>
      <c r="G714" s="393" t="s">
        <v>2326</v>
      </c>
      <c r="H714" s="282" t="s">
        <v>637</v>
      </c>
      <c r="I714" s="295" t="s">
        <v>815</v>
      </c>
      <c r="J714" s="282" t="s">
        <v>1409</v>
      </c>
      <c r="K714" s="282" t="s">
        <v>452</v>
      </c>
      <c r="L714" s="297" t="s">
        <v>2317</v>
      </c>
      <c r="M714" s="282" t="s">
        <v>1401</v>
      </c>
      <c r="N714" s="282" t="s">
        <v>1400</v>
      </c>
      <c r="O714" s="296" t="s">
        <v>1804</v>
      </c>
      <c r="P714" s="64" t="str">
        <f ca="1">IF(AND(OR(INDIRECT("K" &amp; ROW())="NAV-Premium",INDIRECT("K" &amp; ROW())="DA-Premium"),INDIRECT("M" &amp; ROW())="PARTITION_SCHEMA128__NavPiviJpn", INDIRECT("O" &amp; ROW())="JPN_SDB"),'SDB vs GN'!$B$41, IF(INDIRECT("H" &amp; ROW())="Chenc",'SDB vs GN'!$B$40, VLOOKUP(INDIRECT("O" &amp; ROW()),'SDB vs GN'!$A$16:$B$38,2,FALSE)))</f>
        <v>GCN2_CN_EU_NA</v>
      </c>
      <c r="Q714" s="297" t="s">
        <v>1903</v>
      </c>
      <c r="R714" s="314" t="s">
        <v>1229</v>
      </c>
      <c r="S714" s="340" t="s">
        <v>10</v>
      </c>
      <c r="T714" s="295" t="s">
        <v>449</v>
      </c>
      <c r="U714" s="332" t="s">
        <v>816</v>
      </c>
      <c r="V714" s="342" t="s">
        <v>1244</v>
      </c>
      <c r="W714" s="314" t="s">
        <v>447</v>
      </c>
      <c r="X714" s="297" t="s">
        <v>521</v>
      </c>
      <c r="Y714" s="282" t="s">
        <v>1556</v>
      </c>
      <c r="Z714" s="282" t="s">
        <v>1593</v>
      </c>
      <c r="AA714" s="284"/>
      <c r="AB714" s="300" t="s">
        <v>225</v>
      </c>
      <c r="AC714" s="411" t="s">
        <v>2455</v>
      </c>
      <c r="AD714" s="302" t="s">
        <v>1042</v>
      </c>
      <c r="AE714" s="302"/>
      <c r="AF714" s="302"/>
      <c r="AG714" s="302"/>
      <c r="AH714" s="302" t="s">
        <v>2456</v>
      </c>
    </row>
    <row r="715" spans="1:34" s="1" customFormat="1">
      <c r="A715" s="347">
        <v>4245</v>
      </c>
      <c r="B715" s="348" t="str">
        <f t="shared" si="51"/>
        <v>1095</v>
      </c>
      <c r="C715" s="323" t="s">
        <v>2337</v>
      </c>
      <c r="D715" s="295" t="s">
        <v>1934</v>
      </c>
      <c r="E715" s="295" t="s">
        <v>1977</v>
      </c>
      <c r="F715" s="393" t="s">
        <v>2324</v>
      </c>
      <c r="G715" s="393" t="s">
        <v>2326</v>
      </c>
      <c r="H715" s="282" t="s">
        <v>637</v>
      </c>
      <c r="I715" s="295" t="s">
        <v>815</v>
      </c>
      <c r="J715" s="282" t="s">
        <v>1409</v>
      </c>
      <c r="K715" s="282" t="s">
        <v>452</v>
      </c>
      <c r="L715" s="297" t="s">
        <v>2317</v>
      </c>
      <c r="M715" s="282" t="s">
        <v>1401</v>
      </c>
      <c r="N715" s="282" t="s">
        <v>1400</v>
      </c>
      <c r="O715" s="296" t="s">
        <v>1804</v>
      </c>
      <c r="P715" s="64" t="str">
        <f ca="1">IF(AND(OR(INDIRECT("K" &amp; ROW())="NAV-Premium",INDIRECT("K" &amp; ROW())="DA-Premium"),INDIRECT("M" &amp; ROW())="PARTITION_SCHEMA128__NavPiviJpn", INDIRECT("O" &amp; ROW())="JPN_SDB"),'SDB vs GN'!$B$41, IF(INDIRECT("H" &amp; ROW())="Chenc",'SDB vs GN'!$B$40, VLOOKUP(INDIRECT("O" &amp; ROW()),'SDB vs GN'!$A$16:$B$38,2,FALSE)))</f>
        <v>GCN2_CN_EU_NA</v>
      </c>
      <c r="Q715" s="297" t="s">
        <v>1903</v>
      </c>
      <c r="R715" s="314" t="s">
        <v>1229</v>
      </c>
      <c r="S715" s="340" t="s">
        <v>10</v>
      </c>
      <c r="T715" s="295" t="s">
        <v>449</v>
      </c>
      <c r="U715" s="332" t="s">
        <v>816</v>
      </c>
      <c r="V715" s="342" t="s">
        <v>1368</v>
      </c>
      <c r="W715" s="314" t="s">
        <v>447</v>
      </c>
      <c r="X715" s="297" t="s">
        <v>521</v>
      </c>
      <c r="Y715" s="282" t="s">
        <v>1556</v>
      </c>
      <c r="Z715" s="282" t="s">
        <v>1593</v>
      </c>
      <c r="AA715" s="284"/>
      <c r="AB715" s="300" t="s">
        <v>225</v>
      </c>
      <c r="AC715" s="411" t="s">
        <v>2457</v>
      </c>
      <c r="AD715" s="302" t="s">
        <v>1042</v>
      </c>
      <c r="AE715" s="302"/>
      <c r="AF715" s="302"/>
      <c r="AG715" s="302"/>
      <c r="AH715" s="302" t="s">
        <v>2458</v>
      </c>
    </row>
    <row r="716" spans="1:34" s="1" customFormat="1">
      <c r="A716" s="347">
        <v>4246</v>
      </c>
      <c r="B716" s="348" t="str">
        <f t="shared" si="51"/>
        <v>1096</v>
      </c>
      <c r="C716" s="323" t="s">
        <v>2338</v>
      </c>
      <c r="D716" s="295" t="s">
        <v>1934</v>
      </c>
      <c r="E716" s="295" t="s">
        <v>1977</v>
      </c>
      <c r="F716" s="393" t="s">
        <v>2324</v>
      </c>
      <c r="G716" s="393" t="s">
        <v>2326</v>
      </c>
      <c r="H716" s="282" t="s">
        <v>637</v>
      </c>
      <c r="I716" s="295" t="s">
        <v>815</v>
      </c>
      <c r="J716" s="282" t="s">
        <v>1409</v>
      </c>
      <c r="K716" s="282" t="s">
        <v>452</v>
      </c>
      <c r="L716" s="297" t="s">
        <v>2317</v>
      </c>
      <c r="M716" s="282" t="s">
        <v>1401</v>
      </c>
      <c r="N716" s="282" t="s">
        <v>1400</v>
      </c>
      <c r="O716" s="296" t="s">
        <v>1804</v>
      </c>
      <c r="P716" s="64" t="str">
        <f ca="1">IF(AND(OR(INDIRECT("K" &amp; ROW())="NAV-Premium",INDIRECT("K" &amp; ROW())="DA-Premium"),INDIRECT("M" &amp; ROW())="PARTITION_SCHEMA128__NavPiviJpn", INDIRECT("O" &amp; ROW())="JPN_SDB"),'SDB vs GN'!$B$41, IF(INDIRECT("H" &amp; ROW())="Chenc",'SDB vs GN'!$B$40, VLOOKUP(INDIRECT("O" &amp; ROW()),'SDB vs GN'!$A$16:$B$38,2,FALSE)))</f>
        <v>GCN2_CN_EU_NA</v>
      </c>
      <c r="Q716" s="297" t="s">
        <v>1903</v>
      </c>
      <c r="R716" s="314" t="s">
        <v>1229</v>
      </c>
      <c r="S716" s="340" t="s">
        <v>10</v>
      </c>
      <c r="T716" s="295" t="s">
        <v>449</v>
      </c>
      <c r="U716" s="332" t="s">
        <v>816</v>
      </c>
      <c r="V716" s="342" t="s">
        <v>931</v>
      </c>
      <c r="W716" s="314" t="s">
        <v>447</v>
      </c>
      <c r="X716" s="297" t="s">
        <v>521</v>
      </c>
      <c r="Y716" s="282" t="s">
        <v>1556</v>
      </c>
      <c r="Z716" s="282" t="s">
        <v>1593</v>
      </c>
      <c r="AA716" s="284"/>
      <c r="AB716" s="300" t="s">
        <v>225</v>
      </c>
      <c r="AC716" s="411" t="s">
        <v>2459</v>
      </c>
      <c r="AD716" s="302" t="s">
        <v>1042</v>
      </c>
      <c r="AE716" s="302"/>
      <c r="AF716" s="302"/>
      <c r="AG716" s="302"/>
      <c r="AH716" s="302" t="s">
        <v>2460</v>
      </c>
    </row>
    <row r="717" spans="1:34" s="1" customFormat="1">
      <c r="A717" s="347">
        <v>4247</v>
      </c>
      <c r="B717" s="348" t="str">
        <f t="shared" si="51"/>
        <v>1097</v>
      </c>
      <c r="C717" s="323" t="s">
        <v>2339</v>
      </c>
      <c r="D717" s="295" t="s">
        <v>1934</v>
      </c>
      <c r="E717" s="295" t="s">
        <v>1977</v>
      </c>
      <c r="F717" s="393" t="s">
        <v>2324</v>
      </c>
      <c r="G717" s="393" t="s">
        <v>2326</v>
      </c>
      <c r="H717" s="282" t="s">
        <v>637</v>
      </c>
      <c r="I717" s="295" t="s">
        <v>815</v>
      </c>
      <c r="J717" s="282" t="s">
        <v>1409</v>
      </c>
      <c r="K717" s="282" t="s">
        <v>452</v>
      </c>
      <c r="L717" s="297" t="s">
        <v>2317</v>
      </c>
      <c r="M717" s="282" t="s">
        <v>1401</v>
      </c>
      <c r="N717" s="282" t="s">
        <v>1400</v>
      </c>
      <c r="O717" s="296" t="s">
        <v>1804</v>
      </c>
      <c r="P717" s="64" t="str">
        <f ca="1">IF(AND(OR(INDIRECT("K" &amp; ROW())="NAV-Premium",INDIRECT("K" &amp; ROW())="DA-Premium"),INDIRECT("M" &amp; ROW())="PARTITION_SCHEMA128__NavPiviJpn", INDIRECT("O" &amp; ROW())="JPN_SDB"),'SDB vs GN'!$B$41, IF(INDIRECT("H" &amp; ROW())="Chenc",'SDB vs GN'!$B$40, VLOOKUP(INDIRECT("O" &amp; ROW()),'SDB vs GN'!$A$16:$B$38,2,FALSE)))</f>
        <v>GCN2_CN_EU_NA</v>
      </c>
      <c r="Q717" s="297" t="s">
        <v>1903</v>
      </c>
      <c r="R717" s="314" t="s">
        <v>1229</v>
      </c>
      <c r="S717" s="340" t="s">
        <v>10</v>
      </c>
      <c r="T717" s="295" t="s">
        <v>449</v>
      </c>
      <c r="U717" s="332" t="s">
        <v>816</v>
      </c>
      <c r="V717" s="342" t="s">
        <v>994</v>
      </c>
      <c r="W717" s="314" t="s">
        <v>447</v>
      </c>
      <c r="X717" s="297" t="s">
        <v>521</v>
      </c>
      <c r="Y717" s="282" t="s">
        <v>1556</v>
      </c>
      <c r="Z717" s="282" t="s">
        <v>1593</v>
      </c>
      <c r="AA717" s="284"/>
      <c r="AB717" s="300" t="s">
        <v>225</v>
      </c>
      <c r="AC717" s="411" t="s">
        <v>2461</v>
      </c>
      <c r="AD717" s="302" t="s">
        <v>1042</v>
      </c>
      <c r="AE717" s="302"/>
      <c r="AF717" s="302"/>
      <c r="AG717" s="302"/>
      <c r="AH717" s="353" t="s">
        <v>2462</v>
      </c>
    </row>
    <row r="718" spans="1:34" s="1" customFormat="1">
      <c r="A718" s="347">
        <v>4248</v>
      </c>
      <c r="B718" s="348" t="str">
        <f t="shared" si="51"/>
        <v>1098</v>
      </c>
      <c r="C718" s="323" t="s">
        <v>2340</v>
      </c>
      <c r="D718" s="295" t="s">
        <v>1934</v>
      </c>
      <c r="E718" s="295" t="s">
        <v>1977</v>
      </c>
      <c r="F718" s="393" t="s">
        <v>2324</v>
      </c>
      <c r="G718" s="393" t="s">
        <v>2326</v>
      </c>
      <c r="H718" s="282" t="s">
        <v>637</v>
      </c>
      <c r="I718" s="295" t="s">
        <v>815</v>
      </c>
      <c r="J718" s="282" t="s">
        <v>1409</v>
      </c>
      <c r="K718" s="282" t="s">
        <v>452</v>
      </c>
      <c r="L718" s="297" t="s">
        <v>2317</v>
      </c>
      <c r="M718" s="282" t="s">
        <v>1401</v>
      </c>
      <c r="N718" s="282" t="s">
        <v>1400</v>
      </c>
      <c r="O718" s="296" t="s">
        <v>1806</v>
      </c>
      <c r="P718" s="64" t="str">
        <f ca="1">IF(AND(OR(INDIRECT("K" &amp; ROW())="NAV-Premium",INDIRECT("K" &amp; ROW())="DA-Premium"),INDIRECT("M" &amp; ROW())="PARTITION_SCHEMA128__NavPiviJpn", INDIRECT("O" &amp; ROW())="JPN_SDB"),'SDB vs GN'!$B$41, IF(INDIRECT("H" &amp; ROW())="Chenc",'SDB vs GN'!$B$40, VLOOKUP(INDIRECT("O" &amp; ROW()),'SDB vs GN'!$A$16:$B$38,2,FALSE)))</f>
        <v>GCN1_JP_KR_LA_NA</v>
      </c>
      <c r="Q718" s="297" t="s">
        <v>1903</v>
      </c>
      <c r="R718" s="314" t="s">
        <v>1229</v>
      </c>
      <c r="S718" s="340" t="s">
        <v>10</v>
      </c>
      <c r="T718" s="295" t="s">
        <v>449</v>
      </c>
      <c r="U718" s="332" t="s">
        <v>816</v>
      </c>
      <c r="V718" s="342" t="s">
        <v>1133</v>
      </c>
      <c r="W718" s="314" t="s">
        <v>447</v>
      </c>
      <c r="X718" s="297" t="s">
        <v>521</v>
      </c>
      <c r="Y718" s="282" t="s">
        <v>1556</v>
      </c>
      <c r="Z718" s="282" t="s">
        <v>1593</v>
      </c>
      <c r="AA718" s="284"/>
      <c r="AB718" s="300" t="s">
        <v>225</v>
      </c>
      <c r="AC718" s="411" t="s">
        <v>2463</v>
      </c>
      <c r="AD718" s="302" t="s">
        <v>1042</v>
      </c>
      <c r="AE718" s="302"/>
      <c r="AF718" s="302"/>
      <c r="AG718" s="302"/>
      <c r="AH718" s="353" t="s">
        <v>2464</v>
      </c>
    </row>
    <row r="719" spans="1:34" s="1" customFormat="1">
      <c r="A719" s="347">
        <v>4249</v>
      </c>
      <c r="B719" s="348" t="str">
        <f t="shared" si="51"/>
        <v>1099</v>
      </c>
      <c r="C719" s="323" t="s">
        <v>2341</v>
      </c>
      <c r="D719" s="295" t="s">
        <v>1934</v>
      </c>
      <c r="E719" s="295" t="s">
        <v>1977</v>
      </c>
      <c r="F719" s="393" t="s">
        <v>2324</v>
      </c>
      <c r="G719" s="393" t="s">
        <v>2326</v>
      </c>
      <c r="H719" s="282" t="s">
        <v>637</v>
      </c>
      <c r="I719" s="295" t="s">
        <v>815</v>
      </c>
      <c r="J719" s="282" t="s">
        <v>1409</v>
      </c>
      <c r="K719" s="282" t="s">
        <v>452</v>
      </c>
      <c r="L719" s="297" t="s">
        <v>2317</v>
      </c>
      <c r="M719" s="282" t="s">
        <v>1401</v>
      </c>
      <c r="N719" s="282" t="s">
        <v>1400</v>
      </c>
      <c r="O719" s="296" t="s">
        <v>1806</v>
      </c>
      <c r="P719" s="64" t="str">
        <f ca="1">IF(AND(OR(INDIRECT("K" &amp; ROW())="NAV-Premium",INDIRECT("K" &amp; ROW())="DA-Premium"),INDIRECT("M" &amp; ROW())="PARTITION_SCHEMA128__NavPiviJpn", INDIRECT("O" &amp; ROW())="JPN_SDB"),'SDB vs GN'!$B$41, IF(INDIRECT("H" &amp; ROW())="Chenc",'SDB vs GN'!$B$40, VLOOKUP(INDIRECT("O" &amp; ROW()),'SDB vs GN'!$A$16:$B$38,2,FALSE)))</f>
        <v>GCN1_JP_KR_LA_NA</v>
      </c>
      <c r="Q719" s="297" t="s">
        <v>1903</v>
      </c>
      <c r="R719" s="314" t="s">
        <v>1229</v>
      </c>
      <c r="S719" s="340" t="s">
        <v>10</v>
      </c>
      <c r="T719" s="295" t="s">
        <v>449</v>
      </c>
      <c r="U719" s="332" t="s">
        <v>816</v>
      </c>
      <c r="V719" s="342" t="s">
        <v>930</v>
      </c>
      <c r="W719" s="314" t="s">
        <v>447</v>
      </c>
      <c r="X719" s="297" t="s">
        <v>521</v>
      </c>
      <c r="Y719" s="282" t="s">
        <v>1556</v>
      </c>
      <c r="Z719" s="282" t="s">
        <v>1593</v>
      </c>
      <c r="AA719" s="284"/>
      <c r="AB719" s="300" t="s">
        <v>225</v>
      </c>
      <c r="AC719" s="411" t="s">
        <v>2465</v>
      </c>
      <c r="AD719" s="302" t="s">
        <v>1042</v>
      </c>
      <c r="AE719" s="302"/>
      <c r="AF719" s="302"/>
      <c r="AG719" s="302"/>
      <c r="AH719" s="302" t="s">
        <v>2466</v>
      </c>
    </row>
    <row r="720" spans="1:34" ht="356.4">
      <c r="A720" s="387">
        <v>4250</v>
      </c>
      <c r="B720" s="388" t="str">
        <f t="shared" si="51"/>
        <v>109A</v>
      </c>
      <c r="C720" s="329" t="s">
        <v>2329</v>
      </c>
      <c r="D720" s="295" t="s">
        <v>2181</v>
      </c>
      <c r="E720" s="295" t="s">
        <v>1977</v>
      </c>
      <c r="F720" s="393" t="s">
        <v>2324</v>
      </c>
      <c r="G720" s="394" t="s">
        <v>2326</v>
      </c>
      <c r="H720" s="282" t="s">
        <v>637</v>
      </c>
      <c r="I720" s="295" t="s">
        <v>815</v>
      </c>
      <c r="J720" s="282" t="s">
        <v>1409</v>
      </c>
      <c r="K720" s="282" t="s">
        <v>452</v>
      </c>
      <c r="L720" s="297" t="s">
        <v>2317</v>
      </c>
      <c r="M720" s="282" t="s">
        <v>1401</v>
      </c>
      <c r="N720" s="282" t="s">
        <v>1400</v>
      </c>
      <c r="O720" s="238" t="s">
        <v>1801</v>
      </c>
      <c r="P720" s="64" t="str">
        <f ca="1">IF(AND(OR(INDIRECT("K" &amp; ROW())="NAV-Premium",INDIRECT("K" &amp; ROW())="DA-Premium"),INDIRECT("M" &amp; ROW())="PARTITION_SCHEMA128__NavPiviJpn", INDIRECT("O" &amp; ROW())="JPN_SDB"),'SDB vs GN'!$B$41, IF(INDIRECT("H" &amp; ROW())="Chenc",'SDB vs GN'!$B$40, VLOOKUP(INDIRECT("O" &amp; ROW()),'SDB vs GN'!$A$16:$B$38,2,FALSE)))</f>
        <v>GCN1_JP_KR_LA_NA</v>
      </c>
      <c r="Q720" s="297" t="s">
        <v>1903</v>
      </c>
      <c r="R720" s="298" t="s">
        <v>1398</v>
      </c>
      <c r="S720" s="340" t="s">
        <v>10</v>
      </c>
      <c r="T720" s="367" t="s">
        <v>450</v>
      </c>
      <c r="U720" s="332" t="s">
        <v>816</v>
      </c>
      <c r="V720" s="342" t="s">
        <v>1989</v>
      </c>
      <c r="W720" s="298" t="s">
        <v>2182</v>
      </c>
      <c r="X720" s="64" t="s">
        <v>521</v>
      </c>
      <c r="Y720" s="282" t="s">
        <v>2178</v>
      </c>
      <c r="Z720" s="282" t="s">
        <v>1593</v>
      </c>
      <c r="AA720" s="299"/>
      <c r="AB720" s="300" t="s">
        <v>225</v>
      </c>
      <c r="AC720" s="390" t="s">
        <v>2866</v>
      </c>
      <c r="AD720" s="302" t="s">
        <v>1042</v>
      </c>
      <c r="AE720" s="302"/>
      <c r="AF720" s="302"/>
      <c r="AG720" s="302"/>
      <c r="AH720" s="302" t="s">
        <v>2890</v>
      </c>
    </row>
    <row r="721" spans="1:34">
      <c r="A721" s="387">
        <v>4251</v>
      </c>
      <c r="B721" s="388" t="str">
        <f t="shared" si="51"/>
        <v>109B</v>
      </c>
      <c r="C721" s="418" t="s">
        <v>2331</v>
      </c>
      <c r="D721" s="295" t="s">
        <v>2181</v>
      </c>
      <c r="E721" s="295" t="s">
        <v>1977</v>
      </c>
      <c r="F721" s="395" t="s">
        <v>2325</v>
      </c>
      <c r="G721" s="395" t="s">
        <v>2327</v>
      </c>
      <c r="H721" s="282" t="s">
        <v>637</v>
      </c>
      <c r="I721" s="295" t="s">
        <v>5</v>
      </c>
      <c r="J721" s="282" t="s">
        <v>1409</v>
      </c>
      <c r="K721" s="282" t="s">
        <v>452</v>
      </c>
      <c r="L721" s="297" t="s">
        <v>2317</v>
      </c>
      <c r="M721" s="282" t="s">
        <v>1496</v>
      </c>
      <c r="N721" s="282" t="s">
        <v>1215</v>
      </c>
      <c r="O721" s="238" t="s">
        <v>1801</v>
      </c>
      <c r="P721" s="64" t="str">
        <f ca="1">IF(AND(OR(INDIRECT("K" &amp; ROW())="NAV-Premium",INDIRECT("K" &amp; ROW())="DA-Premium"),INDIRECT("M" &amp; ROW())="PARTITION_SCHEMA128__NavPiviJpn", INDIRECT("O" &amp; ROW())="JPN_SDB"),'SDB vs GN'!$B$41, IF(INDIRECT("H" &amp; ROW())="Chenc",'SDB vs GN'!$B$40, VLOOKUP(INDIRECT("O" &amp; ROW()),'SDB vs GN'!$A$16:$B$38,2,FALSE)))</f>
        <v>GCN1_JP_KR_LA_NA</v>
      </c>
      <c r="Q721" s="297" t="s">
        <v>1903</v>
      </c>
      <c r="R721" s="298" t="s">
        <v>1354</v>
      </c>
      <c r="S721" s="340" t="s">
        <v>10</v>
      </c>
      <c r="T721" s="295" t="s">
        <v>449</v>
      </c>
      <c r="U721" s="332" t="s">
        <v>816</v>
      </c>
      <c r="V721" s="308" t="s">
        <v>615</v>
      </c>
      <c r="W721" s="298" t="s">
        <v>2182</v>
      </c>
      <c r="X721" s="297" t="s">
        <v>362</v>
      </c>
      <c r="Y721" s="282" t="s">
        <v>2178</v>
      </c>
      <c r="Z721" s="282" t="s">
        <v>1593</v>
      </c>
      <c r="AA721" s="299"/>
      <c r="AB721" s="300" t="s">
        <v>225</v>
      </c>
      <c r="AC721" s="401" t="s">
        <v>2377</v>
      </c>
      <c r="AD721" s="302" t="s">
        <v>1042</v>
      </c>
      <c r="AE721" s="302"/>
      <c r="AF721" s="302"/>
      <c r="AG721" s="302"/>
      <c r="AH721" s="404" t="s">
        <v>2378</v>
      </c>
    </row>
    <row r="722" spans="1:34" ht="158.4">
      <c r="A722" s="387">
        <v>4252</v>
      </c>
      <c r="B722" s="388" t="str">
        <f t="shared" si="51"/>
        <v>109C</v>
      </c>
      <c r="C722" s="329" t="s">
        <v>2891</v>
      </c>
      <c r="D722" s="295" t="s">
        <v>2181</v>
      </c>
      <c r="E722" s="295" t="s">
        <v>1977</v>
      </c>
      <c r="F722" s="393" t="s">
        <v>2324</v>
      </c>
      <c r="G722" s="394" t="s">
        <v>2326</v>
      </c>
      <c r="H722" s="282" t="s">
        <v>637</v>
      </c>
      <c r="I722" s="295" t="s">
        <v>815</v>
      </c>
      <c r="J722" s="282" t="s">
        <v>1409</v>
      </c>
      <c r="K722" s="282" t="s">
        <v>452</v>
      </c>
      <c r="L722" s="297" t="s">
        <v>2317</v>
      </c>
      <c r="M722" s="282" t="s">
        <v>1401</v>
      </c>
      <c r="N722" s="282" t="s">
        <v>1400</v>
      </c>
      <c r="O722" s="296" t="s">
        <v>1803</v>
      </c>
      <c r="P722" s="64" t="str">
        <f ca="1">IF(AND(OR(INDIRECT("K" &amp; ROW())="NAV-Premium",INDIRECT("K" &amp; ROW())="DA-Premium"),INDIRECT("M" &amp; ROW())="PARTITION_SCHEMA128__NavPiviJpn", INDIRECT("O" &amp; ROW())="JPN_SDB"),'SDB vs GN'!$B$41, IF(INDIRECT("H" &amp; ROW())="Chenc",'SDB vs GN'!$B$40, VLOOKUP(INDIRECT("O" &amp; ROW()),'SDB vs GN'!$A$16:$B$38,2,FALSE)))</f>
        <v>GCN3_CN_LA_NA</v>
      </c>
      <c r="Q722" s="297" t="s">
        <v>1903</v>
      </c>
      <c r="R722" s="298" t="s">
        <v>1229</v>
      </c>
      <c r="S722" s="340" t="s">
        <v>10</v>
      </c>
      <c r="T722" s="295" t="s">
        <v>449</v>
      </c>
      <c r="U722" s="332" t="s">
        <v>816</v>
      </c>
      <c r="V722" s="342" t="s">
        <v>728</v>
      </c>
      <c r="W722" s="298" t="s">
        <v>2182</v>
      </c>
      <c r="X722" s="64" t="s">
        <v>521</v>
      </c>
      <c r="Y722" s="282" t="s">
        <v>2178</v>
      </c>
      <c r="Z722" s="282" t="s">
        <v>1593</v>
      </c>
      <c r="AA722" s="299"/>
      <c r="AB722" s="300" t="s">
        <v>225</v>
      </c>
      <c r="AC722" s="390" t="s">
        <v>2872</v>
      </c>
      <c r="AD722" s="302" t="s">
        <v>1042</v>
      </c>
      <c r="AE722" s="302"/>
      <c r="AF722" s="302"/>
      <c r="AG722" s="302"/>
      <c r="AH722" s="302" t="s">
        <v>2879</v>
      </c>
    </row>
    <row r="723" spans="1:34" ht="79.2">
      <c r="A723" s="387">
        <v>4253</v>
      </c>
      <c r="B723" s="388" t="str">
        <f t="shared" si="51"/>
        <v>109D</v>
      </c>
      <c r="C723" s="329" t="s">
        <v>2892</v>
      </c>
      <c r="D723" s="295" t="s">
        <v>2181</v>
      </c>
      <c r="E723" s="295" t="s">
        <v>1977</v>
      </c>
      <c r="F723" s="393" t="s">
        <v>2324</v>
      </c>
      <c r="G723" s="394" t="s">
        <v>2326</v>
      </c>
      <c r="H723" s="282" t="s">
        <v>637</v>
      </c>
      <c r="I723" s="295" t="s">
        <v>815</v>
      </c>
      <c r="J723" s="282" t="s">
        <v>1409</v>
      </c>
      <c r="K723" s="282" t="s">
        <v>452</v>
      </c>
      <c r="L723" s="297" t="s">
        <v>2317</v>
      </c>
      <c r="M723" s="282" t="s">
        <v>1401</v>
      </c>
      <c r="N723" s="282" t="s">
        <v>1400</v>
      </c>
      <c r="O723" s="238" t="s">
        <v>1801</v>
      </c>
      <c r="P723" s="64" t="str">
        <f ca="1">IF(AND(OR(INDIRECT("K" &amp; ROW())="NAV-Premium",INDIRECT("K" &amp; ROW())="DA-Premium"),INDIRECT("M" &amp; ROW())="PARTITION_SCHEMA128__NavPiviJpn", INDIRECT("O" &amp; ROW())="JPN_SDB"),'SDB vs GN'!$B$41, IF(INDIRECT("H" &amp; ROW())="Chenc",'SDB vs GN'!$B$40, VLOOKUP(INDIRECT("O" &amp; ROW()),'SDB vs GN'!$A$16:$B$38,2,FALSE)))</f>
        <v>GCN1_JP_KR_LA_NA</v>
      </c>
      <c r="Q723" s="297" t="s">
        <v>1903</v>
      </c>
      <c r="R723" s="298" t="s">
        <v>1229</v>
      </c>
      <c r="S723" s="340" t="s">
        <v>10</v>
      </c>
      <c r="T723" s="295" t="s">
        <v>449</v>
      </c>
      <c r="U723" s="332" t="s">
        <v>816</v>
      </c>
      <c r="V723" s="342" t="s">
        <v>1989</v>
      </c>
      <c r="W723" s="298" t="s">
        <v>2182</v>
      </c>
      <c r="X723" s="64" t="s">
        <v>521</v>
      </c>
      <c r="Y723" s="282" t="s">
        <v>2178</v>
      </c>
      <c r="Z723" s="282" t="s">
        <v>1593</v>
      </c>
      <c r="AA723" s="299"/>
      <c r="AB723" s="300" t="s">
        <v>225</v>
      </c>
      <c r="AC723" s="390" t="s">
        <v>2875</v>
      </c>
      <c r="AD723" s="302" t="s">
        <v>1042</v>
      </c>
      <c r="AE723" s="302" t="s">
        <v>2537</v>
      </c>
      <c r="AF723" s="302"/>
      <c r="AG723" s="302"/>
      <c r="AH723" s="302" t="s">
        <v>2880</v>
      </c>
    </row>
    <row r="724" spans="1:34" ht="158.4">
      <c r="A724" s="387">
        <v>4254</v>
      </c>
      <c r="B724" s="388" t="str">
        <f t="shared" si="51"/>
        <v>109E</v>
      </c>
      <c r="C724" s="329" t="s">
        <v>2335</v>
      </c>
      <c r="D724" s="295" t="s">
        <v>2181</v>
      </c>
      <c r="E724" s="295" t="s">
        <v>1977</v>
      </c>
      <c r="F724" s="393" t="s">
        <v>2324</v>
      </c>
      <c r="G724" s="394" t="s">
        <v>2326</v>
      </c>
      <c r="H724" s="282" t="s">
        <v>637</v>
      </c>
      <c r="I724" s="295" t="s">
        <v>815</v>
      </c>
      <c r="J724" s="282" t="s">
        <v>1409</v>
      </c>
      <c r="K724" s="282" t="s">
        <v>452</v>
      </c>
      <c r="L724" s="297" t="s">
        <v>2317</v>
      </c>
      <c r="M724" s="282" t="s">
        <v>1401</v>
      </c>
      <c r="N724" s="282" t="s">
        <v>1400</v>
      </c>
      <c r="O724" s="304" t="s">
        <v>1802</v>
      </c>
      <c r="P724" s="64" t="str">
        <f ca="1">IF(AND(OR(INDIRECT("K" &amp; ROW())="NAV-Premium",INDIRECT("K" &amp; ROW())="DA-Premium"),INDIRECT("M" &amp; ROW())="PARTITION_SCHEMA128__NavPiviJpn", INDIRECT("O" &amp; ROW())="JPN_SDB"),'SDB vs GN'!$B$41, IF(INDIRECT("H" &amp; ROW())="Chenc",'SDB vs GN'!$B$40, VLOOKUP(INDIRECT("O" &amp; ROW()),'SDB vs GN'!$A$16:$B$38,2,FALSE)))</f>
        <v>GCN2_CN_EU_NA</v>
      </c>
      <c r="Q724" s="297" t="s">
        <v>1903</v>
      </c>
      <c r="R724" s="298" t="s">
        <v>1229</v>
      </c>
      <c r="S724" s="340" t="s">
        <v>10</v>
      </c>
      <c r="T724" s="295" t="s">
        <v>449</v>
      </c>
      <c r="U724" s="332" t="s">
        <v>816</v>
      </c>
      <c r="V724" s="342" t="s">
        <v>1988</v>
      </c>
      <c r="W724" s="298" t="s">
        <v>2182</v>
      </c>
      <c r="X724" s="64" t="s">
        <v>521</v>
      </c>
      <c r="Y724" s="282" t="s">
        <v>2178</v>
      </c>
      <c r="Z724" s="282" t="s">
        <v>1593</v>
      </c>
      <c r="AA724" s="299"/>
      <c r="AB724" s="300" t="s">
        <v>225</v>
      </c>
      <c r="AC724" s="390" t="s">
        <v>2865</v>
      </c>
      <c r="AD724" s="302" t="s">
        <v>1042</v>
      </c>
      <c r="AE724" s="302"/>
      <c r="AF724" s="302"/>
      <c r="AG724" s="302"/>
      <c r="AH724" s="302" t="s">
        <v>2881</v>
      </c>
    </row>
    <row r="725" spans="1:34" ht="66">
      <c r="A725" s="387">
        <v>4255</v>
      </c>
      <c r="B725" s="388" t="str">
        <f t="shared" si="51"/>
        <v>109F</v>
      </c>
      <c r="C725" s="329" t="s">
        <v>2893</v>
      </c>
      <c r="D725" s="295" t="s">
        <v>2181</v>
      </c>
      <c r="E725" s="295" t="s">
        <v>1977</v>
      </c>
      <c r="F725" s="393" t="s">
        <v>2324</v>
      </c>
      <c r="G725" s="394" t="s">
        <v>2326</v>
      </c>
      <c r="H725" s="282" t="s">
        <v>637</v>
      </c>
      <c r="I725" s="295" t="s">
        <v>815</v>
      </c>
      <c r="J725" s="282" t="s">
        <v>1409</v>
      </c>
      <c r="K725" s="282" t="s">
        <v>452</v>
      </c>
      <c r="L725" s="297" t="s">
        <v>2317</v>
      </c>
      <c r="M725" s="282" t="s">
        <v>1401</v>
      </c>
      <c r="N725" s="282" t="s">
        <v>1400</v>
      </c>
      <c r="O725" s="238" t="s">
        <v>1804</v>
      </c>
      <c r="P725" s="64" t="str">
        <f ca="1">IF(AND(OR(INDIRECT("K" &amp; ROW())="NAV-Premium",INDIRECT("K" &amp; ROW())="DA-Premium"),INDIRECT("M" &amp; ROW())="PARTITION_SCHEMA128__NavPiviJpn", INDIRECT("O" &amp; ROW())="JPN_SDB"),'SDB vs GN'!$B$41, IF(INDIRECT("H" &amp; ROW())="Chenc",'SDB vs GN'!$B$40, VLOOKUP(INDIRECT("O" &amp; ROW()),'SDB vs GN'!$A$16:$B$38,2,FALSE)))</f>
        <v>GCN2_CN_EU_NA</v>
      </c>
      <c r="Q725" s="297" t="s">
        <v>1903</v>
      </c>
      <c r="R725" s="298" t="s">
        <v>1229</v>
      </c>
      <c r="S725" s="340" t="s">
        <v>10</v>
      </c>
      <c r="T725" s="295" t="s">
        <v>449</v>
      </c>
      <c r="U725" s="332" t="s">
        <v>816</v>
      </c>
      <c r="V725" s="342" t="s">
        <v>1244</v>
      </c>
      <c r="W725" s="298" t="s">
        <v>2182</v>
      </c>
      <c r="X725" s="64" t="s">
        <v>521</v>
      </c>
      <c r="Y725" s="282" t="s">
        <v>2178</v>
      </c>
      <c r="Z725" s="282" t="s">
        <v>1593</v>
      </c>
      <c r="AA725" s="299"/>
      <c r="AB725" s="300" t="s">
        <v>225</v>
      </c>
      <c r="AC725" s="390" t="s">
        <v>2871</v>
      </c>
      <c r="AD725" s="302" t="s">
        <v>1042</v>
      </c>
      <c r="AE725" s="302" t="s">
        <v>2536</v>
      </c>
      <c r="AF725" s="302"/>
      <c r="AG725" s="302"/>
      <c r="AH725" s="302" t="s">
        <v>2882</v>
      </c>
    </row>
    <row r="726" spans="1:34" ht="66">
      <c r="A726" s="387">
        <v>4256</v>
      </c>
      <c r="B726" s="388" t="str">
        <f t="shared" si="51"/>
        <v>10A0</v>
      </c>
      <c r="C726" s="329" t="s">
        <v>2894</v>
      </c>
      <c r="D726" s="295" t="s">
        <v>2181</v>
      </c>
      <c r="E726" s="295" t="s">
        <v>1977</v>
      </c>
      <c r="F726" s="393" t="s">
        <v>2324</v>
      </c>
      <c r="G726" s="394" t="s">
        <v>2326</v>
      </c>
      <c r="H726" s="282" t="s">
        <v>637</v>
      </c>
      <c r="I726" s="295" t="s">
        <v>815</v>
      </c>
      <c r="J726" s="282" t="s">
        <v>1409</v>
      </c>
      <c r="K726" s="282" t="s">
        <v>452</v>
      </c>
      <c r="L726" s="297" t="s">
        <v>2317</v>
      </c>
      <c r="M726" s="282" t="s">
        <v>1401</v>
      </c>
      <c r="N726" s="282" t="s">
        <v>1400</v>
      </c>
      <c r="O726" s="238" t="s">
        <v>1804</v>
      </c>
      <c r="P726" s="64" t="str">
        <f ca="1">IF(AND(OR(INDIRECT("K" &amp; ROW())="NAV-Premium",INDIRECT("K" &amp; ROW())="DA-Premium"),INDIRECT("M" &amp; ROW())="PARTITION_SCHEMA128__NavPiviJpn", INDIRECT("O" &amp; ROW())="JPN_SDB"),'SDB vs GN'!$B$41, IF(INDIRECT("H" &amp; ROW())="Chenc",'SDB vs GN'!$B$40, VLOOKUP(INDIRECT("O" &amp; ROW()),'SDB vs GN'!$A$16:$B$38,2,FALSE)))</f>
        <v>GCN2_CN_EU_NA</v>
      </c>
      <c r="Q726" s="297" t="s">
        <v>1903</v>
      </c>
      <c r="R726" s="298" t="s">
        <v>1229</v>
      </c>
      <c r="S726" s="340" t="s">
        <v>10</v>
      </c>
      <c r="T726" s="295" t="s">
        <v>449</v>
      </c>
      <c r="U726" s="332" t="s">
        <v>816</v>
      </c>
      <c r="V726" s="342" t="s">
        <v>1368</v>
      </c>
      <c r="W726" s="298" t="s">
        <v>2182</v>
      </c>
      <c r="X726" s="64" t="s">
        <v>521</v>
      </c>
      <c r="Y726" s="282" t="s">
        <v>2178</v>
      </c>
      <c r="Z726" s="282" t="s">
        <v>1593</v>
      </c>
      <c r="AA726" s="299"/>
      <c r="AB726" s="300" t="s">
        <v>225</v>
      </c>
      <c r="AC726" s="390" t="s">
        <v>2874</v>
      </c>
      <c r="AD726" s="302" t="s">
        <v>1042</v>
      </c>
      <c r="AE726" s="302"/>
      <c r="AF726" s="302"/>
      <c r="AG726" s="302"/>
      <c r="AH726" s="302" t="s">
        <v>2873</v>
      </c>
    </row>
    <row r="727" spans="1:34" ht="66">
      <c r="A727" s="387">
        <v>4257</v>
      </c>
      <c r="B727" s="388" t="str">
        <f t="shared" si="51"/>
        <v>10A1</v>
      </c>
      <c r="C727" s="329" t="s">
        <v>2895</v>
      </c>
      <c r="D727" s="295" t="s">
        <v>2181</v>
      </c>
      <c r="E727" s="295" t="s">
        <v>1977</v>
      </c>
      <c r="F727" s="393" t="s">
        <v>2324</v>
      </c>
      <c r="G727" s="394" t="s">
        <v>2326</v>
      </c>
      <c r="H727" s="282" t="s">
        <v>637</v>
      </c>
      <c r="I727" s="295" t="s">
        <v>815</v>
      </c>
      <c r="J727" s="282" t="s">
        <v>1409</v>
      </c>
      <c r="K727" s="282" t="s">
        <v>452</v>
      </c>
      <c r="L727" s="297" t="s">
        <v>2317</v>
      </c>
      <c r="M727" s="282" t="s">
        <v>1401</v>
      </c>
      <c r="N727" s="282" t="s">
        <v>1400</v>
      </c>
      <c r="O727" s="238" t="s">
        <v>1804</v>
      </c>
      <c r="P727" s="64" t="str">
        <f ca="1">IF(AND(OR(INDIRECT("K" &amp; ROW())="NAV-Premium",INDIRECT("K" &amp; ROW())="DA-Premium"),INDIRECT("M" &amp; ROW())="PARTITION_SCHEMA128__NavPiviJpn", INDIRECT("O" &amp; ROW())="JPN_SDB"),'SDB vs GN'!$B$41, IF(INDIRECT("H" &amp; ROW())="Chenc",'SDB vs GN'!$B$40, VLOOKUP(INDIRECT("O" &amp; ROW()),'SDB vs GN'!$A$16:$B$38,2,FALSE)))</f>
        <v>GCN2_CN_EU_NA</v>
      </c>
      <c r="Q727" s="297" t="s">
        <v>1903</v>
      </c>
      <c r="R727" s="298" t="s">
        <v>1229</v>
      </c>
      <c r="S727" s="340" t="s">
        <v>10</v>
      </c>
      <c r="T727" s="295" t="s">
        <v>449</v>
      </c>
      <c r="U727" s="332" t="s">
        <v>816</v>
      </c>
      <c r="V727" s="342" t="s">
        <v>931</v>
      </c>
      <c r="W727" s="298" t="s">
        <v>2182</v>
      </c>
      <c r="X727" s="64" t="s">
        <v>521</v>
      </c>
      <c r="Y727" s="282" t="s">
        <v>2178</v>
      </c>
      <c r="Z727" s="282" t="s">
        <v>1593</v>
      </c>
      <c r="AA727" s="299"/>
      <c r="AB727" s="300" t="s">
        <v>225</v>
      </c>
      <c r="AC727" s="390" t="s">
        <v>2869</v>
      </c>
      <c r="AD727" s="302" t="s">
        <v>1042</v>
      </c>
      <c r="AE727" s="302" t="s">
        <v>2538</v>
      </c>
      <c r="AF727" s="302"/>
      <c r="AG727" s="302"/>
      <c r="AH727" s="302" t="s">
        <v>2883</v>
      </c>
    </row>
    <row r="728" spans="1:34" ht="79.2">
      <c r="A728" s="387">
        <v>4258</v>
      </c>
      <c r="B728" s="388" t="str">
        <f t="shared" si="51"/>
        <v>10A2</v>
      </c>
      <c r="C728" s="329" t="s">
        <v>2339</v>
      </c>
      <c r="D728" s="295" t="s">
        <v>2181</v>
      </c>
      <c r="E728" s="295" t="s">
        <v>1977</v>
      </c>
      <c r="F728" s="393" t="s">
        <v>2324</v>
      </c>
      <c r="G728" s="394" t="s">
        <v>2326</v>
      </c>
      <c r="H728" s="282" t="s">
        <v>637</v>
      </c>
      <c r="I728" s="295" t="s">
        <v>815</v>
      </c>
      <c r="J728" s="282" t="s">
        <v>1409</v>
      </c>
      <c r="K728" s="282" t="s">
        <v>452</v>
      </c>
      <c r="L728" s="297" t="s">
        <v>2317</v>
      </c>
      <c r="M728" s="282" t="s">
        <v>1401</v>
      </c>
      <c r="N728" s="282" t="s">
        <v>1400</v>
      </c>
      <c r="O728" s="238" t="s">
        <v>1804</v>
      </c>
      <c r="P728" s="64" t="str">
        <f ca="1">IF(AND(OR(INDIRECT("K" &amp; ROW())="NAV-Premium",INDIRECT("K" &amp; ROW())="DA-Premium"),INDIRECT("M" &amp; ROW())="PARTITION_SCHEMA128__NavPiviJpn", INDIRECT("O" &amp; ROW())="JPN_SDB"),'SDB vs GN'!$B$41, IF(INDIRECT("H" &amp; ROW())="Chenc",'SDB vs GN'!$B$40, VLOOKUP(INDIRECT("O" &amp; ROW()),'SDB vs GN'!$A$16:$B$38,2,FALSE)))</f>
        <v>GCN2_CN_EU_NA</v>
      </c>
      <c r="Q728" s="297" t="s">
        <v>1903</v>
      </c>
      <c r="R728" s="298" t="s">
        <v>1229</v>
      </c>
      <c r="S728" s="340" t="s">
        <v>10</v>
      </c>
      <c r="T728" s="295" t="s">
        <v>449</v>
      </c>
      <c r="U728" s="332" t="s">
        <v>816</v>
      </c>
      <c r="V728" s="342" t="s">
        <v>994</v>
      </c>
      <c r="W728" s="298" t="s">
        <v>2182</v>
      </c>
      <c r="X728" s="64" t="s">
        <v>521</v>
      </c>
      <c r="Y728" s="282" t="s">
        <v>2178</v>
      </c>
      <c r="Z728" s="282" t="s">
        <v>1593</v>
      </c>
      <c r="AA728" s="299"/>
      <c r="AB728" s="300" t="s">
        <v>225</v>
      </c>
      <c r="AC728" s="390" t="s">
        <v>2876</v>
      </c>
      <c r="AD728" s="302" t="s">
        <v>1042</v>
      </c>
      <c r="AE728" s="302" t="s">
        <v>2541</v>
      </c>
      <c r="AF728" s="302"/>
      <c r="AG728" s="302"/>
      <c r="AH728" s="301" t="s">
        <v>2884</v>
      </c>
    </row>
    <row r="729" spans="1:34" ht="66">
      <c r="A729" s="387">
        <v>4259</v>
      </c>
      <c r="B729" s="388" t="str">
        <f t="shared" si="51"/>
        <v>10A3</v>
      </c>
      <c r="C729" s="329" t="s">
        <v>2896</v>
      </c>
      <c r="D729" s="295" t="s">
        <v>2181</v>
      </c>
      <c r="E729" s="295" t="s">
        <v>1977</v>
      </c>
      <c r="F729" s="393" t="s">
        <v>2324</v>
      </c>
      <c r="G729" s="394" t="s">
        <v>2326</v>
      </c>
      <c r="H729" s="282" t="s">
        <v>637</v>
      </c>
      <c r="I729" s="295" t="s">
        <v>815</v>
      </c>
      <c r="J729" s="282" t="s">
        <v>1409</v>
      </c>
      <c r="K729" s="282" t="s">
        <v>452</v>
      </c>
      <c r="L729" s="297" t="s">
        <v>2317</v>
      </c>
      <c r="M729" s="282" t="s">
        <v>1401</v>
      </c>
      <c r="N729" s="282" t="s">
        <v>1400</v>
      </c>
      <c r="O729" s="296" t="s">
        <v>1806</v>
      </c>
      <c r="P729" s="64" t="str">
        <f ca="1">IF(AND(OR(INDIRECT("K" &amp; ROW())="NAV-Premium",INDIRECT("K" &amp; ROW())="DA-Premium"),INDIRECT("M" &amp; ROW())="PARTITION_SCHEMA128__NavPiviJpn", INDIRECT("O" &amp; ROW())="JPN_SDB"),'SDB vs GN'!$B$41, IF(INDIRECT("H" &amp; ROW())="Chenc",'SDB vs GN'!$B$40, VLOOKUP(INDIRECT("O" &amp; ROW()),'SDB vs GN'!$A$16:$B$38,2,FALSE)))</f>
        <v>GCN1_JP_KR_LA_NA</v>
      </c>
      <c r="Q729" s="297" t="s">
        <v>1903</v>
      </c>
      <c r="R729" s="298" t="s">
        <v>1229</v>
      </c>
      <c r="S729" s="340" t="s">
        <v>10</v>
      </c>
      <c r="T729" s="295" t="s">
        <v>449</v>
      </c>
      <c r="U729" s="332" t="s">
        <v>816</v>
      </c>
      <c r="V729" s="342" t="s">
        <v>1133</v>
      </c>
      <c r="W729" s="298" t="s">
        <v>2182</v>
      </c>
      <c r="X729" s="64" t="s">
        <v>521</v>
      </c>
      <c r="Y729" s="282" t="s">
        <v>2178</v>
      </c>
      <c r="Z729" s="282" t="s">
        <v>1593</v>
      </c>
      <c r="AA729" s="299"/>
      <c r="AB729" s="300" t="s">
        <v>225</v>
      </c>
      <c r="AC729" s="390" t="s">
        <v>2877</v>
      </c>
      <c r="AD729" s="302" t="s">
        <v>1042</v>
      </c>
      <c r="AE729" s="302" t="s">
        <v>2540</v>
      </c>
      <c r="AF729" s="302"/>
      <c r="AG729" s="302"/>
      <c r="AH729" s="301" t="s">
        <v>2885</v>
      </c>
    </row>
    <row r="730" spans="1:34" ht="66">
      <c r="A730" s="387">
        <v>4260</v>
      </c>
      <c r="B730" s="388" t="str">
        <f t="shared" si="51"/>
        <v>10A4</v>
      </c>
      <c r="C730" s="329" t="s">
        <v>2897</v>
      </c>
      <c r="D730" s="295" t="s">
        <v>2181</v>
      </c>
      <c r="E730" s="295" t="s">
        <v>1977</v>
      </c>
      <c r="F730" s="393" t="s">
        <v>2324</v>
      </c>
      <c r="G730" s="394" t="s">
        <v>2326</v>
      </c>
      <c r="H730" s="282" t="s">
        <v>637</v>
      </c>
      <c r="I730" s="295" t="s">
        <v>815</v>
      </c>
      <c r="J730" s="282" t="s">
        <v>1409</v>
      </c>
      <c r="K730" s="282" t="s">
        <v>452</v>
      </c>
      <c r="L730" s="297" t="s">
        <v>2317</v>
      </c>
      <c r="M730" s="282" t="s">
        <v>1401</v>
      </c>
      <c r="N730" s="282" t="s">
        <v>1400</v>
      </c>
      <c r="O730" s="296" t="s">
        <v>1806</v>
      </c>
      <c r="P730" s="64" t="str">
        <f ca="1">IF(AND(OR(INDIRECT("K" &amp; ROW())="NAV-Premium",INDIRECT("K" &amp; ROW())="DA-Premium"),INDIRECT("M" &amp; ROW())="PARTITION_SCHEMA128__NavPiviJpn", INDIRECT("O" &amp; ROW())="JPN_SDB"),'SDB vs GN'!$B$41, IF(INDIRECT("H" &amp; ROW())="Chenc",'SDB vs GN'!$B$40, VLOOKUP(INDIRECT("O" &amp; ROW()),'SDB vs GN'!$A$16:$B$38,2,FALSE)))</f>
        <v>GCN1_JP_KR_LA_NA</v>
      </c>
      <c r="Q730" s="297" t="s">
        <v>1903</v>
      </c>
      <c r="R730" s="298" t="s">
        <v>1229</v>
      </c>
      <c r="S730" s="340" t="s">
        <v>10</v>
      </c>
      <c r="T730" s="295" t="s">
        <v>449</v>
      </c>
      <c r="U730" s="332" t="s">
        <v>816</v>
      </c>
      <c r="V730" s="342" t="s">
        <v>930</v>
      </c>
      <c r="W730" s="298" t="s">
        <v>2182</v>
      </c>
      <c r="X730" s="64" t="s">
        <v>521</v>
      </c>
      <c r="Y730" s="282" t="s">
        <v>2178</v>
      </c>
      <c r="Z730" s="282" t="s">
        <v>1593</v>
      </c>
      <c r="AA730" s="299"/>
      <c r="AB730" s="300" t="s">
        <v>225</v>
      </c>
      <c r="AC730" s="390" t="s">
        <v>2878</v>
      </c>
      <c r="AD730" s="302" t="s">
        <v>1042</v>
      </c>
      <c r="AE730" s="302"/>
      <c r="AF730" s="302"/>
      <c r="AG730" s="302"/>
      <c r="AH730" s="301" t="s">
        <v>2886</v>
      </c>
    </row>
    <row r="731" spans="1:34" ht="290.39999999999998">
      <c r="A731" s="51">
        <v>4261</v>
      </c>
      <c r="B731" s="81" t="str">
        <f t="shared" ref="B731:B745" si="52">DEC2HEX(A731,4)</f>
        <v>10A5</v>
      </c>
      <c r="C731" s="329" t="s">
        <v>2383</v>
      </c>
      <c r="D731" s="295" t="s">
        <v>1933</v>
      </c>
      <c r="E731" s="295" t="s">
        <v>1977</v>
      </c>
      <c r="F731" s="177" t="s">
        <v>1359</v>
      </c>
      <c r="G731" s="177" t="s">
        <v>2109</v>
      </c>
      <c r="H731" s="282" t="s">
        <v>637</v>
      </c>
      <c r="I731" s="314" t="s">
        <v>4</v>
      </c>
      <c r="J731" s="282" t="s">
        <v>0</v>
      </c>
      <c r="K731" s="282" t="s">
        <v>451</v>
      </c>
      <c r="L731" s="297" t="s">
        <v>2318</v>
      </c>
      <c r="M731" s="282" t="s">
        <v>1403</v>
      </c>
      <c r="N731" s="282" t="s">
        <v>1215</v>
      </c>
      <c r="O731" s="296" t="s">
        <v>1803</v>
      </c>
      <c r="P731" s="64" t="str">
        <f ca="1">IF(AND(OR(INDIRECT("K" &amp; ROW())="NAV-Premium",INDIRECT("K" &amp; ROW())="DA-Premium"),INDIRECT("M" &amp; ROW())="PARTITION_SCHEMA128__NavPiviJpn", INDIRECT("O" &amp; ROW())="JPN_SDB"),'SDB vs GN'!$B$41, IF(INDIRECT("H" &amp; ROW())="Chenc",'SDB vs GN'!$B$40, VLOOKUP(INDIRECT("O" &amp; ROW()),'SDB vs GN'!$A$16:$B$38,2,FALSE)))</f>
        <v>GCN3_CN_LA_NA</v>
      </c>
      <c r="Q731" s="297" t="s">
        <v>1903</v>
      </c>
      <c r="R731" s="298" t="s">
        <v>1229</v>
      </c>
      <c r="S731" s="340" t="s">
        <v>10</v>
      </c>
      <c r="T731" s="295" t="s">
        <v>449</v>
      </c>
      <c r="U731" s="332" t="s">
        <v>816</v>
      </c>
      <c r="V731" s="308" t="s">
        <v>7</v>
      </c>
      <c r="W731" s="298" t="s">
        <v>447</v>
      </c>
      <c r="X731" s="64" t="s">
        <v>521</v>
      </c>
      <c r="Y731" s="282" t="s">
        <v>1556</v>
      </c>
      <c r="Z731" s="282" t="s">
        <v>1592</v>
      </c>
      <c r="AA731" s="299"/>
      <c r="AB731" s="300" t="s">
        <v>225</v>
      </c>
      <c r="AC731" s="307" t="s">
        <v>2804</v>
      </c>
      <c r="AD731" s="302" t="s">
        <v>1042</v>
      </c>
      <c r="AE731" s="302"/>
      <c r="AF731" s="302"/>
      <c r="AG731" s="302"/>
      <c r="AH731" s="302" t="s">
        <v>2803</v>
      </c>
    </row>
    <row r="732" spans="1:34" ht="264">
      <c r="A732" s="51">
        <v>4262</v>
      </c>
      <c r="B732" s="81" t="str">
        <f t="shared" si="52"/>
        <v>10A6</v>
      </c>
      <c r="C732" s="329" t="s">
        <v>2386</v>
      </c>
      <c r="D732" s="295" t="s">
        <v>1933</v>
      </c>
      <c r="E732" s="295" t="s">
        <v>1977</v>
      </c>
      <c r="F732" s="177" t="s">
        <v>1359</v>
      </c>
      <c r="G732" s="177" t="s">
        <v>2109</v>
      </c>
      <c r="H732" s="282" t="s">
        <v>637</v>
      </c>
      <c r="I732" s="314" t="s">
        <v>4</v>
      </c>
      <c r="J732" s="282" t="s">
        <v>0</v>
      </c>
      <c r="K732" s="282" t="s">
        <v>451</v>
      </c>
      <c r="L732" s="297" t="s">
        <v>2318</v>
      </c>
      <c r="M732" s="282" t="s">
        <v>1403</v>
      </c>
      <c r="N732" s="282" t="s">
        <v>1215</v>
      </c>
      <c r="O732" s="238" t="s">
        <v>1804</v>
      </c>
      <c r="P732" s="64" t="str">
        <f ca="1">IF(AND(OR(INDIRECT("K" &amp; ROW())="NAV-Premium",INDIRECT("K" &amp; ROW())="DA-Premium"),INDIRECT("M" &amp; ROW())="PARTITION_SCHEMA128__NavPiviJpn", INDIRECT("O" &amp; ROW())="JPN_SDB"),'SDB vs GN'!$B$41, IF(INDIRECT("H" &amp; ROW())="Chenc",'SDB vs GN'!$B$40, VLOOKUP(INDIRECT("O" &amp; ROW()),'SDB vs GN'!$A$16:$B$38,2,FALSE)))</f>
        <v>GCN2_CN_EU_NA</v>
      </c>
      <c r="Q732" s="297" t="s">
        <v>1903</v>
      </c>
      <c r="R732" s="298" t="s">
        <v>1398</v>
      </c>
      <c r="S732" s="340" t="s">
        <v>10</v>
      </c>
      <c r="T732" s="295" t="s">
        <v>449</v>
      </c>
      <c r="U732" s="332" t="s">
        <v>816</v>
      </c>
      <c r="V732" s="308" t="s">
        <v>7</v>
      </c>
      <c r="W732" s="298" t="s">
        <v>447</v>
      </c>
      <c r="X732" s="64" t="s">
        <v>521</v>
      </c>
      <c r="Y732" s="282" t="s">
        <v>1556</v>
      </c>
      <c r="Z732" s="282" t="s">
        <v>1592</v>
      </c>
      <c r="AA732" s="299"/>
      <c r="AB732" s="300" t="s">
        <v>225</v>
      </c>
      <c r="AC732" s="307" t="s">
        <v>2839</v>
      </c>
      <c r="AD732" s="302" t="s">
        <v>1042</v>
      </c>
      <c r="AE732" s="302"/>
      <c r="AF732" s="302"/>
      <c r="AG732" s="302"/>
      <c r="AH732" s="302" t="s">
        <v>2840</v>
      </c>
    </row>
    <row r="733" spans="1:34" ht="145.19999999999999">
      <c r="A733" s="51">
        <v>4263</v>
      </c>
      <c r="B733" s="81" t="str">
        <f t="shared" si="52"/>
        <v>10A7</v>
      </c>
      <c r="C733" s="329" t="s">
        <v>2384</v>
      </c>
      <c r="D733" s="295" t="s">
        <v>1933</v>
      </c>
      <c r="E733" s="295" t="s">
        <v>1977</v>
      </c>
      <c r="F733" s="177" t="s">
        <v>1359</v>
      </c>
      <c r="G733" s="177" t="s">
        <v>2109</v>
      </c>
      <c r="H733" s="282" t="s">
        <v>637</v>
      </c>
      <c r="I733" s="314" t="s">
        <v>4</v>
      </c>
      <c r="J733" s="282" t="s">
        <v>0</v>
      </c>
      <c r="K733" s="282" t="s">
        <v>451</v>
      </c>
      <c r="L733" s="297" t="s">
        <v>2318</v>
      </c>
      <c r="M733" s="282" t="s">
        <v>1403</v>
      </c>
      <c r="N733" s="282" t="s">
        <v>1215</v>
      </c>
      <c r="O733" s="238" t="s">
        <v>1801</v>
      </c>
      <c r="P733" s="64" t="str">
        <f ca="1">IF(AND(OR(INDIRECT("K" &amp; ROW())="NAV-Premium",INDIRECT("K" &amp; ROW())="DA-Premium"),INDIRECT("M" &amp; ROW())="PARTITION_SCHEMA128__NavPiviJpn", INDIRECT("O" &amp; ROW())="JPN_SDB"),'SDB vs GN'!$B$41, IF(INDIRECT("H" &amp; ROW())="Chenc",'SDB vs GN'!$B$40, VLOOKUP(INDIRECT("O" &amp; ROW()),'SDB vs GN'!$A$16:$B$38,2,FALSE)))</f>
        <v>GCN1_JP_KR_LA_NA</v>
      </c>
      <c r="Q733" s="297" t="s">
        <v>1903</v>
      </c>
      <c r="R733" s="298" t="s">
        <v>1398</v>
      </c>
      <c r="S733" s="340" t="s">
        <v>10</v>
      </c>
      <c r="T733" s="295" t="s">
        <v>449</v>
      </c>
      <c r="U733" s="332" t="s">
        <v>816</v>
      </c>
      <c r="V733" s="308" t="s">
        <v>7</v>
      </c>
      <c r="W733" s="298" t="s">
        <v>447</v>
      </c>
      <c r="X733" s="64" t="s">
        <v>521</v>
      </c>
      <c r="Y733" s="282" t="s">
        <v>1556</v>
      </c>
      <c r="Z733" s="282" t="s">
        <v>1592</v>
      </c>
      <c r="AA733" s="299"/>
      <c r="AB733" s="300" t="s">
        <v>225</v>
      </c>
      <c r="AC733" s="307" t="s">
        <v>2667</v>
      </c>
      <c r="AD733" s="302" t="s">
        <v>1042</v>
      </c>
      <c r="AE733" s="302"/>
      <c r="AF733" s="302"/>
      <c r="AG733" s="302"/>
      <c r="AH733" s="302" t="s">
        <v>2666</v>
      </c>
    </row>
    <row r="734" spans="1:34" s="1" customFormat="1">
      <c r="A734" s="347">
        <v>4264</v>
      </c>
      <c r="B734" s="348" t="str">
        <f t="shared" si="52"/>
        <v>10A8</v>
      </c>
      <c r="C734" s="405" t="s">
        <v>2427</v>
      </c>
      <c r="D734" s="295" t="s">
        <v>1933</v>
      </c>
      <c r="E734" s="295" t="s">
        <v>1977</v>
      </c>
      <c r="F734" s="410" t="s">
        <v>2323</v>
      </c>
      <c r="G734" s="410" t="s">
        <v>2328</v>
      </c>
      <c r="H734" s="282" t="s">
        <v>637</v>
      </c>
      <c r="I734" s="314" t="s">
        <v>4</v>
      </c>
      <c r="J734" s="282" t="s">
        <v>1409</v>
      </c>
      <c r="K734" s="282" t="s">
        <v>451</v>
      </c>
      <c r="L734" s="297" t="s">
        <v>2317</v>
      </c>
      <c r="M734" s="282" t="s">
        <v>1403</v>
      </c>
      <c r="N734" s="282" t="s">
        <v>1215</v>
      </c>
      <c r="O734" s="296" t="s">
        <v>1801</v>
      </c>
      <c r="P734" s="64" t="str">
        <f ca="1">IF(AND(OR(INDIRECT("K" &amp; ROW())="NAV-Premium",INDIRECT("K" &amp; ROW())="DA-Premium"),INDIRECT("M" &amp; ROW())="PARTITION_SCHEMA128__NavPiviJpn", INDIRECT("O" &amp; ROW())="JPN_SDB"),'SDB vs GN'!$B$41, IF(INDIRECT("H" &amp; ROW())="Chenc",'SDB vs GN'!$B$40, VLOOKUP(INDIRECT("O" &amp; ROW()),'SDB vs GN'!$A$16:$B$38,2,FALSE)))</f>
        <v>GCN1_JP_KR_LA_NA</v>
      </c>
      <c r="Q734" s="297" t="s">
        <v>1903</v>
      </c>
      <c r="R734" s="314" t="s">
        <v>1398</v>
      </c>
      <c r="S734" s="340" t="s">
        <v>10</v>
      </c>
      <c r="T734" s="295" t="s">
        <v>449</v>
      </c>
      <c r="U734" s="332" t="s">
        <v>816</v>
      </c>
      <c r="V734" s="308" t="s">
        <v>7</v>
      </c>
      <c r="W734" s="314" t="s">
        <v>447</v>
      </c>
      <c r="X734" s="297" t="s">
        <v>521</v>
      </c>
      <c r="Y734" s="282" t="s">
        <v>1556</v>
      </c>
      <c r="Z734" s="282" t="s">
        <v>1592</v>
      </c>
      <c r="AA734" s="284"/>
      <c r="AB734" s="300" t="s">
        <v>225</v>
      </c>
      <c r="AC734" s="407" t="s">
        <v>2428</v>
      </c>
      <c r="AD734" s="302" t="s">
        <v>1042</v>
      </c>
      <c r="AE734" s="302"/>
      <c r="AF734" s="302"/>
      <c r="AG734" s="302"/>
      <c r="AH734" s="404" t="s">
        <v>2429</v>
      </c>
    </row>
    <row r="735" spans="1:34" s="1" customFormat="1" ht="343.2">
      <c r="A735" s="408">
        <v>4265</v>
      </c>
      <c r="B735" s="409" t="str">
        <f t="shared" si="52"/>
        <v>10A9</v>
      </c>
      <c r="C735" s="323" t="s">
        <v>2332</v>
      </c>
      <c r="D735" s="295" t="s">
        <v>2430</v>
      </c>
      <c r="E735" s="295" t="s">
        <v>1977</v>
      </c>
      <c r="F735" s="410" t="s">
        <v>2323</v>
      </c>
      <c r="G735" s="410" t="s">
        <v>2328</v>
      </c>
      <c r="H735" s="282" t="s">
        <v>637</v>
      </c>
      <c r="I735" s="314" t="s">
        <v>4</v>
      </c>
      <c r="J735" s="282" t="s">
        <v>1409</v>
      </c>
      <c r="K735" s="282" t="s">
        <v>451</v>
      </c>
      <c r="L735" s="297" t="s">
        <v>2317</v>
      </c>
      <c r="M735" s="282" t="s">
        <v>1403</v>
      </c>
      <c r="N735" s="282" t="s">
        <v>1215</v>
      </c>
      <c r="O735" s="296" t="s">
        <v>1801</v>
      </c>
      <c r="P735" s="64" t="str">
        <f ca="1">IF(AND(OR(INDIRECT("K" &amp; ROW())="NAV-Premium",INDIRECT("K" &amp; ROW())="DA-Premium"),INDIRECT("M" &amp; ROW())="PARTITION_SCHEMA128__NavPiviJpn", INDIRECT("O" &amp; ROW())="JPN_SDB"),'SDB vs GN'!$B$41, IF(INDIRECT("H" &amp; ROW())="Chenc",'SDB vs GN'!$B$40, VLOOKUP(INDIRECT("O" &amp; ROW()),'SDB vs GN'!$A$16:$B$38,2,FALSE)))</f>
        <v>GCN1_JP_KR_LA_NA</v>
      </c>
      <c r="Q735" s="297" t="s">
        <v>1903</v>
      </c>
      <c r="R735" s="314" t="s">
        <v>1398</v>
      </c>
      <c r="S735" s="340" t="s">
        <v>10</v>
      </c>
      <c r="T735" s="367" t="s">
        <v>450</v>
      </c>
      <c r="U735" s="332" t="s">
        <v>816</v>
      </c>
      <c r="V735" s="308" t="s">
        <v>7</v>
      </c>
      <c r="W735" s="314" t="s">
        <v>2182</v>
      </c>
      <c r="X735" s="297" t="s">
        <v>521</v>
      </c>
      <c r="Y735" s="282" t="s">
        <v>2178</v>
      </c>
      <c r="Z735" s="282" t="s">
        <v>1592</v>
      </c>
      <c r="AA735" s="284"/>
      <c r="AB735" s="300" t="s">
        <v>225</v>
      </c>
      <c r="AC735" s="411" t="s">
        <v>2867</v>
      </c>
      <c r="AD735" s="302" t="s">
        <v>1042</v>
      </c>
      <c r="AE735" s="302"/>
      <c r="AF735" s="302"/>
      <c r="AG735" s="302"/>
      <c r="AH735" s="302" t="s">
        <v>2887</v>
      </c>
    </row>
    <row r="736" spans="1:34" s="1" customFormat="1" ht="79.2">
      <c r="A736" s="408">
        <v>4266</v>
      </c>
      <c r="B736" s="409" t="str">
        <f t="shared" si="52"/>
        <v>10AA</v>
      </c>
      <c r="C736" s="323" t="s">
        <v>2898</v>
      </c>
      <c r="D736" s="295" t="s">
        <v>2430</v>
      </c>
      <c r="E736" s="295" t="s">
        <v>1977</v>
      </c>
      <c r="F736" s="410" t="s">
        <v>2323</v>
      </c>
      <c r="G736" s="410" t="s">
        <v>2328</v>
      </c>
      <c r="H736" s="282" t="s">
        <v>637</v>
      </c>
      <c r="I736" s="314" t="s">
        <v>4</v>
      </c>
      <c r="J736" s="282" t="s">
        <v>1409</v>
      </c>
      <c r="K736" s="282" t="s">
        <v>451</v>
      </c>
      <c r="L736" s="297" t="s">
        <v>2317</v>
      </c>
      <c r="M736" s="282" t="s">
        <v>1403</v>
      </c>
      <c r="N736" s="282" t="s">
        <v>1215</v>
      </c>
      <c r="O736" s="296" t="s">
        <v>1805</v>
      </c>
      <c r="P736" s="64" t="str">
        <f ca="1">IF(AND(OR(INDIRECT("K" &amp; ROW())="NAV-Premium",INDIRECT("K" &amp; ROW())="DA-Premium"),INDIRECT("M" &amp; ROW())="PARTITION_SCHEMA128__NavPiviJpn", INDIRECT("O" &amp; ROW())="JPN_SDB"),'SDB vs GN'!$B$41, IF(INDIRECT("H" &amp; ROW())="Chenc",'SDB vs GN'!$B$40, VLOOKUP(INDIRECT("O" &amp; ROW()),'SDB vs GN'!$A$16:$B$38,2,FALSE)))</f>
        <v>GCN2_CN_EU_NA</v>
      </c>
      <c r="Q736" s="297" t="s">
        <v>1903</v>
      </c>
      <c r="R736" s="314" t="s">
        <v>1229</v>
      </c>
      <c r="S736" s="340" t="s">
        <v>10</v>
      </c>
      <c r="T736" s="295" t="s">
        <v>449</v>
      </c>
      <c r="U736" s="332" t="s">
        <v>816</v>
      </c>
      <c r="V736" s="308" t="s">
        <v>7</v>
      </c>
      <c r="W736" s="314" t="s">
        <v>2182</v>
      </c>
      <c r="X736" s="297" t="s">
        <v>521</v>
      </c>
      <c r="Y736" s="282" t="s">
        <v>2178</v>
      </c>
      <c r="Z736" s="282" t="s">
        <v>1592</v>
      </c>
      <c r="AA736" s="284"/>
      <c r="AB736" s="300" t="s">
        <v>225</v>
      </c>
      <c r="AC736" s="411" t="s">
        <v>2870</v>
      </c>
      <c r="AD736" s="302" t="s">
        <v>1042</v>
      </c>
      <c r="AE736" s="302" t="s">
        <v>2535</v>
      </c>
      <c r="AF736" s="302"/>
      <c r="AG736" s="302"/>
      <c r="AH736" s="302" t="s">
        <v>2888</v>
      </c>
    </row>
    <row r="737" spans="1:34" s="1" customFormat="1" ht="79.2">
      <c r="A737" s="408">
        <v>4267</v>
      </c>
      <c r="B737" s="409" t="str">
        <f t="shared" si="52"/>
        <v>10AB</v>
      </c>
      <c r="C737" s="323" t="s">
        <v>2333</v>
      </c>
      <c r="D737" s="295" t="s">
        <v>2430</v>
      </c>
      <c r="E737" s="295" t="s">
        <v>1977</v>
      </c>
      <c r="F737" s="410" t="s">
        <v>2323</v>
      </c>
      <c r="G737" s="410" t="s">
        <v>2328</v>
      </c>
      <c r="H737" s="282" t="s">
        <v>637</v>
      </c>
      <c r="I737" s="314" t="s">
        <v>4</v>
      </c>
      <c r="J737" s="282" t="s">
        <v>1409</v>
      </c>
      <c r="K737" s="282" t="s">
        <v>451</v>
      </c>
      <c r="L737" s="297" t="s">
        <v>2317</v>
      </c>
      <c r="M737" s="282" t="s">
        <v>1403</v>
      </c>
      <c r="N737" s="282" t="s">
        <v>1215</v>
      </c>
      <c r="O737" s="296" t="s">
        <v>1804</v>
      </c>
      <c r="P737" s="64" t="str">
        <f ca="1">IF(AND(OR(INDIRECT("K" &amp; ROW())="NAV-Premium",INDIRECT("K" &amp; ROW())="DA-Premium"),INDIRECT("M" &amp; ROW())="PARTITION_SCHEMA128__NavPiviJpn", INDIRECT("O" &amp; ROW())="JPN_SDB"),'SDB vs GN'!$B$41, IF(INDIRECT("H" &amp; ROW())="Chenc",'SDB vs GN'!$B$40, VLOOKUP(INDIRECT("O" &amp; ROW()),'SDB vs GN'!$A$16:$B$38,2,FALSE)))</f>
        <v>GCN2_CN_EU_NA</v>
      </c>
      <c r="Q737" s="297" t="s">
        <v>1903</v>
      </c>
      <c r="R737" s="314" t="s">
        <v>1229</v>
      </c>
      <c r="S737" s="340" t="s">
        <v>10</v>
      </c>
      <c r="T737" s="295" t="s">
        <v>449</v>
      </c>
      <c r="U737" s="332" t="s">
        <v>816</v>
      </c>
      <c r="V737" s="308" t="s">
        <v>7</v>
      </c>
      <c r="W737" s="314" t="s">
        <v>2182</v>
      </c>
      <c r="X737" s="297" t="s">
        <v>521</v>
      </c>
      <c r="Y737" s="282" t="s">
        <v>2178</v>
      </c>
      <c r="Z737" s="282" t="s">
        <v>1592</v>
      </c>
      <c r="AA737" s="284"/>
      <c r="AB737" s="300" t="s">
        <v>225</v>
      </c>
      <c r="AC737" s="411" t="s">
        <v>2868</v>
      </c>
      <c r="AD737" s="302" t="s">
        <v>1042</v>
      </c>
      <c r="AE737" s="302" t="s">
        <v>2539</v>
      </c>
      <c r="AF737" s="302"/>
      <c r="AG737" s="302"/>
      <c r="AH737" s="302" t="s">
        <v>2889</v>
      </c>
    </row>
    <row r="738" spans="1:34" s="1" customFormat="1" ht="105.6">
      <c r="A738" s="408">
        <v>4268</v>
      </c>
      <c r="B738" s="409" t="str">
        <f t="shared" si="52"/>
        <v>10AC</v>
      </c>
      <c r="C738" s="323" t="s">
        <v>2432</v>
      </c>
      <c r="D738" s="295" t="s">
        <v>2430</v>
      </c>
      <c r="E738" s="295" t="s">
        <v>1977</v>
      </c>
      <c r="F738" s="410" t="s">
        <v>2323</v>
      </c>
      <c r="G738" s="410" t="s">
        <v>2328</v>
      </c>
      <c r="H738" s="282" t="s">
        <v>637</v>
      </c>
      <c r="I738" s="314" t="s">
        <v>4</v>
      </c>
      <c r="J738" s="282" t="s">
        <v>1409</v>
      </c>
      <c r="K738" s="282" t="s">
        <v>451</v>
      </c>
      <c r="L738" s="297" t="s">
        <v>2317</v>
      </c>
      <c r="M738" s="282" t="s">
        <v>1403</v>
      </c>
      <c r="N738" s="282" t="s">
        <v>1215</v>
      </c>
      <c r="O738" s="296" t="s">
        <v>1803</v>
      </c>
      <c r="P738" s="64" t="str">
        <f ca="1">IF(AND(OR(INDIRECT("K" &amp; ROW())="NAV-Premium",INDIRECT("K" &amp; ROW())="DA-Premium"),INDIRECT("M" &amp; ROW())="PARTITION_SCHEMA128__NavPiviJpn", INDIRECT("O" &amp; ROW())="JPN_SDB"),'SDB vs GN'!$B$41, IF(INDIRECT("H" &amp; ROW())="Chenc",'SDB vs GN'!$B$40, VLOOKUP(INDIRECT("O" &amp; ROW()),'SDB vs GN'!$A$16:$B$38,2,FALSE)))</f>
        <v>GCN3_CN_LA_NA</v>
      </c>
      <c r="Q738" s="297" t="s">
        <v>1903</v>
      </c>
      <c r="R738" s="314" t="s">
        <v>1398</v>
      </c>
      <c r="S738" s="340" t="s">
        <v>10</v>
      </c>
      <c r="T738" s="295" t="s">
        <v>449</v>
      </c>
      <c r="U738" s="332" t="s">
        <v>816</v>
      </c>
      <c r="V738" s="308" t="s">
        <v>7</v>
      </c>
      <c r="W738" s="314" t="s">
        <v>2182</v>
      </c>
      <c r="X738" s="297" t="s">
        <v>521</v>
      </c>
      <c r="Y738" s="282" t="s">
        <v>2178</v>
      </c>
      <c r="Z738" s="282" t="s">
        <v>1592</v>
      </c>
      <c r="AA738" s="284"/>
      <c r="AB738" s="300" t="s">
        <v>225</v>
      </c>
      <c r="AC738" s="411" t="s">
        <v>2901</v>
      </c>
      <c r="AD738" s="302" t="s">
        <v>1042</v>
      </c>
      <c r="AE738" s="302"/>
      <c r="AF738" s="302"/>
      <c r="AG738" s="302"/>
      <c r="AH738" s="302" t="s">
        <v>2902</v>
      </c>
    </row>
    <row r="739" spans="1:34" s="1" customFormat="1">
      <c r="A739" s="408">
        <v>4269</v>
      </c>
      <c r="B739" s="409" t="str">
        <f t="shared" si="52"/>
        <v>10AD</v>
      </c>
      <c r="C739" s="405" t="s">
        <v>2427</v>
      </c>
      <c r="D739" s="295" t="s">
        <v>2430</v>
      </c>
      <c r="E739" s="295" t="s">
        <v>1977</v>
      </c>
      <c r="F739" s="410" t="s">
        <v>2323</v>
      </c>
      <c r="G739" s="410" t="s">
        <v>2328</v>
      </c>
      <c r="H739" s="282" t="s">
        <v>637</v>
      </c>
      <c r="I739" s="314" t="s">
        <v>4</v>
      </c>
      <c r="J739" s="282" t="s">
        <v>1409</v>
      </c>
      <c r="K739" s="282" t="s">
        <v>451</v>
      </c>
      <c r="L739" s="297" t="s">
        <v>2317</v>
      </c>
      <c r="M739" s="282" t="s">
        <v>1403</v>
      </c>
      <c r="N739" s="282" t="s">
        <v>1215</v>
      </c>
      <c r="O739" s="296" t="s">
        <v>1801</v>
      </c>
      <c r="P739" s="64" t="str">
        <f ca="1">IF(AND(OR(INDIRECT("K" &amp; ROW())="NAV-Premium",INDIRECT("K" &amp; ROW())="DA-Premium"),INDIRECT("M" &amp; ROW())="PARTITION_SCHEMA128__NavPiviJpn", INDIRECT("O" &amp; ROW())="JPN_SDB"),'SDB vs GN'!$B$41, IF(INDIRECT("H" &amp; ROW())="Chenc",'SDB vs GN'!$B$40, VLOOKUP(INDIRECT("O" &amp; ROW()),'SDB vs GN'!$A$16:$B$38,2,FALSE)))</f>
        <v>GCN1_JP_KR_LA_NA</v>
      </c>
      <c r="Q739" s="297" t="s">
        <v>1903</v>
      </c>
      <c r="R739" s="314" t="s">
        <v>1398</v>
      </c>
      <c r="S739" s="340" t="s">
        <v>10</v>
      </c>
      <c r="T739" s="295" t="s">
        <v>449</v>
      </c>
      <c r="U739" s="332" t="s">
        <v>816</v>
      </c>
      <c r="V739" s="308" t="s">
        <v>7</v>
      </c>
      <c r="W739" s="314" t="s">
        <v>2182</v>
      </c>
      <c r="X739" s="297" t="s">
        <v>521</v>
      </c>
      <c r="Y739" s="282" t="s">
        <v>2178</v>
      </c>
      <c r="Z739" s="282" t="s">
        <v>1592</v>
      </c>
      <c r="AA739" s="284"/>
      <c r="AB739" s="300" t="s">
        <v>225</v>
      </c>
      <c r="AC739" s="407" t="s">
        <v>2433</v>
      </c>
      <c r="AD739" s="302" t="s">
        <v>1042</v>
      </c>
      <c r="AE739" s="302"/>
      <c r="AF739" s="302"/>
      <c r="AG739" s="302"/>
      <c r="AH739" s="404" t="s">
        <v>2434</v>
      </c>
    </row>
    <row r="740" spans="1:34" s="1" customFormat="1">
      <c r="A740" s="408">
        <v>4270</v>
      </c>
      <c r="B740" s="409" t="str">
        <f t="shared" si="52"/>
        <v>10AE</v>
      </c>
      <c r="C740" s="405" t="s">
        <v>2096</v>
      </c>
      <c r="D740" s="295" t="s">
        <v>2430</v>
      </c>
      <c r="E740" s="295" t="s">
        <v>1977</v>
      </c>
      <c r="F740" s="406" t="s">
        <v>1359</v>
      </c>
      <c r="G740" s="406" t="s">
        <v>2109</v>
      </c>
      <c r="H740" s="282" t="s">
        <v>637</v>
      </c>
      <c r="I740" s="314" t="s">
        <v>4</v>
      </c>
      <c r="J740" s="282" t="s">
        <v>0</v>
      </c>
      <c r="K740" s="282" t="s">
        <v>451</v>
      </c>
      <c r="L740" s="297" t="s">
        <v>2318</v>
      </c>
      <c r="M740" s="282" t="s">
        <v>1403</v>
      </c>
      <c r="N740" s="282" t="s">
        <v>1215</v>
      </c>
      <c r="O740" s="296" t="s">
        <v>1801</v>
      </c>
      <c r="P740" s="64" t="str">
        <f ca="1">IF(AND(OR(INDIRECT("K" &amp; ROW())="NAV-Premium",INDIRECT("K" &amp; ROW())="DA-Premium"),INDIRECT("M" &amp; ROW())="PARTITION_SCHEMA128__NavPiviJpn", INDIRECT("O" &amp; ROW())="JPN_SDB"),'SDB vs GN'!$B$41, IF(INDIRECT("H" &amp; ROW())="Chenc",'SDB vs GN'!$B$40, VLOOKUP(INDIRECT("O" &amp; ROW()),'SDB vs GN'!$A$16:$B$38,2,FALSE)))</f>
        <v>GCN1_JP_KR_LA_NA</v>
      </c>
      <c r="Q740" s="297" t="s">
        <v>1903</v>
      </c>
      <c r="R740" s="314" t="s">
        <v>1398</v>
      </c>
      <c r="S740" s="340" t="s">
        <v>10</v>
      </c>
      <c r="T740" s="367" t="s">
        <v>450</v>
      </c>
      <c r="U740" s="332" t="s">
        <v>816</v>
      </c>
      <c r="V740" s="308" t="s">
        <v>7</v>
      </c>
      <c r="W740" s="314" t="s">
        <v>2182</v>
      </c>
      <c r="X740" s="297" t="s">
        <v>521</v>
      </c>
      <c r="Y740" s="282" t="s">
        <v>2178</v>
      </c>
      <c r="Z740" s="282" t="s">
        <v>1592</v>
      </c>
      <c r="AA740" s="284"/>
      <c r="AB740" s="300" t="s">
        <v>225</v>
      </c>
      <c r="AC740" s="407" t="s">
        <v>2562</v>
      </c>
      <c r="AD740" s="302" t="s">
        <v>1042</v>
      </c>
      <c r="AE740" s="353"/>
      <c r="AF740" s="302"/>
      <c r="AG740" s="302"/>
      <c r="AH740" s="404" t="s">
        <v>2561</v>
      </c>
    </row>
    <row r="741" spans="1:34" s="1" customFormat="1">
      <c r="A741" s="408">
        <v>4271</v>
      </c>
      <c r="B741" s="409" t="str">
        <f t="shared" si="52"/>
        <v>10AF</v>
      </c>
      <c r="C741" s="405" t="s">
        <v>2135</v>
      </c>
      <c r="D741" s="295" t="s">
        <v>2430</v>
      </c>
      <c r="E741" s="295" t="s">
        <v>1977</v>
      </c>
      <c r="F741" s="406" t="s">
        <v>1359</v>
      </c>
      <c r="G741" s="406" t="s">
        <v>2109</v>
      </c>
      <c r="H741" s="282" t="s">
        <v>637</v>
      </c>
      <c r="I741" s="314" t="s">
        <v>4</v>
      </c>
      <c r="J741" s="282" t="s">
        <v>0</v>
      </c>
      <c r="K741" s="282" t="s">
        <v>451</v>
      </c>
      <c r="L741" s="297" t="s">
        <v>2318</v>
      </c>
      <c r="M741" s="282" t="s">
        <v>1403</v>
      </c>
      <c r="N741" s="282" t="s">
        <v>1215</v>
      </c>
      <c r="O741" s="296" t="s">
        <v>1805</v>
      </c>
      <c r="P741" s="64" t="str">
        <f ca="1">IF(AND(OR(INDIRECT("K" &amp; ROW())="NAV-Premium",INDIRECT("K" &amp; ROW())="DA-Premium"),INDIRECT("M" &amp; ROW())="PARTITION_SCHEMA128__NavPiviJpn", INDIRECT("O" &amp; ROW())="JPN_SDB"),'SDB vs GN'!$B$41, IF(INDIRECT("H" &amp; ROW())="Chenc",'SDB vs GN'!$B$40, VLOOKUP(INDIRECT("O" &amp; ROW()),'SDB vs GN'!$A$16:$B$38,2,FALSE)))</f>
        <v>GCN2_CN_EU_NA</v>
      </c>
      <c r="Q741" s="297" t="s">
        <v>1903</v>
      </c>
      <c r="R741" s="314" t="s">
        <v>1229</v>
      </c>
      <c r="S741" s="340" t="s">
        <v>10</v>
      </c>
      <c r="T741" s="295" t="s">
        <v>449</v>
      </c>
      <c r="U741" s="332" t="s">
        <v>816</v>
      </c>
      <c r="V741" s="308" t="s">
        <v>7</v>
      </c>
      <c r="W741" s="314" t="s">
        <v>2182</v>
      </c>
      <c r="X741" s="297" t="s">
        <v>521</v>
      </c>
      <c r="Y741" s="282" t="s">
        <v>2178</v>
      </c>
      <c r="Z741" s="282" t="s">
        <v>1592</v>
      </c>
      <c r="AA741" s="284"/>
      <c r="AB741" s="300" t="s">
        <v>225</v>
      </c>
      <c r="AC741" s="407" t="s">
        <v>2435</v>
      </c>
      <c r="AD741" s="302" t="s">
        <v>1042</v>
      </c>
      <c r="AE741" s="353"/>
      <c r="AF741" s="302"/>
      <c r="AG741" s="302"/>
      <c r="AH741" s="404" t="s">
        <v>2436</v>
      </c>
    </row>
    <row r="742" spans="1:34" s="1" customFormat="1">
      <c r="A742" s="408">
        <v>4272</v>
      </c>
      <c r="B742" s="409" t="str">
        <f t="shared" si="52"/>
        <v>10B0</v>
      </c>
      <c r="C742" s="405" t="s">
        <v>2385</v>
      </c>
      <c r="D742" s="295" t="s">
        <v>2430</v>
      </c>
      <c r="E742" s="295" t="s">
        <v>1977</v>
      </c>
      <c r="F742" s="406" t="s">
        <v>1359</v>
      </c>
      <c r="G742" s="406" t="s">
        <v>2109</v>
      </c>
      <c r="H742" s="282" t="s">
        <v>637</v>
      </c>
      <c r="I742" s="314" t="s">
        <v>4</v>
      </c>
      <c r="J742" s="282" t="s">
        <v>0</v>
      </c>
      <c r="K742" s="282" t="s">
        <v>451</v>
      </c>
      <c r="L742" s="297" t="s">
        <v>2318</v>
      </c>
      <c r="M742" s="282" t="s">
        <v>1403</v>
      </c>
      <c r="N742" s="282" t="s">
        <v>1215</v>
      </c>
      <c r="O742" s="296" t="s">
        <v>1803</v>
      </c>
      <c r="P742" s="64" t="str">
        <f ca="1">IF(AND(OR(INDIRECT("K" &amp; ROW())="NAV-Premium",INDIRECT("K" &amp; ROW())="DA-Premium"),INDIRECT("M" &amp; ROW())="PARTITION_SCHEMA128__NavPiviJpn", INDIRECT("O" &amp; ROW())="JPN_SDB"),'SDB vs GN'!$B$41, IF(INDIRECT("H" &amp; ROW())="Chenc",'SDB vs GN'!$B$40, VLOOKUP(INDIRECT("O" &amp; ROW()),'SDB vs GN'!$A$16:$B$38,2,FALSE)))</f>
        <v>GCN3_CN_LA_NA</v>
      </c>
      <c r="Q742" s="297" t="s">
        <v>1903</v>
      </c>
      <c r="R742" s="314" t="s">
        <v>1398</v>
      </c>
      <c r="S742" s="340" t="s">
        <v>10</v>
      </c>
      <c r="T742" s="295" t="s">
        <v>449</v>
      </c>
      <c r="U742" s="332" t="s">
        <v>816</v>
      </c>
      <c r="V742" s="308" t="s">
        <v>7</v>
      </c>
      <c r="W742" s="314" t="s">
        <v>2182</v>
      </c>
      <c r="X742" s="297" t="s">
        <v>521</v>
      </c>
      <c r="Y742" s="282" t="s">
        <v>2178</v>
      </c>
      <c r="Z742" s="282" t="s">
        <v>1592</v>
      </c>
      <c r="AA742" s="284"/>
      <c r="AB742" s="300" t="s">
        <v>225</v>
      </c>
      <c r="AC742" s="407" t="s">
        <v>2437</v>
      </c>
      <c r="AD742" s="302" t="s">
        <v>1042</v>
      </c>
      <c r="AE742" s="353"/>
      <c r="AF742" s="302"/>
      <c r="AG742" s="302"/>
      <c r="AH742" s="404" t="s">
        <v>2438</v>
      </c>
    </row>
    <row r="743" spans="1:34" s="1" customFormat="1">
      <c r="A743" s="408">
        <v>4273</v>
      </c>
      <c r="B743" s="409" t="str">
        <f t="shared" si="52"/>
        <v>10B1</v>
      </c>
      <c r="C743" s="405" t="s">
        <v>2383</v>
      </c>
      <c r="D743" s="295" t="s">
        <v>2430</v>
      </c>
      <c r="E743" s="295" t="s">
        <v>1977</v>
      </c>
      <c r="F743" s="406" t="s">
        <v>1359</v>
      </c>
      <c r="G743" s="406" t="s">
        <v>2109</v>
      </c>
      <c r="H743" s="282" t="s">
        <v>637</v>
      </c>
      <c r="I743" s="314" t="s">
        <v>4</v>
      </c>
      <c r="J743" s="282" t="s">
        <v>0</v>
      </c>
      <c r="K743" s="282" t="s">
        <v>451</v>
      </c>
      <c r="L743" s="297" t="s">
        <v>2318</v>
      </c>
      <c r="M743" s="282" t="s">
        <v>1403</v>
      </c>
      <c r="N743" s="282" t="s">
        <v>1215</v>
      </c>
      <c r="O743" s="296" t="s">
        <v>1803</v>
      </c>
      <c r="P743" s="64" t="str">
        <f ca="1">IF(AND(OR(INDIRECT("K" &amp; ROW())="NAV-Premium",INDIRECT("K" &amp; ROW())="DA-Premium"),INDIRECT("M" &amp; ROW())="PARTITION_SCHEMA128__NavPiviJpn", INDIRECT("O" &amp; ROW())="JPN_SDB"),'SDB vs GN'!$B$41, IF(INDIRECT("H" &amp; ROW())="Chenc",'SDB vs GN'!$B$40, VLOOKUP(INDIRECT("O" &amp; ROW()),'SDB vs GN'!$A$16:$B$38,2,FALSE)))</f>
        <v>GCN3_CN_LA_NA</v>
      </c>
      <c r="Q743" s="297" t="s">
        <v>1903</v>
      </c>
      <c r="R743" s="314" t="s">
        <v>1229</v>
      </c>
      <c r="S743" s="340" t="s">
        <v>10</v>
      </c>
      <c r="T743" s="295" t="s">
        <v>449</v>
      </c>
      <c r="U743" s="332" t="s">
        <v>816</v>
      </c>
      <c r="V743" s="308" t="s">
        <v>7</v>
      </c>
      <c r="W743" s="314" t="s">
        <v>2182</v>
      </c>
      <c r="X743" s="297" t="s">
        <v>521</v>
      </c>
      <c r="Y743" s="282" t="s">
        <v>2178</v>
      </c>
      <c r="Z743" s="282" t="s">
        <v>1592</v>
      </c>
      <c r="AA743" s="284"/>
      <c r="AB743" s="300" t="s">
        <v>225</v>
      </c>
      <c r="AC743" s="407" t="s">
        <v>2439</v>
      </c>
      <c r="AD743" s="302" t="s">
        <v>1042</v>
      </c>
      <c r="AE743" s="302"/>
      <c r="AF743" s="302"/>
      <c r="AG743" s="302"/>
      <c r="AH743" s="404" t="s">
        <v>2440</v>
      </c>
    </row>
    <row r="744" spans="1:34" s="1" customFormat="1">
      <c r="A744" s="408">
        <v>4274</v>
      </c>
      <c r="B744" s="409" t="str">
        <f t="shared" si="52"/>
        <v>10B2</v>
      </c>
      <c r="C744" s="405" t="s">
        <v>2386</v>
      </c>
      <c r="D744" s="295" t="s">
        <v>2430</v>
      </c>
      <c r="E744" s="295" t="s">
        <v>1977</v>
      </c>
      <c r="F744" s="406" t="s">
        <v>1359</v>
      </c>
      <c r="G744" s="406" t="s">
        <v>2109</v>
      </c>
      <c r="H744" s="282" t="s">
        <v>637</v>
      </c>
      <c r="I744" s="314" t="s">
        <v>4</v>
      </c>
      <c r="J744" s="282" t="s">
        <v>0</v>
      </c>
      <c r="K744" s="282" t="s">
        <v>451</v>
      </c>
      <c r="L744" s="297" t="s">
        <v>2318</v>
      </c>
      <c r="M744" s="282" t="s">
        <v>1403</v>
      </c>
      <c r="N744" s="282" t="s">
        <v>1215</v>
      </c>
      <c r="O744" s="296" t="s">
        <v>1804</v>
      </c>
      <c r="P744" s="64" t="str">
        <f ca="1">IF(AND(OR(INDIRECT("K" &amp; ROW())="NAV-Premium",INDIRECT("K" &amp; ROW())="DA-Premium"),INDIRECT("M" &amp; ROW())="PARTITION_SCHEMA128__NavPiviJpn", INDIRECT("O" &amp; ROW())="JPN_SDB"),'SDB vs GN'!$B$41, IF(INDIRECT("H" &amp; ROW())="Chenc",'SDB vs GN'!$B$40, VLOOKUP(INDIRECT("O" &amp; ROW()),'SDB vs GN'!$A$16:$B$38,2,FALSE)))</f>
        <v>GCN2_CN_EU_NA</v>
      </c>
      <c r="Q744" s="297" t="s">
        <v>1903</v>
      </c>
      <c r="R744" s="314" t="s">
        <v>1398</v>
      </c>
      <c r="S744" s="340" t="s">
        <v>10</v>
      </c>
      <c r="T744" s="295" t="s">
        <v>449</v>
      </c>
      <c r="U744" s="332" t="s">
        <v>816</v>
      </c>
      <c r="V744" s="308" t="s">
        <v>7</v>
      </c>
      <c r="W744" s="314" t="s">
        <v>2182</v>
      </c>
      <c r="X744" s="297" t="s">
        <v>521</v>
      </c>
      <c r="Y744" s="282" t="s">
        <v>2178</v>
      </c>
      <c r="Z744" s="282" t="s">
        <v>1592</v>
      </c>
      <c r="AA744" s="284"/>
      <c r="AB744" s="300" t="s">
        <v>225</v>
      </c>
      <c r="AC744" s="407" t="s">
        <v>2441</v>
      </c>
      <c r="AD744" s="302" t="s">
        <v>1042</v>
      </c>
      <c r="AE744" s="302"/>
      <c r="AF744" s="302"/>
      <c r="AG744" s="302"/>
      <c r="AH744" s="404" t="s">
        <v>2442</v>
      </c>
    </row>
    <row r="745" spans="1:34" s="1" customFormat="1">
      <c r="A745" s="408">
        <v>4275</v>
      </c>
      <c r="B745" s="409" t="str">
        <f t="shared" si="52"/>
        <v>10B3</v>
      </c>
      <c r="C745" s="405" t="s">
        <v>2384</v>
      </c>
      <c r="D745" s="295" t="s">
        <v>2430</v>
      </c>
      <c r="E745" s="295" t="s">
        <v>1977</v>
      </c>
      <c r="F745" s="406" t="s">
        <v>1359</v>
      </c>
      <c r="G745" s="406" t="s">
        <v>2109</v>
      </c>
      <c r="H745" s="282" t="s">
        <v>637</v>
      </c>
      <c r="I745" s="314" t="s">
        <v>4</v>
      </c>
      <c r="J745" s="282" t="s">
        <v>0</v>
      </c>
      <c r="K745" s="282" t="s">
        <v>451</v>
      </c>
      <c r="L745" s="297" t="s">
        <v>2318</v>
      </c>
      <c r="M745" s="282" t="s">
        <v>1403</v>
      </c>
      <c r="N745" s="282" t="s">
        <v>1215</v>
      </c>
      <c r="O745" s="296" t="s">
        <v>1801</v>
      </c>
      <c r="P745" s="64" t="str">
        <f ca="1">IF(AND(OR(INDIRECT("K" &amp; ROW())="NAV-Premium",INDIRECT("K" &amp; ROW())="DA-Premium"),INDIRECT("M" &amp; ROW())="PARTITION_SCHEMA128__NavPiviJpn", INDIRECT("O" &amp; ROW())="JPN_SDB"),'SDB vs GN'!$B$41, IF(INDIRECT("H" &amp; ROW())="Chenc",'SDB vs GN'!$B$40, VLOOKUP(INDIRECT("O" &amp; ROW()),'SDB vs GN'!$A$16:$B$38,2,FALSE)))</f>
        <v>GCN1_JP_KR_LA_NA</v>
      </c>
      <c r="Q745" s="297" t="s">
        <v>1903</v>
      </c>
      <c r="R745" s="314" t="s">
        <v>1398</v>
      </c>
      <c r="S745" s="340" t="s">
        <v>10</v>
      </c>
      <c r="T745" s="295" t="s">
        <v>449</v>
      </c>
      <c r="U745" s="332" t="s">
        <v>816</v>
      </c>
      <c r="V745" s="308" t="s">
        <v>7</v>
      </c>
      <c r="W745" s="314" t="s">
        <v>2182</v>
      </c>
      <c r="X745" s="297" t="s">
        <v>521</v>
      </c>
      <c r="Y745" s="282" t="s">
        <v>2178</v>
      </c>
      <c r="Z745" s="282" t="s">
        <v>1592</v>
      </c>
      <c r="AA745" s="284"/>
      <c r="AB745" s="300" t="s">
        <v>225</v>
      </c>
      <c r="AC745" s="407" t="s">
        <v>2443</v>
      </c>
      <c r="AD745" s="302" t="s">
        <v>1042</v>
      </c>
      <c r="AE745" s="302"/>
      <c r="AF745" s="302"/>
      <c r="AG745" s="302"/>
      <c r="AH745" s="404" t="s">
        <v>2444</v>
      </c>
    </row>
    <row r="746" spans="1:34" s="1" customFormat="1" ht="184.8">
      <c r="A746" s="408">
        <v>4276</v>
      </c>
      <c r="B746" s="409" t="str">
        <f t="shared" ref="B746:B747" si="53">DEC2HEX(A746,4)</f>
        <v>10B4</v>
      </c>
      <c r="C746" s="323" t="s">
        <v>2096</v>
      </c>
      <c r="D746" s="295" t="s">
        <v>2560</v>
      </c>
      <c r="E746" s="295" t="s">
        <v>1977</v>
      </c>
      <c r="F746" s="406" t="s">
        <v>1359</v>
      </c>
      <c r="G746" s="406" t="s">
        <v>2109</v>
      </c>
      <c r="H746" s="282" t="s">
        <v>637</v>
      </c>
      <c r="I746" s="314" t="s">
        <v>4</v>
      </c>
      <c r="J746" s="282" t="s">
        <v>0</v>
      </c>
      <c r="K746" s="282" t="s">
        <v>451</v>
      </c>
      <c r="L746" s="297" t="s">
        <v>2318</v>
      </c>
      <c r="M746" s="282" t="s">
        <v>1403</v>
      </c>
      <c r="N746" s="282" t="s">
        <v>1215</v>
      </c>
      <c r="O746" s="296" t="s">
        <v>1801</v>
      </c>
      <c r="P746" s="64" t="str">
        <f ca="1">IF(AND(OR(INDIRECT("K" &amp; ROW())="NAV-Premium",INDIRECT("K" &amp; ROW())="DA-Premium"),INDIRECT("M" &amp; ROW())="PARTITION_SCHEMA128__NavPiviJpn", INDIRECT("O" &amp; ROW())="JPN_SDB"),'SDB vs GN'!$B$41, IF(INDIRECT("H" &amp; ROW())="Chenc",'SDB vs GN'!$B$40, VLOOKUP(INDIRECT("O" &amp; ROW()),'SDB vs GN'!$A$16:$B$38,2,FALSE)))</f>
        <v>GCN1_JP_KR_LA_NA</v>
      </c>
      <c r="Q746" s="297" t="s">
        <v>1903</v>
      </c>
      <c r="R746" s="314" t="s">
        <v>1398</v>
      </c>
      <c r="S746" s="340" t="s">
        <v>10</v>
      </c>
      <c r="T746" s="367" t="s">
        <v>450</v>
      </c>
      <c r="U746" s="332" t="s">
        <v>816</v>
      </c>
      <c r="V746" s="308" t="s">
        <v>7</v>
      </c>
      <c r="W746" s="298" t="s">
        <v>447</v>
      </c>
      <c r="X746" s="297" t="s">
        <v>521</v>
      </c>
      <c r="Y746" s="282" t="s">
        <v>2178</v>
      </c>
      <c r="Z746" s="282" t="s">
        <v>1592</v>
      </c>
      <c r="AA746" s="284"/>
      <c r="AB746" s="300" t="s">
        <v>225</v>
      </c>
      <c r="AC746" s="411" t="s">
        <v>2647</v>
      </c>
      <c r="AD746" s="302" t="s">
        <v>1042</v>
      </c>
      <c r="AE746" s="353"/>
      <c r="AF746" s="302"/>
      <c r="AG746" s="302"/>
      <c r="AH746" s="302" t="s">
        <v>2646</v>
      </c>
    </row>
    <row r="747" spans="1:34" s="1" customFormat="1">
      <c r="A747" s="408">
        <v>4277</v>
      </c>
      <c r="B747" s="409" t="str">
        <f t="shared" si="53"/>
        <v>10B5</v>
      </c>
      <c r="C747" s="405" t="s">
        <v>2135</v>
      </c>
      <c r="D747" s="295" t="s">
        <v>2560</v>
      </c>
      <c r="E747" s="295" t="s">
        <v>1977</v>
      </c>
      <c r="F747" s="406" t="s">
        <v>1359</v>
      </c>
      <c r="G747" s="406" t="s">
        <v>2109</v>
      </c>
      <c r="H747" s="282" t="s">
        <v>637</v>
      </c>
      <c r="I747" s="314" t="s">
        <v>4</v>
      </c>
      <c r="J747" s="282" t="s">
        <v>0</v>
      </c>
      <c r="K747" s="282" t="s">
        <v>451</v>
      </c>
      <c r="L747" s="297" t="s">
        <v>2318</v>
      </c>
      <c r="M747" s="282" t="s">
        <v>1403</v>
      </c>
      <c r="N747" s="282" t="s">
        <v>1215</v>
      </c>
      <c r="O747" s="296" t="s">
        <v>1805</v>
      </c>
      <c r="P747" s="64" t="str">
        <f ca="1">IF(AND(OR(INDIRECT("K" &amp; ROW())="NAV-Premium",INDIRECT("K" &amp; ROW())="DA-Premium"),INDIRECT("M" &amp; ROW())="PARTITION_SCHEMA128__NavPiviJpn", INDIRECT("O" &amp; ROW())="JPN_SDB"),'SDB vs GN'!$B$41, IF(INDIRECT("H" &amp; ROW())="Chenc",'SDB vs GN'!$B$40, VLOOKUP(INDIRECT("O" &amp; ROW()),'SDB vs GN'!$A$16:$B$38,2,FALSE)))</f>
        <v>GCN2_CN_EU_NA</v>
      </c>
      <c r="Q747" s="297" t="s">
        <v>1903</v>
      </c>
      <c r="R747" s="314" t="s">
        <v>1229</v>
      </c>
      <c r="S747" s="340" t="s">
        <v>10</v>
      </c>
      <c r="T747" s="295" t="s">
        <v>449</v>
      </c>
      <c r="U747" s="332" t="s">
        <v>816</v>
      </c>
      <c r="V747" s="308" t="s">
        <v>7</v>
      </c>
      <c r="W747" s="298" t="s">
        <v>447</v>
      </c>
      <c r="X747" s="297" t="s">
        <v>521</v>
      </c>
      <c r="Y747" s="282" t="s">
        <v>2178</v>
      </c>
      <c r="Z747" s="282" t="s">
        <v>1592</v>
      </c>
      <c r="AA747" s="284"/>
      <c r="AB747" s="300" t="s">
        <v>225</v>
      </c>
      <c r="AC747" s="407" t="s">
        <v>2565</v>
      </c>
      <c r="AD747" s="302" t="s">
        <v>1042</v>
      </c>
      <c r="AE747" s="353"/>
      <c r="AF747" s="302"/>
      <c r="AG747" s="302"/>
      <c r="AH747" s="404" t="s">
        <v>2569</v>
      </c>
    </row>
    <row r="748" spans="1:34" s="1" customFormat="1">
      <c r="A748" s="408">
        <v>4278</v>
      </c>
      <c r="B748" s="409" t="str">
        <f t="shared" ref="B748:B753" si="54">DEC2HEX(A748,4)</f>
        <v>10B6</v>
      </c>
      <c r="C748" s="405" t="s">
        <v>2385</v>
      </c>
      <c r="D748" s="295" t="s">
        <v>2560</v>
      </c>
      <c r="E748" s="295" t="s">
        <v>1977</v>
      </c>
      <c r="F748" s="406" t="s">
        <v>1359</v>
      </c>
      <c r="G748" s="406" t="s">
        <v>2109</v>
      </c>
      <c r="H748" s="282" t="s">
        <v>637</v>
      </c>
      <c r="I748" s="314" t="s">
        <v>4</v>
      </c>
      <c r="J748" s="282" t="s">
        <v>0</v>
      </c>
      <c r="K748" s="282" t="s">
        <v>451</v>
      </c>
      <c r="L748" s="297" t="s">
        <v>2318</v>
      </c>
      <c r="M748" s="282" t="s">
        <v>1403</v>
      </c>
      <c r="N748" s="282" t="s">
        <v>1215</v>
      </c>
      <c r="O748" s="296" t="s">
        <v>1803</v>
      </c>
      <c r="P748" s="64" t="str">
        <f ca="1">IF(AND(OR(INDIRECT("K" &amp; ROW())="NAV-Premium",INDIRECT("K" &amp; ROW())="DA-Premium"),INDIRECT("M" &amp; ROW())="PARTITION_SCHEMA128__NavPiviJpn", INDIRECT("O" &amp; ROW())="JPN_SDB"),'SDB vs GN'!$B$41, IF(INDIRECT("H" &amp; ROW())="Chenc",'SDB vs GN'!$B$40, VLOOKUP(INDIRECT("O" &amp; ROW()),'SDB vs GN'!$A$16:$B$38,2,FALSE)))</f>
        <v>GCN3_CN_LA_NA</v>
      </c>
      <c r="Q748" s="297" t="s">
        <v>1903</v>
      </c>
      <c r="R748" s="314" t="s">
        <v>1398</v>
      </c>
      <c r="S748" s="340" t="s">
        <v>10</v>
      </c>
      <c r="T748" s="295" t="s">
        <v>449</v>
      </c>
      <c r="U748" s="332" t="s">
        <v>816</v>
      </c>
      <c r="V748" s="308" t="s">
        <v>7</v>
      </c>
      <c r="W748" s="298" t="s">
        <v>447</v>
      </c>
      <c r="X748" s="297" t="s">
        <v>521</v>
      </c>
      <c r="Y748" s="282" t="s">
        <v>2178</v>
      </c>
      <c r="Z748" s="282" t="s">
        <v>1592</v>
      </c>
      <c r="AA748" s="284"/>
      <c r="AB748" s="300" t="s">
        <v>225</v>
      </c>
      <c r="AC748" s="407" t="s">
        <v>2566</v>
      </c>
      <c r="AD748" s="302" t="s">
        <v>1042</v>
      </c>
      <c r="AE748" s="353"/>
      <c r="AF748" s="302"/>
      <c r="AG748" s="302"/>
      <c r="AH748" s="404" t="s">
        <v>2570</v>
      </c>
    </row>
    <row r="749" spans="1:34" s="1" customFormat="1">
      <c r="A749" s="408">
        <v>4279</v>
      </c>
      <c r="B749" s="409" t="str">
        <f t="shared" si="54"/>
        <v>10B7</v>
      </c>
      <c r="C749" s="405" t="s">
        <v>2383</v>
      </c>
      <c r="D749" s="295" t="s">
        <v>2560</v>
      </c>
      <c r="E749" s="295" t="s">
        <v>1977</v>
      </c>
      <c r="F749" s="406" t="s">
        <v>1359</v>
      </c>
      <c r="G749" s="406" t="s">
        <v>2109</v>
      </c>
      <c r="H749" s="282" t="s">
        <v>637</v>
      </c>
      <c r="I749" s="314" t="s">
        <v>4</v>
      </c>
      <c r="J749" s="282" t="s">
        <v>0</v>
      </c>
      <c r="K749" s="282" t="s">
        <v>451</v>
      </c>
      <c r="L749" s="297" t="s">
        <v>2318</v>
      </c>
      <c r="M749" s="282" t="s">
        <v>1403</v>
      </c>
      <c r="N749" s="282" t="s">
        <v>1215</v>
      </c>
      <c r="O749" s="296" t="s">
        <v>1803</v>
      </c>
      <c r="P749" s="64" t="str">
        <f ca="1">IF(AND(OR(INDIRECT("K" &amp; ROW())="NAV-Premium",INDIRECT("K" &amp; ROW())="DA-Premium"),INDIRECT("M" &amp; ROW())="PARTITION_SCHEMA128__NavPiviJpn", INDIRECT("O" &amp; ROW())="JPN_SDB"),'SDB vs GN'!$B$41, IF(INDIRECT("H" &amp; ROW())="Chenc",'SDB vs GN'!$B$40, VLOOKUP(INDIRECT("O" &amp; ROW()),'SDB vs GN'!$A$16:$B$38,2,FALSE)))</f>
        <v>GCN3_CN_LA_NA</v>
      </c>
      <c r="Q749" s="297" t="s">
        <v>1903</v>
      </c>
      <c r="R749" s="314" t="s">
        <v>1229</v>
      </c>
      <c r="S749" s="340" t="s">
        <v>10</v>
      </c>
      <c r="T749" s="295" t="s">
        <v>449</v>
      </c>
      <c r="U749" s="332" t="s">
        <v>816</v>
      </c>
      <c r="V749" s="308" t="s">
        <v>7</v>
      </c>
      <c r="W749" s="298" t="s">
        <v>447</v>
      </c>
      <c r="X749" s="297" t="s">
        <v>521</v>
      </c>
      <c r="Y749" s="282" t="s">
        <v>2178</v>
      </c>
      <c r="Z749" s="282" t="s">
        <v>1592</v>
      </c>
      <c r="AA749" s="284"/>
      <c r="AB749" s="300" t="s">
        <v>225</v>
      </c>
      <c r="AC749" s="407" t="s">
        <v>2567</v>
      </c>
      <c r="AD749" s="302" t="s">
        <v>1042</v>
      </c>
      <c r="AE749" s="302"/>
      <c r="AF749" s="302"/>
      <c r="AG749" s="302"/>
      <c r="AH749" s="404" t="s">
        <v>2571</v>
      </c>
    </row>
    <row r="750" spans="1:34" s="1" customFormat="1">
      <c r="A750" s="408">
        <v>4280</v>
      </c>
      <c r="B750" s="409" t="str">
        <f t="shared" si="54"/>
        <v>10B8</v>
      </c>
      <c r="C750" s="405" t="s">
        <v>2386</v>
      </c>
      <c r="D750" s="295" t="s">
        <v>2560</v>
      </c>
      <c r="E750" s="295" t="s">
        <v>1977</v>
      </c>
      <c r="F750" s="406" t="s">
        <v>1359</v>
      </c>
      <c r="G750" s="406" t="s">
        <v>2109</v>
      </c>
      <c r="H750" s="282" t="s">
        <v>637</v>
      </c>
      <c r="I750" s="314" t="s">
        <v>4</v>
      </c>
      <c r="J750" s="282" t="s">
        <v>0</v>
      </c>
      <c r="K750" s="282" t="s">
        <v>451</v>
      </c>
      <c r="L750" s="297" t="s">
        <v>2318</v>
      </c>
      <c r="M750" s="282" t="s">
        <v>1403</v>
      </c>
      <c r="N750" s="282" t="s">
        <v>1215</v>
      </c>
      <c r="O750" s="296" t="s">
        <v>1804</v>
      </c>
      <c r="P750" s="64" t="str">
        <f ca="1">IF(AND(OR(INDIRECT("K" &amp; ROW())="NAV-Premium",INDIRECT("K" &amp; ROW())="DA-Premium"),INDIRECT("M" &amp; ROW())="PARTITION_SCHEMA128__NavPiviJpn", INDIRECT("O" &amp; ROW())="JPN_SDB"),'SDB vs GN'!$B$41, IF(INDIRECT("H" &amp; ROW())="Chenc",'SDB vs GN'!$B$40, VLOOKUP(INDIRECT("O" &amp; ROW()),'SDB vs GN'!$A$16:$B$38,2,FALSE)))</f>
        <v>GCN2_CN_EU_NA</v>
      </c>
      <c r="Q750" s="297" t="s">
        <v>1903</v>
      </c>
      <c r="R750" s="314" t="s">
        <v>1398</v>
      </c>
      <c r="S750" s="340" t="s">
        <v>10</v>
      </c>
      <c r="T750" s="295" t="s">
        <v>449</v>
      </c>
      <c r="U750" s="332" t="s">
        <v>816</v>
      </c>
      <c r="V750" s="308" t="s">
        <v>7</v>
      </c>
      <c r="W750" s="298" t="s">
        <v>447</v>
      </c>
      <c r="X750" s="297" t="s">
        <v>521</v>
      </c>
      <c r="Y750" s="282" t="s">
        <v>2178</v>
      </c>
      <c r="Z750" s="282" t="s">
        <v>1592</v>
      </c>
      <c r="AA750" s="284"/>
      <c r="AB750" s="300" t="s">
        <v>225</v>
      </c>
      <c r="AC750" s="407" t="s">
        <v>2568</v>
      </c>
      <c r="AD750" s="302" t="s">
        <v>1042</v>
      </c>
      <c r="AE750" s="302"/>
      <c r="AF750" s="302"/>
      <c r="AG750" s="302"/>
      <c r="AH750" s="404" t="s">
        <v>2572</v>
      </c>
    </row>
    <row r="751" spans="1:34" s="1" customFormat="1">
      <c r="A751" s="408">
        <v>4281</v>
      </c>
      <c r="B751" s="409" t="str">
        <f t="shared" si="54"/>
        <v>10B9</v>
      </c>
      <c r="C751" s="405" t="s">
        <v>2384</v>
      </c>
      <c r="D751" s="295" t="s">
        <v>2560</v>
      </c>
      <c r="E751" s="295" t="s">
        <v>1977</v>
      </c>
      <c r="F751" s="406" t="s">
        <v>1359</v>
      </c>
      <c r="G751" s="406" t="s">
        <v>2109</v>
      </c>
      <c r="H751" s="282" t="s">
        <v>637</v>
      </c>
      <c r="I751" s="314" t="s">
        <v>4</v>
      </c>
      <c r="J751" s="282" t="s">
        <v>0</v>
      </c>
      <c r="K751" s="282" t="s">
        <v>451</v>
      </c>
      <c r="L751" s="297" t="s">
        <v>2318</v>
      </c>
      <c r="M751" s="282" t="s">
        <v>1403</v>
      </c>
      <c r="N751" s="282" t="s">
        <v>1215</v>
      </c>
      <c r="O751" s="296" t="s">
        <v>1801</v>
      </c>
      <c r="P751" s="64" t="str">
        <f ca="1">IF(AND(OR(INDIRECT("K" &amp; ROW())="NAV-Premium",INDIRECT("K" &amp; ROW())="DA-Premium"),INDIRECT("M" &amp; ROW())="PARTITION_SCHEMA128__NavPiviJpn", INDIRECT("O" &amp; ROW())="JPN_SDB"),'SDB vs GN'!$B$41, IF(INDIRECT("H" &amp; ROW())="Chenc",'SDB vs GN'!$B$40, VLOOKUP(INDIRECT("O" &amp; ROW()),'SDB vs GN'!$A$16:$B$38,2,FALSE)))</f>
        <v>GCN1_JP_KR_LA_NA</v>
      </c>
      <c r="Q751" s="297" t="s">
        <v>1903</v>
      </c>
      <c r="R751" s="314" t="s">
        <v>1398</v>
      </c>
      <c r="S751" s="340" t="s">
        <v>10</v>
      </c>
      <c r="T751" s="295" t="s">
        <v>449</v>
      </c>
      <c r="U751" s="332" t="s">
        <v>816</v>
      </c>
      <c r="V751" s="308" t="s">
        <v>7</v>
      </c>
      <c r="W751" s="298" t="s">
        <v>447</v>
      </c>
      <c r="X751" s="297" t="s">
        <v>521</v>
      </c>
      <c r="Y751" s="282" t="s">
        <v>2178</v>
      </c>
      <c r="Z751" s="282" t="s">
        <v>1592</v>
      </c>
      <c r="AA751" s="284"/>
      <c r="AB751" s="300" t="s">
        <v>225</v>
      </c>
      <c r="AC751" s="407" t="s">
        <v>2573</v>
      </c>
      <c r="AD751" s="302" t="s">
        <v>1042</v>
      </c>
      <c r="AE751" s="302"/>
      <c r="AF751" s="302"/>
      <c r="AG751" s="302"/>
      <c r="AH751" s="404" t="s">
        <v>2574</v>
      </c>
    </row>
    <row r="752" spans="1:34">
      <c r="A752" s="421">
        <v>4282</v>
      </c>
      <c r="B752" s="422" t="str">
        <f>DEC2HEX(A752,4)</f>
        <v>10BA</v>
      </c>
      <c r="C752" s="423" t="s">
        <v>2670</v>
      </c>
      <c r="D752" s="424" t="s">
        <v>1933</v>
      </c>
      <c r="E752" s="424" t="s">
        <v>1977</v>
      </c>
      <c r="F752" s="425" t="s">
        <v>1408</v>
      </c>
      <c r="G752" s="425" t="s">
        <v>1915</v>
      </c>
      <c r="H752" s="426" t="s">
        <v>637</v>
      </c>
      <c r="I752" s="427" t="s">
        <v>4</v>
      </c>
      <c r="J752" s="426" t="s">
        <v>0</v>
      </c>
      <c r="K752" s="426" t="s">
        <v>478</v>
      </c>
      <c r="L752" s="428" t="s">
        <v>1306</v>
      </c>
      <c r="M752" s="426" t="s">
        <v>1403</v>
      </c>
      <c r="N752" s="426" t="s">
        <v>1215</v>
      </c>
      <c r="O752" s="429" t="s">
        <v>1804</v>
      </c>
      <c r="P752" s="430" t="str">
        <f ca="1">IF(AND(OR(INDIRECT("K" &amp; ROW())="NAV-Premium",INDIRECT("K" &amp; ROW())="DA-Premium"),INDIRECT("M" &amp; ROW())="PARTITION_SCHEMA128__NavPiviJpn", INDIRECT("O" &amp; ROW())="JPN_SDB"),'SDB vs GN'!$B$41, IF(INDIRECT("H" &amp; ROW())="Chenc",'SDB vs GN'!$B$40, VLOOKUP(INDIRECT("O" &amp; ROW()),'SDB vs GN'!$A$16:$B$38,2,FALSE)))</f>
        <v>GCN2_CN_EU_NA</v>
      </c>
      <c r="Q752" s="430" t="s">
        <v>1903</v>
      </c>
      <c r="R752" s="431" t="s">
        <v>1398</v>
      </c>
      <c r="S752" s="432" t="s">
        <v>10</v>
      </c>
      <c r="T752" s="424" t="s">
        <v>449</v>
      </c>
      <c r="U752" s="433" t="s">
        <v>816</v>
      </c>
      <c r="V752" s="434" t="s">
        <v>7</v>
      </c>
      <c r="W752" s="431" t="s">
        <v>447</v>
      </c>
      <c r="X752" s="430" t="s">
        <v>521</v>
      </c>
      <c r="Y752" s="426" t="s">
        <v>1556</v>
      </c>
      <c r="Z752" s="426" t="s">
        <v>1592</v>
      </c>
      <c r="AA752" s="435"/>
      <c r="AB752" s="436" t="s">
        <v>225</v>
      </c>
      <c r="AC752" s="437" t="s">
        <v>2671</v>
      </c>
      <c r="AD752" s="438" t="s">
        <v>1042</v>
      </c>
      <c r="AE752" s="438"/>
      <c r="AF752" s="438"/>
      <c r="AG752" s="438"/>
      <c r="AH752" s="438" t="s">
        <v>2669</v>
      </c>
    </row>
    <row r="753" spans="1:35" ht="13.8" thickBot="1">
      <c r="A753" s="387">
        <v>4283</v>
      </c>
      <c r="B753" s="388" t="str">
        <f t="shared" si="54"/>
        <v>10BB</v>
      </c>
      <c r="C753" s="405" t="s">
        <v>2927</v>
      </c>
      <c r="D753" s="295" t="s">
        <v>2181</v>
      </c>
      <c r="E753" s="295" t="s">
        <v>1977</v>
      </c>
      <c r="F753" s="393" t="s">
        <v>2324</v>
      </c>
      <c r="G753" s="394" t="s">
        <v>2326</v>
      </c>
      <c r="H753" s="282" t="s">
        <v>637</v>
      </c>
      <c r="I753" s="295" t="s">
        <v>815</v>
      </c>
      <c r="J753" s="282" t="s">
        <v>1409</v>
      </c>
      <c r="K753" s="282" t="s">
        <v>452</v>
      </c>
      <c r="L753" s="297" t="s">
        <v>2317</v>
      </c>
      <c r="M753" s="282" t="s">
        <v>1401</v>
      </c>
      <c r="N753" s="282" t="s">
        <v>1400</v>
      </c>
      <c r="O753" s="296" t="s">
        <v>1803</v>
      </c>
      <c r="P753" s="64" t="s">
        <v>2105</v>
      </c>
      <c r="Q753" s="297" t="s">
        <v>1903</v>
      </c>
      <c r="R753" s="298" t="s">
        <v>1229</v>
      </c>
      <c r="S753" s="340" t="s">
        <v>10</v>
      </c>
      <c r="T753" s="295" t="s">
        <v>449</v>
      </c>
      <c r="U753" s="332" t="s">
        <v>816</v>
      </c>
      <c r="V753" s="342" t="s">
        <v>1115</v>
      </c>
      <c r="W753" s="298" t="s">
        <v>2182</v>
      </c>
      <c r="X753" s="64" t="s">
        <v>521</v>
      </c>
      <c r="Y753" s="282" t="s">
        <v>2178</v>
      </c>
      <c r="Z753" s="282" t="s">
        <v>1593</v>
      </c>
      <c r="AA753" s="299"/>
      <c r="AB753" s="300" t="s">
        <v>225</v>
      </c>
      <c r="AC753" s="407" t="s">
        <v>2926</v>
      </c>
      <c r="AD753" s="302" t="s">
        <v>1042</v>
      </c>
      <c r="AE753" s="460"/>
      <c r="AF753" s="302"/>
      <c r="AG753" s="302"/>
      <c r="AH753" s="402" t="str">
        <f>"[wzr2hi, 27.02.2026] Added "&amp;AC753&amp;" as PlaceholderBuild.PlaceholderPlant"</f>
        <v>[wzr2hi, 27.02.2026] Added 0.000.000.000-171 as PlaceholderBuild.PlaceholderPlant</v>
      </c>
      <c r="AI753" s="29"/>
    </row>
    <row r="754" spans="1:35" ht="27" thickTop="1">
      <c r="A754" s="439">
        <v>4412</v>
      </c>
      <c r="B754" s="440" t="str">
        <f t="shared" ref="B754:B817" si="55">DEC2HEX(A754,4)</f>
        <v>113C</v>
      </c>
      <c r="C754" s="441" t="s">
        <v>1430</v>
      </c>
      <c r="D754" s="457" t="s">
        <v>2677</v>
      </c>
      <c r="E754" s="442" t="s">
        <v>1977</v>
      </c>
      <c r="F754" s="443" t="s">
        <v>1230</v>
      </c>
      <c r="G754" s="443" t="s">
        <v>1918</v>
      </c>
      <c r="H754" s="444" t="s">
        <v>637</v>
      </c>
      <c r="I754" s="442" t="s">
        <v>815</v>
      </c>
      <c r="J754" s="444" t="s">
        <v>0</v>
      </c>
      <c r="K754" s="444" t="s">
        <v>452</v>
      </c>
      <c r="L754" s="445" t="s">
        <v>2318</v>
      </c>
      <c r="M754" s="444" t="s">
        <v>1401</v>
      </c>
      <c r="N754" s="444" t="s">
        <v>1400</v>
      </c>
      <c r="O754" s="446" t="s">
        <v>1801</v>
      </c>
      <c r="P754" s="445" t="s">
        <v>1866</v>
      </c>
      <c r="Q754" s="445" t="s">
        <v>1903</v>
      </c>
      <c r="R754" s="447" t="s">
        <v>1228</v>
      </c>
      <c r="S754" s="448" t="s">
        <v>10</v>
      </c>
      <c r="T754" s="449" t="s">
        <v>450</v>
      </c>
      <c r="U754" s="450" t="s">
        <v>816</v>
      </c>
      <c r="V754" s="451" t="s">
        <v>1989</v>
      </c>
      <c r="W754" s="447" t="s">
        <v>447</v>
      </c>
      <c r="X754" s="445" t="s">
        <v>521</v>
      </c>
      <c r="Y754" s="444" t="s">
        <v>1556</v>
      </c>
      <c r="Z754" s="444" t="s">
        <v>1593</v>
      </c>
      <c r="AA754" s="452"/>
      <c r="AB754" s="453" t="s">
        <v>225</v>
      </c>
      <c r="AC754" s="454" t="s">
        <v>2683</v>
      </c>
      <c r="AD754" s="455" t="s">
        <v>1042</v>
      </c>
      <c r="AE754" s="459" t="s">
        <v>2043</v>
      </c>
      <c r="AF754" s="455"/>
      <c r="AG754" s="455"/>
      <c r="AH754" s="456" t="str">
        <f t="shared" ref="AH754:AH805" si="56">"[wzr2hi, 08.04.2025] Added "&amp;AC754&amp;" as PlaceholderBuild.PlaceholderPlant"</f>
        <v>[wzr2hi, 08.04.2025] Added 0.000.000.000-60 as PlaceholderBuild.PlaceholderPlant</v>
      </c>
    </row>
    <row r="755" spans="1:35" ht="66">
      <c r="A755" s="51">
        <v>4413</v>
      </c>
      <c r="B755" s="81" t="str">
        <f t="shared" si="55"/>
        <v>113D</v>
      </c>
      <c r="C755" s="329" t="s">
        <v>2136</v>
      </c>
      <c r="D755" s="458" t="s">
        <v>2677</v>
      </c>
      <c r="E755" s="295" t="s">
        <v>1977</v>
      </c>
      <c r="F755" s="371" t="s">
        <v>1230</v>
      </c>
      <c r="G755" s="252" t="s">
        <v>1918</v>
      </c>
      <c r="H755" s="282" t="s">
        <v>637</v>
      </c>
      <c r="I755" s="295" t="s">
        <v>815</v>
      </c>
      <c r="J755" s="282" t="s">
        <v>0</v>
      </c>
      <c r="K755" s="282" t="s">
        <v>452</v>
      </c>
      <c r="L755" s="297" t="s">
        <v>2318</v>
      </c>
      <c r="M755" s="282" t="s">
        <v>1401</v>
      </c>
      <c r="N755" s="282" t="s">
        <v>1400</v>
      </c>
      <c r="O755" s="304" t="s">
        <v>1802</v>
      </c>
      <c r="P755" s="64" t="s">
        <v>1867</v>
      </c>
      <c r="Q755" s="297" t="s">
        <v>1903</v>
      </c>
      <c r="R755" s="298" t="s">
        <v>1229</v>
      </c>
      <c r="S755" s="340" t="s">
        <v>10</v>
      </c>
      <c r="T755" s="295" t="s">
        <v>449</v>
      </c>
      <c r="U755" s="332" t="s">
        <v>816</v>
      </c>
      <c r="V755" s="342" t="s">
        <v>1988</v>
      </c>
      <c r="W755" s="298" t="s">
        <v>447</v>
      </c>
      <c r="X755" s="64" t="s">
        <v>521</v>
      </c>
      <c r="Y755" s="282" t="s">
        <v>1556</v>
      </c>
      <c r="Z755" s="282" t="s">
        <v>1593</v>
      </c>
      <c r="AA755" s="299"/>
      <c r="AB755" s="300" t="s">
        <v>225</v>
      </c>
      <c r="AC755" s="407" t="s">
        <v>2684</v>
      </c>
      <c r="AD755" s="302" t="s">
        <v>1042</v>
      </c>
      <c r="AE755" s="460" t="s">
        <v>2502</v>
      </c>
      <c r="AF755" s="302"/>
      <c r="AG755" s="302"/>
      <c r="AH755" s="402" t="str">
        <f t="shared" si="56"/>
        <v>[wzr2hi, 08.04.2025] Added 0.000.000.000-61 as PlaceholderBuild.PlaceholderPlant</v>
      </c>
      <c r="AI755" s="29"/>
    </row>
    <row r="756" spans="1:35" ht="39.6">
      <c r="A756" s="51">
        <v>4414</v>
      </c>
      <c r="B756" s="81" t="str">
        <f t="shared" si="55"/>
        <v>113E</v>
      </c>
      <c r="C756" s="329" t="s">
        <v>1438</v>
      </c>
      <c r="D756" s="458" t="s">
        <v>2677</v>
      </c>
      <c r="E756" s="295" t="s">
        <v>1977</v>
      </c>
      <c r="F756" s="335" t="s">
        <v>1927</v>
      </c>
      <c r="G756" s="335" t="s">
        <v>1913</v>
      </c>
      <c r="H756" s="282" t="s">
        <v>637</v>
      </c>
      <c r="I756" s="295" t="s">
        <v>5</v>
      </c>
      <c r="J756" s="282" t="s">
        <v>0</v>
      </c>
      <c r="K756" s="282" t="s">
        <v>452</v>
      </c>
      <c r="L756" s="297" t="s">
        <v>2318</v>
      </c>
      <c r="M756" s="282" t="s">
        <v>1496</v>
      </c>
      <c r="N756" s="282" t="s">
        <v>1215</v>
      </c>
      <c r="O756" s="238" t="s">
        <v>1801</v>
      </c>
      <c r="P756" s="64" t="s">
        <v>1866</v>
      </c>
      <c r="Q756" s="297" t="s">
        <v>1903</v>
      </c>
      <c r="R756" s="298" t="s">
        <v>1354</v>
      </c>
      <c r="S756" s="340" t="s">
        <v>10</v>
      </c>
      <c r="T756" s="295" t="s">
        <v>449</v>
      </c>
      <c r="U756" s="332" t="s">
        <v>816</v>
      </c>
      <c r="V756" s="308" t="s">
        <v>615</v>
      </c>
      <c r="W756" s="298" t="s">
        <v>447</v>
      </c>
      <c r="X756" s="297" t="s">
        <v>362</v>
      </c>
      <c r="Y756" s="282" t="s">
        <v>1556</v>
      </c>
      <c r="Z756" s="282" t="s">
        <v>1593</v>
      </c>
      <c r="AA756" s="299"/>
      <c r="AB756" s="300" t="s">
        <v>225</v>
      </c>
      <c r="AC756" s="407" t="s">
        <v>2903</v>
      </c>
      <c r="AD756" s="302" t="s">
        <v>1042</v>
      </c>
      <c r="AE756" s="460" t="s">
        <v>2307</v>
      </c>
      <c r="AF756" s="302"/>
      <c r="AG756" s="302"/>
      <c r="AH756" s="402" t="str">
        <f t="shared" si="56"/>
        <v>[wzr2hi, 08.04.2025] Added 0.000.000.000-62 as PlaceholderBuild.PlaceholderPlant</v>
      </c>
      <c r="AI756" s="29"/>
    </row>
    <row r="757" spans="1:35" ht="26.4">
      <c r="A757" s="51">
        <v>4415</v>
      </c>
      <c r="B757" s="81" t="str">
        <f t="shared" si="55"/>
        <v>113F</v>
      </c>
      <c r="C757" s="329" t="s">
        <v>1754</v>
      </c>
      <c r="D757" s="458" t="s">
        <v>2677</v>
      </c>
      <c r="E757" s="295" t="s">
        <v>1977</v>
      </c>
      <c r="F757" s="372" t="s">
        <v>1315</v>
      </c>
      <c r="G757" s="115" t="s">
        <v>1914</v>
      </c>
      <c r="H757" s="282" t="s">
        <v>637</v>
      </c>
      <c r="I757" s="295" t="s">
        <v>815</v>
      </c>
      <c r="J757" s="282" t="s">
        <v>0</v>
      </c>
      <c r="K757" s="282" t="s">
        <v>454</v>
      </c>
      <c r="L757" s="360" t="s">
        <v>1306</v>
      </c>
      <c r="M757" s="282" t="s">
        <v>1401</v>
      </c>
      <c r="N757" s="282" t="s">
        <v>1400</v>
      </c>
      <c r="O757" s="296" t="s">
        <v>1806</v>
      </c>
      <c r="P757" s="64" t="s">
        <v>1866</v>
      </c>
      <c r="Q757" s="297" t="s">
        <v>1903</v>
      </c>
      <c r="R757" s="298" t="s">
        <v>1228</v>
      </c>
      <c r="S757" s="340" t="s">
        <v>10</v>
      </c>
      <c r="T757" s="367" t="s">
        <v>450</v>
      </c>
      <c r="U757" s="332" t="s">
        <v>816</v>
      </c>
      <c r="V757" s="308" t="s">
        <v>604</v>
      </c>
      <c r="W757" s="298" t="s">
        <v>447</v>
      </c>
      <c r="X757" s="297" t="s">
        <v>521</v>
      </c>
      <c r="Y757" s="283" t="s">
        <v>1556</v>
      </c>
      <c r="Z757" s="282" t="s">
        <v>1593</v>
      </c>
      <c r="AA757" s="299"/>
      <c r="AB757" s="300" t="s">
        <v>225</v>
      </c>
      <c r="AC757" s="411" t="s">
        <v>2849</v>
      </c>
      <c r="AD757" s="302" t="s">
        <v>1042</v>
      </c>
      <c r="AE757" s="460" t="s">
        <v>2043</v>
      </c>
      <c r="AF757" s="302"/>
      <c r="AG757" s="302"/>
      <c r="AH757" s="261" t="s">
        <v>2856</v>
      </c>
      <c r="AI757" s="29"/>
    </row>
    <row r="758" spans="1:35" ht="39.6">
      <c r="A758" s="51">
        <v>4416</v>
      </c>
      <c r="B758" s="81" t="str">
        <f t="shared" si="55"/>
        <v>1140</v>
      </c>
      <c r="C758" s="329" t="s">
        <v>1761</v>
      </c>
      <c r="D758" s="458" t="s">
        <v>2676</v>
      </c>
      <c r="E758" s="295" t="s">
        <v>1977</v>
      </c>
      <c r="F758" s="373" t="s">
        <v>1408</v>
      </c>
      <c r="G758" s="167" t="s">
        <v>1915</v>
      </c>
      <c r="H758" s="282" t="s">
        <v>637</v>
      </c>
      <c r="I758" s="314" t="s">
        <v>4</v>
      </c>
      <c r="J758" s="282" t="s">
        <v>0</v>
      </c>
      <c r="K758" s="282" t="s">
        <v>478</v>
      </c>
      <c r="L758" s="360" t="s">
        <v>1306</v>
      </c>
      <c r="M758" s="282" t="s">
        <v>1403</v>
      </c>
      <c r="N758" s="282" t="s">
        <v>1215</v>
      </c>
      <c r="O758" s="296" t="s">
        <v>1806</v>
      </c>
      <c r="P758" s="64" t="s">
        <v>1866</v>
      </c>
      <c r="Q758" s="297" t="s">
        <v>1903</v>
      </c>
      <c r="R758" s="298" t="s">
        <v>1228</v>
      </c>
      <c r="S758" s="340" t="s">
        <v>10</v>
      </c>
      <c r="T758" s="367" t="s">
        <v>450</v>
      </c>
      <c r="U758" s="332" t="s">
        <v>816</v>
      </c>
      <c r="V758" s="308" t="s">
        <v>7</v>
      </c>
      <c r="W758" s="298" t="s">
        <v>447</v>
      </c>
      <c r="X758" s="64" t="s">
        <v>521</v>
      </c>
      <c r="Y758" s="283" t="s">
        <v>1556</v>
      </c>
      <c r="Z758" s="282" t="s">
        <v>1592</v>
      </c>
      <c r="AA758" s="299"/>
      <c r="AB758" s="300" t="s">
        <v>225</v>
      </c>
      <c r="AC758" s="411" t="s">
        <v>2905</v>
      </c>
      <c r="AD758" s="302" t="s">
        <v>1042</v>
      </c>
      <c r="AE758" s="460" t="s">
        <v>2044</v>
      </c>
      <c r="AF758" s="302"/>
      <c r="AG758" s="302"/>
      <c r="AH758" s="261" t="s">
        <v>2904</v>
      </c>
      <c r="AI758" s="29"/>
    </row>
    <row r="759" spans="1:35">
      <c r="A759" s="51">
        <v>4417</v>
      </c>
      <c r="B759" s="81" t="str">
        <f t="shared" si="55"/>
        <v>1141</v>
      </c>
      <c r="C759" s="329" t="s">
        <v>1756</v>
      </c>
      <c r="D759" s="458" t="s">
        <v>2677</v>
      </c>
      <c r="E759" s="295" t="s">
        <v>1977</v>
      </c>
      <c r="F759" s="372" t="s">
        <v>1315</v>
      </c>
      <c r="G759" s="115" t="s">
        <v>1914</v>
      </c>
      <c r="H759" s="282" t="s">
        <v>637</v>
      </c>
      <c r="I759" s="295" t="s">
        <v>815</v>
      </c>
      <c r="J759" s="282" t="s">
        <v>0</v>
      </c>
      <c r="K759" s="282" t="s">
        <v>454</v>
      </c>
      <c r="L759" s="360" t="s">
        <v>1306</v>
      </c>
      <c r="M759" s="282" t="s">
        <v>1401</v>
      </c>
      <c r="N759" s="282" t="s">
        <v>1400</v>
      </c>
      <c r="O759" s="238" t="s">
        <v>1804</v>
      </c>
      <c r="P759" s="64" t="s">
        <v>1867</v>
      </c>
      <c r="Q759" s="297" t="s">
        <v>1903</v>
      </c>
      <c r="R759" s="298" t="s">
        <v>1229</v>
      </c>
      <c r="S759" s="340" t="s">
        <v>10</v>
      </c>
      <c r="T759" s="295" t="s">
        <v>449</v>
      </c>
      <c r="U759" s="332" t="s">
        <v>816</v>
      </c>
      <c r="V759" s="308" t="s">
        <v>599</v>
      </c>
      <c r="W759" s="298" t="s">
        <v>447</v>
      </c>
      <c r="X759" s="297" t="s">
        <v>521</v>
      </c>
      <c r="Y759" s="282" t="s">
        <v>1556</v>
      </c>
      <c r="Z759" s="282" t="s">
        <v>1593</v>
      </c>
      <c r="AA759" s="299"/>
      <c r="AB759" s="300" t="s">
        <v>225</v>
      </c>
      <c r="AC759" s="407" t="s">
        <v>2685</v>
      </c>
      <c r="AD759" s="302" t="s">
        <v>1042</v>
      </c>
      <c r="AE759" s="460" t="s">
        <v>2049</v>
      </c>
      <c r="AF759" s="302"/>
      <c r="AG759" s="302"/>
      <c r="AH759" s="402" t="str">
        <f t="shared" si="56"/>
        <v>[wzr2hi, 08.04.2025] Added 0.000.000.000-65 as PlaceholderBuild.PlaceholderPlant</v>
      </c>
      <c r="AI759" s="29"/>
    </row>
    <row r="760" spans="1:35" ht="26.4">
      <c r="A760" s="51">
        <v>4418</v>
      </c>
      <c r="B760" s="81" t="str">
        <f t="shared" si="55"/>
        <v>1142</v>
      </c>
      <c r="C760" s="329" t="s">
        <v>1929</v>
      </c>
      <c r="D760" s="458" t="s">
        <v>2676</v>
      </c>
      <c r="E760" s="295" t="s">
        <v>1977</v>
      </c>
      <c r="F760" s="373" t="s">
        <v>1408</v>
      </c>
      <c r="G760" s="167" t="s">
        <v>1915</v>
      </c>
      <c r="H760" s="282" t="s">
        <v>637</v>
      </c>
      <c r="I760" s="314" t="s">
        <v>4</v>
      </c>
      <c r="J760" s="282" t="s">
        <v>0</v>
      </c>
      <c r="K760" s="282" t="s">
        <v>478</v>
      </c>
      <c r="L760" s="360" t="s">
        <v>1306</v>
      </c>
      <c r="M760" s="282" t="s">
        <v>1403</v>
      </c>
      <c r="N760" s="282" t="s">
        <v>1215</v>
      </c>
      <c r="O760" s="238" t="s">
        <v>1804</v>
      </c>
      <c r="P760" s="64" t="s">
        <v>1867</v>
      </c>
      <c r="Q760" s="297" t="s">
        <v>1903</v>
      </c>
      <c r="R760" s="298" t="s">
        <v>1229</v>
      </c>
      <c r="S760" s="340" t="s">
        <v>10</v>
      </c>
      <c r="T760" s="295" t="s">
        <v>449</v>
      </c>
      <c r="U760" s="332" t="s">
        <v>816</v>
      </c>
      <c r="V760" s="308" t="s">
        <v>7</v>
      </c>
      <c r="W760" s="298" t="s">
        <v>447</v>
      </c>
      <c r="X760" s="64" t="s">
        <v>521</v>
      </c>
      <c r="Y760" s="282" t="s">
        <v>1556</v>
      </c>
      <c r="Z760" s="282" t="s">
        <v>1592</v>
      </c>
      <c r="AA760" s="299"/>
      <c r="AB760" s="300" t="s">
        <v>225</v>
      </c>
      <c r="AC760" s="407" t="s">
        <v>2686</v>
      </c>
      <c r="AD760" s="302" t="s">
        <v>1042</v>
      </c>
      <c r="AE760" s="460" t="s">
        <v>2078</v>
      </c>
      <c r="AF760" s="302"/>
      <c r="AG760" s="302"/>
      <c r="AH760" s="402" t="str">
        <f t="shared" si="56"/>
        <v>[wzr2hi, 08.04.2025] Added 0.000.000.000-66 as PlaceholderBuild.PlaceholderPlant</v>
      </c>
      <c r="AI760" s="29"/>
    </row>
    <row r="761" spans="1:35">
      <c r="A761" s="51">
        <v>4419</v>
      </c>
      <c r="B761" s="81" t="str">
        <f t="shared" si="55"/>
        <v>1143</v>
      </c>
      <c r="C761" s="329" t="s">
        <v>2668</v>
      </c>
      <c r="D761" s="458" t="s">
        <v>2676</v>
      </c>
      <c r="E761" s="295" t="s">
        <v>1977</v>
      </c>
      <c r="F761" s="373" t="s">
        <v>1408</v>
      </c>
      <c r="G761" s="167" t="s">
        <v>1915</v>
      </c>
      <c r="H761" s="282" t="s">
        <v>637</v>
      </c>
      <c r="I761" s="314" t="s">
        <v>4</v>
      </c>
      <c r="J761" s="282" t="s">
        <v>0</v>
      </c>
      <c r="K761" s="282" t="s">
        <v>478</v>
      </c>
      <c r="L761" s="360" t="s">
        <v>1306</v>
      </c>
      <c r="M761" s="282" t="s">
        <v>1403</v>
      </c>
      <c r="N761" s="282" t="s">
        <v>1215</v>
      </c>
      <c r="O761" s="296" t="s">
        <v>1803</v>
      </c>
      <c r="P761" s="64" t="s">
        <v>2105</v>
      </c>
      <c r="Q761" s="297" t="s">
        <v>1903</v>
      </c>
      <c r="R761" s="298" t="s">
        <v>1398</v>
      </c>
      <c r="S761" s="340" t="s">
        <v>10</v>
      </c>
      <c r="T761" s="295" t="s">
        <v>449</v>
      </c>
      <c r="U761" s="332" t="s">
        <v>816</v>
      </c>
      <c r="V761" s="308" t="s">
        <v>7</v>
      </c>
      <c r="W761" s="298" t="s">
        <v>447</v>
      </c>
      <c r="X761" s="297" t="s">
        <v>521</v>
      </c>
      <c r="Y761" s="282" t="s">
        <v>1556</v>
      </c>
      <c r="Z761" s="282" t="s">
        <v>1592</v>
      </c>
      <c r="AA761" s="299"/>
      <c r="AB761" s="300" t="s">
        <v>225</v>
      </c>
      <c r="AC761" s="411" t="s">
        <v>2908</v>
      </c>
      <c r="AD761" s="302" t="s">
        <v>1042</v>
      </c>
      <c r="AE761" s="460" t="s">
        <v>2045</v>
      </c>
      <c r="AF761" s="302"/>
      <c r="AG761" s="302"/>
      <c r="AH761" s="261" t="s">
        <v>2918</v>
      </c>
      <c r="AI761" s="29"/>
    </row>
    <row r="762" spans="1:35" ht="39.6">
      <c r="A762" s="51">
        <v>4420</v>
      </c>
      <c r="B762" s="81" t="str">
        <f t="shared" si="55"/>
        <v>1144</v>
      </c>
      <c r="C762" s="329" t="s">
        <v>1760</v>
      </c>
      <c r="D762" s="458" t="s">
        <v>2676</v>
      </c>
      <c r="E762" s="295" t="s">
        <v>1977</v>
      </c>
      <c r="F762" s="373" t="s">
        <v>1408</v>
      </c>
      <c r="G762" s="167" t="s">
        <v>1915</v>
      </c>
      <c r="H762" s="282" t="s">
        <v>637</v>
      </c>
      <c r="I762" s="314" t="s">
        <v>4</v>
      </c>
      <c r="J762" s="282" t="s">
        <v>0</v>
      </c>
      <c r="K762" s="282" t="s">
        <v>478</v>
      </c>
      <c r="L762" s="360" t="s">
        <v>1306</v>
      </c>
      <c r="M762" s="282" t="s">
        <v>1403</v>
      </c>
      <c r="N762" s="282" t="s">
        <v>1215</v>
      </c>
      <c r="O762" s="296" t="s">
        <v>1806</v>
      </c>
      <c r="P762" s="64" t="s">
        <v>1866</v>
      </c>
      <c r="Q762" s="297" t="s">
        <v>1903</v>
      </c>
      <c r="R762" s="298" t="s">
        <v>1228</v>
      </c>
      <c r="S762" s="340" t="s">
        <v>10</v>
      </c>
      <c r="T762" s="295" t="s">
        <v>449</v>
      </c>
      <c r="U762" s="332" t="s">
        <v>816</v>
      </c>
      <c r="V762" s="308" t="s">
        <v>7</v>
      </c>
      <c r="W762" s="298" t="s">
        <v>447</v>
      </c>
      <c r="X762" s="64" t="s">
        <v>521</v>
      </c>
      <c r="Y762" s="282" t="s">
        <v>1556</v>
      </c>
      <c r="Z762" s="282" t="s">
        <v>1592</v>
      </c>
      <c r="AA762" s="299"/>
      <c r="AB762" s="300" t="s">
        <v>225</v>
      </c>
      <c r="AC762" s="411" t="s">
        <v>2906</v>
      </c>
      <c r="AD762" s="302" t="s">
        <v>1042</v>
      </c>
      <c r="AE762" s="460" t="s">
        <v>2077</v>
      </c>
      <c r="AF762" s="302"/>
      <c r="AG762" s="302"/>
      <c r="AH762" s="261" t="s">
        <v>2907</v>
      </c>
      <c r="AI762" s="29"/>
    </row>
    <row r="763" spans="1:35" ht="26.4">
      <c r="A763" s="51">
        <v>4421</v>
      </c>
      <c r="B763" s="81" t="str">
        <f t="shared" si="55"/>
        <v>1145</v>
      </c>
      <c r="C763" s="329" t="s">
        <v>1762</v>
      </c>
      <c r="D763" s="458" t="s">
        <v>2677</v>
      </c>
      <c r="E763" s="295" t="s">
        <v>1977</v>
      </c>
      <c r="F763" s="372" t="s">
        <v>1315</v>
      </c>
      <c r="G763" s="115" t="s">
        <v>1914</v>
      </c>
      <c r="H763" s="282" t="s">
        <v>637</v>
      </c>
      <c r="I763" s="295" t="s">
        <v>815</v>
      </c>
      <c r="J763" s="282" t="s">
        <v>0</v>
      </c>
      <c r="K763" s="282" t="s">
        <v>454</v>
      </c>
      <c r="L763" s="360" t="s">
        <v>1306</v>
      </c>
      <c r="M763" s="282" t="s">
        <v>1401</v>
      </c>
      <c r="N763" s="282" t="s">
        <v>1400</v>
      </c>
      <c r="O763" s="296" t="s">
        <v>1806</v>
      </c>
      <c r="P763" s="64" t="s">
        <v>1866</v>
      </c>
      <c r="Q763" s="297" t="s">
        <v>1903</v>
      </c>
      <c r="R763" s="298" t="s">
        <v>1228</v>
      </c>
      <c r="S763" s="340" t="s">
        <v>10</v>
      </c>
      <c r="T763" s="295" t="s">
        <v>449</v>
      </c>
      <c r="U763" s="332" t="s">
        <v>816</v>
      </c>
      <c r="V763" s="308" t="s">
        <v>604</v>
      </c>
      <c r="W763" s="298" t="s">
        <v>447</v>
      </c>
      <c r="X763" s="297" t="s">
        <v>521</v>
      </c>
      <c r="Y763" s="282" t="s">
        <v>1556</v>
      </c>
      <c r="Z763" s="282" t="s">
        <v>1593</v>
      </c>
      <c r="AA763" s="299"/>
      <c r="AB763" s="300" t="s">
        <v>225</v>
      </c>
      <c r="AC763" s="407" t="s">
        <v>2687</v>
      </c>
      <c r="AD763" s="302" t="s">
        <v>1042</v>
      </c>
      <c r="AE763" s="460" t="s">
        <v>2043</v>
      </c>
      <c r="AF763" s="302"/>
      <c r="AG763" s="302"/>
      <c r="AH763" s="402" t="str">
        <f t="shared" si="56"/>
        <v>[wzr2hi, 08.04.2025] Added 0.000.000.000-69 as PlaceholderBuild.PlaceholderPlant</v>
      </c>
      <c r="AI763" s="29"/>
    </row>
    <row r="764" spans="1:35" ht="26.4">
      <c r="A764" s="51">
        <v>4422</v>
      </c>
      <c r="B764" s="81" t="str">
        <f t="shared" si="55"/>
        <v>1146</v>
      </c>
      <c r="C764" s="329" t="s">
        <v>1768</v>
      </c>
      <c r="D764" s="458" t="s">
        <v>2677</v>
      </c>
      <c r="E764" s="295" t="s">
        <v>1977</v>
      </c>
      <c r="F764" s="372" t="s">
        <v>1315</v>
      </c>
      <c r="G764" s="115" t="s">
        <v>1914</v>
      </c>
      <c r="H764" s="282" t="s">
        <v>637</v>
      </c>
      <c r="I764" s="295" t="s">
        <v>815</v>
      </c>
      <c r="J764" s="282" t="s">
        <v>0</v>
      </c>
      <c r="K764" s="282" t="s">
        <v>454</v>
      </c>
      <c r="L764" s="360" t="s">
        <v>1306</v>
      </c>
      <c r="M764" s="282" t="s">
        <v>1401</v>
      </c>
      <c r="N764" s="282" t="s">
        <v>1400</v>
      </c>
      <c r="O764" s="296" t="s">
        <v>1806</v>
      </c>
      <c r="P764" s="64" t="s">
        <v>1866</v>
      </c>
      <c r="Q764" s="297" t="s">
        <v>1903</v>
      </c>
      <c r="R764" s="298" t="s">
        <v>1398</v>
      </c>
      <c r="S764" s="340" t="s">
        <v>10</v>
      </c>
      <c r="T764" s="295" t="s">
        <v>449</v>
      </c>
      <c r="U764" s="332" t="s">
        <v>816</v>
      </c>
      <c r="V764" s="342" t="s">
        <v>951</v>
      </c>
      <c r="W764" s="298" t="s">
        <v>447</v>
      </c>
      <c r="X764" s="64" t="s">
        <v>521</v>
      </c>
      <c r="Y764" s="282" t="s">
        <v>1556</v>
      </c>
      <c r="Z764" s="282" t="s">
        <v>1593</v>
      </c>
      <c r="AA764" s="299"/>
      <c r="AB764" s="300" t="s">
        <v>225</v>
      </c>
      <c r="AC764" s="407" t="s">
        <v>2688</v>
      </c>
      <c r="AD764" s="302" t="s">
        <v>1042</v>
      </c>
      <c r="AE764" s="460" t="s">
        <v>2051</v>
      </c>
      <c r="AF764" s="302"/>
      <c r="AG764" s="302"/>
      <c r="AH764" s="402" t="str">
        <f t="shared" si="56"/>
        <v>[wzr2hi, 08.04.2025] Added 0.000.000.000-70 as PlaceholderBuild.PlaceholderPlant</v>
      </c>
      <c r="AI764" s="29"/>
    </row>
    <row r="765" spans="1:35" ht="26.4">
      <c r="A765" s="51">
        <v>4423</v>
      </c>
      <c r="B765" s="81" t="str">
        <f t="shared" si="55"/>
        <v>1147</v>
      </c>
      <c r="C765" s="329" t="s">
        <v>1769</v>
      </c>
      <c r="D765" s="458" t="s">
        <v>2677</v>
      </c>
      <c r="E765" s="295" t="s">
        <v>1977</v>
      </c>
      <c r="F765" s="372" t="s">
        <v>1315</v>
      </c>
      <c r="G765" s="115" t="s">
        <v>1914</v>
      </c>
      <c r="H765" s="282" t="s">
        <v>637</v>
      </c>
      <c r="I765" s="295" t="s">
        <v>815</v>
      </c>
      <c r="J765" s="282" t="s">
        <v>0</v>
      </c>
      <c r="K765" s="282" t="s">
        <v>454</v>
      </c>
      <c r="L765" s="360" t="s">
        <v>1306</v>
      </c>
      <c r="M765" s="282" t="s">
        <v>1401</v>
      </c>
      <c r="N765" s="282" t="s">
        <v>1400</v>
      </c>
      <c r="O765" s="296" t="s">
        <v>1803</v>
      </c>
      <c r="P765" s="64" t="s">
        <v>2105</v>
      </c>
      <c r="Q765" s="297" t="s">
        <v>1903</v>
      </c>
      <c r="R765" s="298" t="s">
        <v>1398</v>
      </c>
      <c r="S765" s="340" t="s">
        <v>10</v>
      </c>
      <c r="T765" s="295" t="s">
        <v>449</v>
      </c>
      <c r="U765" s="332" t="s">
        <v>816</v>
      </c>
      <c r="V765" s="342" t="s">
        <v>833</v>
      </c>
      <c r="W765" s="298" t="s">
        <v>447</v>
      </c>
      <c r="X765" s="297" t="s">
        <v>521</v>
      </c>
      <c r="Y765" s="282" t="s">
        <v>1556</v>
      </c>
      <c r="Z765" s="282" t="s">
        <v>1593</v>
      </c>
      <c r="AA765" s="299"/>
      <c r="AB765" s="300" t="s">
        <v>225</v>
      </c>
      <c r="AC765" s="407" t="s">
        <v>2689</v>
      </c>
      <c r="AD765" s="302" t="s">
        <v>1042</v>
      </c>
      <c r="AE765" s="460" t="s">
        <v>2051</v>
      </c>
      <c r="AF765" s="302"/>
      <c r="AG765" s="302"/>
      <c r="AH765" s="402" t="str">
        <f t="shared" si="56"/>
        <v>[wzr2hi, 08.04.2025] Added 0.000.000.000-71 as PlaceholderBuild.PlaceholderPlant</v>
      </c>
      <c r="AI765" s="29"/>
    </row>
    <row r="766" spans="1:35" ht="26.4">
      <c r="A766" s="51">
        <v>4424</v>
      </c>
      <c r="B766" s="81" t="str">
        <f t="shared" si="55"/>
        <v>1148</v>
      </c>
      <c r="C766" s="329" t="s">
        <v>2089</v>
      </c>
      <c r="D766" s="458" t="s">
        <v>2676</v>
      </c>
      <c r="E766" s="295" t="s">
        <v>1977</v>
      </c>
      <c r="F766" s="373" t="s">
        <v>1408</v>
      </c>
      <c r="G766" s="167" t="s">
        <v>1915</v>
      </c>
      <c r="H766" s="282" t="s">
        <v>637</v>
      </c>
      <c r="I766" s="314" t="s">
        <v>4</v>
      </c>
      <c r="J766" s="282" t="s">
        <v>0</v>
      </c>
      <c r="K766" s="282" t="s">
        <v>478</v>
      </c>
      <c r="L766" s="360" t="s">
        <v>1306</v>
      </c>
      <c r="M766" s="282" t="s">
        <v>1403</v>
      </c>
      <c r="N766" s="282" t="s">
        <v>1215</v>
      </c>
      <c r="O766" s="296" t="s">
        <v>1803</v>
      </c>
      <c r="P766" s="64" t="s">
        <v>2105</v>
      </c>
      <c r="Q766" s="297" t="s">
        <v>1903</v>
      </c>
      <c r="R766" s="298" t="s">
        <v>1398</v>
      </c>
      <c r="S766" s="340" t="s">
        <v>10</v>
      </c>
      <c r="T766" s="295" t="s">
        <v>449</v>
      </c>
      <c r="U766" s="332" t="s">
        <v>816</v>
      </c>
      <c r="V766" s="308" t="s">
        <v>7</v>
      </c>
      <c r="W766" s="298" t="s">
        <v>447</v>
      </c>
      <c r="X766" s="64" t="s">
        <v>521</v>
      </c>
      <c r="Y766" s="282" t="s">
        <v>1556</v>
      </c>
      <c r="Z766" s="282" t="s">
        <v>1592</v>
      </c>
      <c r="AA766" s="299"/>
      <c r="AB766" s="300" t="s">
        <v>225</v>
      </c>
      <c r="AC766" s="407" t="s">
        <v>2690</v>
      </c>
      <c r="AD766" s="302" t="s">
        <v>1042</v>
      </c>
      <c r="AE766" s="460" t="s">
        <v>2075</v>
      </c>
      <c r="AF766" s="302"/>
      <c r="AG766" s="302"/>
      <c r="AH766" s="402" t="str">
        <f t="shared" si="56"/>
        <v>[wzr2hi, 08.04.2025] Added 0.000.000.000-72 as PlaceholderBuild.PlaceholderPlant</v>
      </c>
      <c r="AI766" s="29"/>
    </row>
    <row r="767" spans="1:35">
      <c r="A767" s="51">
        <v>4425</v>
      </c>
      <c r="B767" s="81" t="str">
        <f t="shared" si="55"/>
        <v>1149</v>
      </c>
      <c r="C767" s="329" t="s">
        <v>1763</v>
      </c>
      <c r="D767" s="458" t="s">
        <v>2677</v>
      </c>
      <c r="E767" s="295" t="s">
        <v>1977</v>
      </c>
      <c r="F767" s="372" t="s">
        <v>1315</v>
      </c>
      <c r="G767" s="115" t="s">
        <v>1914</v>
      </c>
      <c r="H767" s="282" t="s">
        <v>637</v>
      </c>
      <c r="I767" s="295" t="s">
        <v>815</v>
      </c>
      <c r="J767" s="282" t="s">
        <v>0</v>
      </c>
      <c r="K767" s="282" t="s">
        <v>454</v>
      </c>
      <c r="L767" s="360" t="s">
        <v>1306</v>
      </c>
      <c r="M767" s="282" t="s">
        <v>1401</v>
      </c>
      <c r="N767" s="282" t="s">
        <v>1400</v>
      </c>
      <c r="O767" s="296" t="s">
        <v>1805</v>
      </c>
      <c r="P767" s="64" t="s">
        <v>1867</v>
      </c>
      <c r="Q767" s="297" t="s">
        <v>1903</v>
      </c>
      <c r="R767" s="298" t="s">
        <v>1229</v>
      </c>
      <c r="S767" s="340" t="s">
        <v>10</v>
      </c>
      <c r="T767" s="295" t="s">
        <v>449</v>
      </c>
      <c r="U767" s="332" t="s">
        <v>816</v>
      </c>
      <c r="V767" s="342" t="s">
        <v>831</v>
      </c>
      <c r="W767" s="298" t="s">
        <v>447</v>
      </c>
      <c r="X767" s="297" t="s">
        <v>521</v>
      </c>
      <c r="Y767" s="282" t="s">
        <v>1556</v>
      </c>
      <c r="Z767" s="282" t="s">
        <v>1593</v>
      </c>
      <c r="AA767" s="299"/>
      <c r="AB767" s="300" t="s">
        <v>225</v>
      </c>
      <c r="AC767" s="407" t="s">
        <v>2691</v>
      </c>
      <c r="AD767" s="302" t="s">
        <v>1042</v>
      </c>
      <c r="AE767" s="460" t="s">
        <v>2046</v>
      </c>
      <c r="AF767" s="302"/>
      <c r="AG767" s="302"/>
      <c r="AH767" s="402" t="str">
        <f t="shared" si="56"/>
        <v>[wzr2hi, 08.04.2025] Added 0.000.000.000-73 as PlaceholderBuild.PlaceholderPlant</v>
      </c>
      <c r="AI767" s="29"/>
    </row>
    <row r="768" spans="1:35">
      <c r="A768" s="51">
        <v>4426</v>
      </c>
      <c r="B768" s="81" t="str">
        <f t="shared" si="55"/>
        <v>114A</v>
      </c>
      <c r="C768" s="329" t="s">
        <v>1764</v>
      </c>
      <c r="D768" s="458" t="s">
        <v>2677</v>
      </c>
      <c r="E768" s="295" t="s">
        <v>1977</v>
      </c>
      <c r="F768" s="372" t="s">
        <v>1315</v>
      </c>
      <c r="G768" s="115" t="s">
        <v>1914</v>
      </c>
      <c r="H768" s="282" t="s">
        <v>637</v>
      </c>
      <c r="I768" s="295" t="s">
        <v>815</v>
      </c>
      <c r="J768" s="282" t="s">
        <v>0</v>
      </c>
      <c r="K768" s="282" t="s">
        <v>454</v>
      </c>
      <c r="L768" s="360" t="s">
        <v>1306</v>
      </c>
      <c r="M768" s="282" t="s">
        <v>1401</v>
      </c>
      <c r="N768" s="282" t="s">
        <v>1400</v>
      </c>
      <c r="O768" s="238" t="s">
        <v>1804</v>
      </c>
      <c r="P768" s="64" t="s">
        <v>1867</v>
      </c>
      <c r="Q768" s="297" t="s">
        <v>1903</v>
      </c>
      <c r="R768" s="298" t="s">
        <v>1229</v>
      </c>
      <c r="S768" s="340" t="s">
        <v>10</v>
      </c>
      <c r="T768" s="295" t="s">
        <v>449</v>
      </c>
      <c r="U768" s="332" t="s">
        <v>816</v>
      </c>
      <c r="V768" s="342" t="s">
        <v>949</v>
      </c>
      <c r="W768" s="298" t="s">
        <v>447</v>
      </c>
      <c r="X768" s="64" t="s">
        <v>521</v>
      </c>
      <c r="Y768" s="282" t="s">
        <v>1556</v>
      </c>
      <c r="Z768" s="282" t="s">
        <v>1593</v>
      </c>
      <c r="AA768" s="299"/>
      <c r="AB768" s="300" t="s">
        <v>225</v>
      </c>
      <c r="AC768" s="407" t="s">
        <v>2692</v>
      </c>
      <c r="AD768" s="302" t="s">
        <v>1042</v>
      </c>
      <c r="AE768" s="460" t="s">
        <v>2047</v>
      </c>
      <c r="AF768" s="302"/>
      <c r="AG768" s="302"/>
      <c r="AH768" s="402" t="str">
        <f t="shared" si="56"/>
        <v>[wzr2hi, 08.04.2025] Added 0.000.000.000-74 as PlaceholderBuild.PlaceholderPlant</v>
      </c>
      <c r="AI768" s="29"/>
    </row>
    <row r="769" spans="1:35">
      <c r="A769" s="51">
        <v>4427</v>
      </c>
      <c r="B769" s="81" t="str">
        <f t="shared" si="55"/>
        <v>114B</v>
      </c>
      <c r="C769" s="329" t="s">
        <v>1928</v>
      </c>
      <c r="D769" s="458" t="s">
        <v>2677</v>
      </c>
      <c r="E769" s="295" t="s">
        <v>1977</v>
      </c>
      <c r="F769" s="371" t="s">
        <v>1230</v>
      </c>
      <c r="G769" s="252" t="s">
        <v>1918</v>
      </c>
      <c r="H769" s="282" t="s">
        <v>637</v>
      </c>
      <c r="I769" s="295" t="s">
        <v>815</v>
      </c>
      <c r="J769" s="282" t="s">
        <v>0</v>
      </c>
      <c r="K769" s="282" t="s">
        <v>452</v>
      </c>
      <c r="L769" s="297" t="s">
        <v>2318</v>
      </c>
      <c r="M769" s="282" t="s">
        <v>1401</v>
      </c>
      <c r="N769" s="282" t="s">
        <v>1400</v>
      </c>
      <c r="O769" s="238" t="s">
        <v>1804</v>
      </c>
      <c r="P769" s="64" t="s">
        <v>1867</v>
      </c>
      <c r="Q769" s="297" t="s">
        <v>1903</v>
      </c>
      <c r="R769" s="298" t="s">
        <v>1229</v>
      </c>
      <c r="S769" s="340" t="s">
        <v>10</v>
      </c>
      <c r="T769" s="295" t="s">
        <v>449</v>
      </c>
      <c r="U769" s="332" t="s">
        <v>816</v>
      </c>
      <c r="V769" s="342" t="s">
        <v>1244</v>
      </c>
      <c r="W769" s="298" t="s">
        <v>447</v>
      </c>
      <c r="X769" s="297" t="s">
        <v>521</v>
      </c>
      <c r="Y769" s="282" t="s">
        <v>1556</v>
      </c>
      <c r="Z769" s="282" t="s">
        <v>1593</v>
      </c>
      <c r="AA769" s="299"/>
      <c r="AB769" s="300" t="s">
        <v>225</v>
      </c>
      <c r="AC769" s="407" t="s">
        <v>2693</v>
      </c>
      <c r="AD769" s="302" t="s">
        <v>1042</v>
      </c>
      <c r="AE769" s="460" t="s">
        <v>2048</v>
      </c>
      <c r="AF769" s="302"/>
      <c r="AG769" s="302"/>
      <c r="AH769" s="402" t="str">
        <f t="shared" si="56"/>
        <v>[wzr2hi, 08.04.2025] Added 0.000.000.000-75 as PlaceholderBuild.PlaceholderPlant</v>
      </c>
      <c r="AI769" s="29"/>
    </row>
    <row r="770" spans="1:35">
      <c r="A770" s="51">
        <v>4428</v>
      </c>
      <c r="B770" s="81" t="str">
        <f t="shared" si="55"/>
        <v>114C</v>
      </c>
      <c r="C770" s="329" t="s">
        <v>1745</v>
      </c>
      <c r="D770" s="458" t="s">
        <v>2677</v>
      </c>
      <c r="E770" s="295" t="s">
        <v>1977</v>
      </c>
      <c r="F770" s="371" t="s">
        <v>1230</v>
      </c>
      <c r="G770" s="252" t="s">
        <v>1918</v>
      </c>
      <c r="H770" s="282" t="s">
        <v>637</v>
      </c>
      <c r="I770" s="295" t="s">
        <v>815</v>
      </c>
      <c r="J770" s="282" t="s">
        <v>0</v>
      </c>
      <c r="K770" s="282" t="s">
        <v>452</v>
      </c>
      <c r="L770" s="297" t="s">
        <v>2318</v>
      </c>
      <c r="M770" s="282" t="s">
        <v>1401</v>
      </c>
      <c r="N770" s="282" t="s">
        <v>1400</v>
      </c>
      <c r="O770" s="238" t="s">
        <v>1804</v>
      </c>
      <c r="P770" s="64" t="s">
        <v>1867</v>
      </c>
      <c r="Q770" s="297" t="s">
        <v>1903</v>
      </c>
      <c r="R770" s="298" t="s">
        <v>1229</v>
      </c>
      <c r="S770" s="340" t="s">
        <v>10</v>
      </c>
      <c r="T770" s="295" t="s">
        <v>449</v>
      </c>
      <c r="U770" s="332" t="s">
        <v>816</v>
      </c>
      <c r="V770" s="342" t="s">
        <v>931</v>
      </c>
      <c r="W770" s="298" t="s">
        <v>447</v>
      </c>
      <c r="X770" s="64" t="s">
        <v>521</v>
      </c>
      <c r="Y770" s="282" t="s">
        <v>1556</v>
      </c>
      <c r="Z770" s="282" t="s">
        <v>1593</v>
      </c>
      <c r="AA770" s="299"/>
      <c r="AB770" s="300" t="s">
        <v>225</v>
      </c>
      <c r="AC770" s="407" t="s">
        <v>2694</v>
      </c>
      <c r="AD770" s="302" t="s">
        <v>1042</v>
      </c>
      <c r="AE770" s="460" t="s">
        <v>2049</v>
      </c>
      <c r="AF770" s="302"/>
      <c r="AG770" s="302"/>
      <c r="AH770" s="402" t="str">
        <f t="shared" si="56"/>
        <v>[wzr2hi, 08.04.2025] Added 0.000.000.000-76 as PlaceholderBuild.PlaceholderPlant</v>
      </c>
      <c r="AI770" s="29"/>
    </row>
    <row r="771" spans="1:35">
      <c r="A771" s="51">
        <v>4429</v>
      </c>
      <c r="B771" s="81" t="str">
        <f t="shared" si="55"/>
        <v>114D</v>
      </c>
      <c r="C771" s="329" t="s">
        <v>1751</v>
      </c>
      <c r="D771" s="458" t="s">
        <v>2677</v>
      </c>
      <c r="E771" s="295" t="s">
        <v>1977</v>
      </c>
      <c r="F771" s="371" t="s">
        <v>1230</v>
      </c>
      <c r="G771" s="252" t="s">
        <v>1918</v>
      </c>
      <c r="H771" s="282" t="s">
        <v>637</v>
      </c>
      <c r="I771" s="295" t="s">
        <v>815</v>
      </c>
      <c r="J771" s="282" t="s">
        <v>0</v>
      </c>
      <c r="K771" s="282" t="s">
        <v>452</v>
      </c>
      <c r="L771" s="297" t="s">
        <v>2318</v>
      </c>
      <c r="M771" s="282" t="s">
        <v>1401</v>
      </c>
      <c r="N771" s="282" t="s">
        <v>1400</v>
      </c>
      <c r="O771" s="296" t="s">
        <v>1806</v>
      </c>
      <c r="P771" s="64" t="s">
        <v>1866</v>
      </c>
      <c r="Q771" s="297" t="s">
        <v>1903</v>
      </c>
      <c r="R771" s="298" t="s">
        <v>1229</v>
      </c>
      <c r="S771" s="340" t="s">
        <v>10</v>
      </c>
      <c r="T771" s="295" t="s">
        <v>449</v>
      </c>
      <c r="U771" s="332" t="s">
        <v>816</v>
      </c>
      <c r="V771" s="342" t="s">
        <v>930</v>
      </c>
      <c r="W771" s="298" t="s">
        <v>447</v>
      </c>
      <c r="X771" s="297" t="s">
        <v>521</v>
      </c>
      <c r="Y771" s="282" t="s">
        <v>1556</v>
      </c>
      <c r="Z771" s="282" t="s">
        <v>1593</v>
      </c>
      <c r="AA771" s="299"/>
      <c r="AB771" s="300" t="s">
        <v>225</v>
      </c>
      <c r="AC771" s="407" t="s">
        <v>2695</v>
      </c>
      <c r="AD771" s="302" t="s">
        <v>1042</v>
      </c>
      <c r="AE771" s="460" t="s">
        <v>2050</v>
      </c>
      <c r="AF771" s="302"/>
      <c r="AG771" s="302"/>
      <c r="AH771" s="402" t="str">
        <f t="shared" si="56"/>
        <v>[wzr2hi, 08.04.2025] Added 0.000.000.000-77 as PlaceholderBuild.PlaceholderPlant</v>
      </c>
      <c r="AI771" s="29"/>
    </row>
    <row r="772" spans="1:35">
      <c r="A772" s="51">
        <v>4430</v>
      </c>
      <c r="B772" s="81" t="str">
        <f t="shared" si="55"/>
        <v>114E</v>
      </c>
      <c r="C772" s="329" t="s">
        <v>1749</v>
      </c>
      <c r="D772" s="458" t="s">
        <v>2677</v>
      </c>
      <c r="E772" s="295" t="s">
        <v>1977</v>
      </c>
      <c r="F772" s="371" t="s">
        <v>1230</v>
      </c>
      <c r="G772" s="252" t="s">
        <v>1918</v>
      </c>
      <c r="H772" s="282" t="s">
        <v>637</v>
      </c>
      <c r="I772" s="295" t="s">
        <v>815</v>
      </c>
      <c r="J772" s="282" t="s">
        <v>0</v>
      </c>
      <c r="K772" s="282" t="s">
        <v>452</v>
      </c>
      <c r="L772" s="297" t="s">
        <v>2318</v>
      </c>
      <c r="M772" s="282" t="s">
        <v>1401</v>
      </c>
      <c r="N772" s="282" t="s">
        <v>1400</v>
      </c>
      <c r="O772" s="238" t="s">
        <v>1801</v>
      </c>
      <c r="P772" s="64" t="s">
        <v>1866</v>
      </c>
      <c r="Q772" s="297" t="s">
        <v>1903</v>
      </c>
      <c r="R772" s="298" t="s">
        <v>1228</v>
      </c>
      <c r="S772" s="340" t="s">
        <v>10</v>
      </c>
      <c r="T772" s="295" t="s">
        <v>449</v>
      </c>
      <c r="U772" s="332" t="s">
        <v>816</v>
      </c>
      <c r="V772" s="308" t="s">
        <v>1989</v>
      </c>
      <c r="W772" s="298" t="s">
        <v>447</v>
      </c>
      <c r="X772" s="64" t="s">
        <v>521</v>
      </c>
      <c r="Y772" s="282" t="s">
        <v>1556</v>
      </c>
      <c r="Z772" s="282" t="s">
        <v>1593</v>
      </c>
      <c r="AA772" s="299"/>
      <c r="AB772" s="300" t="s">
        <v>225</v>
      </c>
      <c r="AC772" s="407" t="s">
        <v>2696</v>
      </c>
      <c r="AD772" s="302" t="s">
        <v>1042</v>
      </c>
      <c r="AE772" s="460" t="s">
        <v>2057</v>
      </c>
      <c r="AF772" s="302"/>
      <c r="AG772" s="302"/>
      <c r="AH772" s="402" t="str">
        <f t="shared" si="56"/>
        <v>[wzr2hi, 08.04.2025] Added 0.000.000.000-78 as PlaceholderBuild.PlaceholderPlant</v>
      </c>
      <c r="AI772" s="29"/>
    </row>
    <row r="773" spans="1:35">
      <c r="A773" s="51">
        <v>4431</v>
      </c>
      <c r="B773" s="81" t="str">
        <f t="shared" si="55"/>
        <v>114F</v>
      </c>
      <c r="C773" s="329" t="s">
        <v>2092</v>
      </c>
      <c r="D773" s="458" t="s">
        <v>2677</v>
      </c>
      <c r="E773" s="295" t="s">
        <v>1977</v>
      </c>
      <c r="F773" s="371" t="s">
        <v>1230</v>
      </c>
      <c r="G773" s="252" t="s">
        <v>1918</v>
      </c>
      <c r="H773" s="282" t="s">
        <v>637</v>
      </c>
      <c r="I773" s="295" t="s">
        <v>815</v>
      </c>
      <c r="J773" s="282" t="s">
        <v>0</v>
      </c>
      <c r="K773" s="282" t="s">
        <v>452</v>
      </c>
      <c r="L773" s="297" t="s">
        <v>2318</v>
      </c>
      <c r="M773" s="282" t="s">
        <v>1401</v>
      </c>
      <c r="N773" s="282" t="s">
        <v>1400</v>
      </c>
      <c r="O773" s="296" t="s">
        <v>1805</v>
      </c>
      <c r="P773" s="64" t="s">
        <v>1867</v>
      </c>
      <c r="Q773" s="297" t="s">
        <v>1903</v>
      </c>
      <c r="R773" s="298" t="s">
        <v>1229</v>
      </c>
      <c r="S773" s="340" t="s">
        <v>10</v>
      </c>
      <c r="T773" s="295" t="s">
        <v>449</v>
      </c>
      <c r="U773" s="332" t="s">
        <v>816</v>
      </c>
      <c r="V773" s="342" t="s">
        <v>787</v>
      </c>
      <c r="W773" s="298" t="s">
        <v>447</v>
      </c>
      <c r="X773" s="297" t="s">
        <v>521</v>
      </c>
      <c r="Y773" s="282" t="s">
        <v>1556</v>
      </c>
      <c r="Z773" s="282" t="s">
        <v>1593</v>
      </c>
      <c r="AA773" s="299"/>
      <c r="AB773" s="300" t="s">
        <v>225</v>
      </c>
      <c r="AC773" s="407" t="s">
        <v>2697</v>
      </c>
      <c r="AD773" s="302" t="s">
        <v>1042</v>
      </c>
      <c r="AE773" s="460"/>
      <c r="AF773" s="302"/>
      <c r="AG773" s="302"/>
      <c r="AH773" s="402" t="str">
        <f t="shared" si="56"/>
        <v>[wzr2hi, 08.04.2025] Added 0.000.000.000-79 as PlaceholderBuild.PlaceholderPlant</v>
      </c>
      <c r="AI773" s="29"/>
    </row>
    <row r="774" spans="1:35" ht="26.4">
      <c r="A774" s="51">
        <v>4432</v>
      </c>
      <c r="B774" s="81" t="str">
        <f t="shared" si="55"/>
        <v>1150</v>
      </c>
      <c r="C774" s="329" t="s">
        <v>1747</v>
      </c>
      <c r="D774" s="458" t="s">
        <v>2677</v>
      </c>
      <c r="E774" s="295" t="s">
        <v>1977</v>
      </c>
      <c r="F774" s="371" t="s">
        <v>1230</v>
      </c>
      <c r="G774" s="252" t="s">
        <v>1918</v>
      </c>
      <c r="H774" s="282" t="s">
        <v>637</v>
      </c>
      <c r="I774" s="295" t="s">
        <v>815</v>
      </c>
      <c r="J774" s="282" t="s">
        <v>0</v>
      </c>
      <c r="K774" s="282" t="s">
        <v>452</v>
      </c>
      <c r="L774" s="297" t="s">
        <v>2318</v>
      </c>
      <c r="M774" s="282" t="s">
        <v>1401</v>
      </c>
      <c r="N774" s="282" t="s">
        <v>1400</v>
      </c>
      <c r="O774" s="238" t="s">
        <v>1804</v>
      </c>
      <c r="P774" s="64" t="s">
        <v>1867</v>
      </c>
      <c r="Q774" s="297" t="s">
        <v>1903</v>
      </c>
      <c r="R774" s="298" t="s">
        <v>1229</v>
      </c>
      <c r="S774" s="340" t="s">
        <v>10</v>
      </c>
      <c r="T774" s="295" t="s">
        <v>449</v>
      </c>
      <c r="U774" s="332" t="s">
        <v>816</v>
      </c>
      <c r="V774" s="308" t="s">
        <v>994</v>
      </c>
      <c r="W774" s="298" t="s">
        <v>447</v>
      </c>
      <c r="X774" s="64" t="s">
        <v>521</v>
      </c>
      <c r="Y774" s="282" t="s">
        <v>1556</v>
      </c>
      <c r="Z774" s="282" t="s">
        <v>1593</v>
      </c>
      <c r="AA774" s="299"/>
      <c r="AB774" s="300" t="s">
        <v>225</v>
      </c>
      <c r="AC774" s="407" t="s">
        <v>2698</v>
      </c>
      <c r="AD774" s="302" t="s">
        <v>1042</v>
      </c>
      <c r="AE774" s="460" t="s">
        <v>2482</v>
      </c>
      <c r="AF774" s="302"/>
      <c r="AG774" s="302"/>
      <c r="AH774" s="402" t="str">
        <f t="shared" si="56"/>
        <v>[wzr2hi, 08.04.2025] Added 0.000.000.000-80 as PlaceholderBuild.PlaceholderPlant</v>
      </c>
      <c r="AI774" s="29"/>
    </row>
    <row r="775" spans="1:35">
      <c r="A775" s="51">
        <v>4433</v>
      </c>
      <c r="B775" s="81" t="str">
        <f t="shared" si="55"/>
        <v>1151</v>
      </c>
      <c r="C775" s="329" t="s">
        <v>1750</v>
      </c>
      <c r="D775" s="458" t="s">
        <v>2677</v>
      </c>
      <c r="E775" s="295" t="s">
        <v>1977</v>
      </c>
      <c r="F775" s="371" t="s">
        <v>1230</v>
      </c>
      <c r="G775" s="252" t="s">
        <v>1918</v>
      </c>
      <c r="H775" s="282" t="s">
        <v>637</v>
      </c>
      <c r="I775" s="295" t="s">
        <v>815</v>
      </c>
      <c r="J775" s="282" t="s">
        <v>0</v>
      </c>
      <c r="K775" s="282" t="s">
        <v>452</v>
      </c>
      <c r="L775" s="297" t="s">
        <v>2318</v>
      </c>
      <c r="M775" s="282" t="s">
        <v>1401</v>
      </c>
      <c r="N775" s="282" t="s">
        <v>1400</v>
      </c>
      <c r="O775" s="296" t="s">
        <v>1803</v>
      </c>
      <c r="P775" s="64" t="s">
        <v>2105</v>
      </c>
      <c r="Q775" s="297" t="s">
        <v>1903</v>
      </c>
      <c r="R775" s="298" t="s">
        <v>1229</v>
      </c>
      <c r="S775" s="340" t="s">
        <v>10</v>
      </c>
      <c r="T775" s="295" t="s">
        <v>449</v>
      </c>
      <c r="U775" s="332" t="s">
        <v>816</v>
      </c>
      <c r="V775" s="342" t="s">
        <v>786</v>
      </c>
      <c r="W775" s="298" t="s">
        <v>447</v>
      </c>
      <c r="X775" s="297" t="s">
        <v>521</v>
      </c>
      <c r="Y775" s="282" t="s">
        <v>1556</v>
      </c>
      <c r="Z775" s="282" t="s">
        <v>1593</v>
      </c>
      <c r="AA775" s="299"/>
      <c r="AB775" s="300" t="s">
        <v>225</v>
      </c>
      <c r="AC775" s="407" t="s">
        <v>2699</v>
      </c>
      <c r="AD775" s="302" t="s">
        <v>1042</v>
      </c>
      <c r="AE775" s="460" t="s">
        <v>2486</v>
      </c>
      <c r="AF775" s="302"/>
      <c r="AG775" s="302"/>
      <c r="AH775" s="402" t="str">
        <f t="shared" si="56"/>
        <v>[wzr2hi, 08.04.2025] Added 0.000.000.000-81 as PlaceholderBuild.PlaceholderPlant</v>
      </c>
      <c r="AI775" s="29"/>
    </row>
    <row r="776" spans="1:35">
      <c r="A776" s="51">
        <v>4434</v>
      </c>
      <c r="B776" s="81" t="str">
        <f t="shared" si="55"/>
        <v>1152</v>
      </c>
      <c r="C776" s="329" t="s">
        <v>1752</v>
      </c>
      <c r="D776" s="458" t="s">
        <v>2677</v>
      </c>
      <c r="E776" s="295" t="s">
        <v>1977</v>
      </c>
      <c r="F776" s="371" t="s">
        <v>1230</v>
      </c>
      <c r="G776" s="252" t="s">
        <v>1918</v>
      </c>
      <c r="H776" s="282" t="s">
        <v>637</v>
      </c>
      <c r="I776" s="295" t="s">
        <v>815</v>
      </c>
      <c r="J776" s="282" t="s">
        <v>0</v>
      </c>
      <c r="K776" s="282" t="s">
        <v>452</v>
      </c>
      <c r="L776" s="297" t="s">
        <v>2318</v>
      </c>
      <c r="M776" s="282" t="s">
        <v>1401</v>
      </c>
      <c r="N776" s="282" t="s">
        <v>1400</v>
      </c>
      <c r="O776" s="296" t="s">
        <v>1806</v>
      </c>
      <c r="P776" s="64" t="s">
        <v>1866</v>
      </c>
      <c r="Q776" s="297" t="s">
        <v>1903</v>
      </c>
      <c r="R776" s="298" t="s">
        <v>1229</v>
      </c>
      <c r="S776" s="340" t="s">
        <v>10</v>
      </c>
      <c r="T776" s="295" t="s">
        <v>449</v>
      </c>
      <c r="U776" s="332" t="s">
        <v>816</v>
      </c>
      <c r="V776" s="342" t="s">
        <v>1133</v>
      </c>
      <c r="W776" s="298" t="s">
        <v>447</v>
      </c>
      <c r="X776" s="64" t="s">
        <v>521</v>
      </c>
      <c r="Y776" s="282" t="s">
        <v>1556</v>
      </c>
      <c r="Z776" s="282" t="s">
        <v>1593</v>
      </c>
      <c r="AA776" s="299"/>
      <c r="AB776" s="300" t="s">
        <v>225</v>
      </c>
      <c r="AC776" s="407" t="s">
        <v>2700</v>
      </c>
      <c r="AD776" s="302" t="s">
        <v>1042</v>
      </c>
      <c r="AE776" s="460" t="s">
        <v>2050</v>
      </c>
      <c r="AF776" s="302"/>
      <c r="AG776" s="302"/>
      <c r="AH776" s="402" t="str">
        <f t="shared" si="56"/>
        <v>[wzr2hi, 08.04.2025] Added 0.000.000.000-82 as PlaceholderBuild.PlaceholderPlant</v>
      </c>
      <c r="AI776" s="29"/>
    </row>
    <row r="777" spans="1:35">
      <c r="A777" s="51">
        <v>4435</v>
      </c>
      <c r="B777" s="81" t="str">
        <f t="shared" si="55"/>
        <v>1153</v>
      </c>
      <c r="C777" s="329" t="s">
        <v>1748</v>
      </c>
      <c r="D777" s="458" t="s">
        <v>2677</v>
      </c>
      <c r="E777" s="295" t="s">
        <v>1977</v>
      </c>
      <c r="F777" s="371" t="s">
        <v>1230</v>
      </c>
      <c r="G777" s="252" t="s">
        <v>1918</v>
      </c>
      <c r="H777" s="282" t="s">
        <v>637</v>
      </c>
      <c r="I777" s="295" t="s">
        <v>815</v>
      </c>
      <c r="J777" s="282" t="s">
        <v>0</v>
      </c>
      <c r="K777" s="282" t="s">
        <v>452</v>
      </c>
      <c r="L777" s="297" t="s">
        <v>2318</v>
      </c>
      <c r="M777" s="282" t="s">
        <v>1401</v>
      </c>
      <c r="N777" s="282" t="s">
        <v>1400</v>
      </c>
      <c r="O777" s="304" t="s">
        <v>1805</v>
      </c>
      <c r="P777" s="64" t="s">
        <v>1867</v>
      </c>
      <c r="Q777" s="297" t="s">
        <v>1903</v>
      </c>
      <c r="R777" s="298" t="s">
        <v>1229</v>
      </c>
      <c r="S777" s="340" t="s">
        <v>10</v>
      </c>
      <c r="T777" s="295" t="s">
        <v>449</v>
      </c>
      <c r="U777" s="332" t="s">
        <v>816</v>
      </c>
      <c r="V777" s="342" t="s">
        <v>872</v>
      </c>
      <c r="W777" s="298" t="s">
        <v>447</v>
      </c>
      <c r="X777" s="297" t="s">
        <v>521</v>
      </c>
      <c r="Y777" s="282" t="s">
        <v>1556</v>
      </c>
      <c r="Z777" s="282" t="s">
        <v>1593</v>
      </c>
      <c r="AA777" s="299"/>
      <c r="AB777" s="300" t="s">
        <v>225</v>
      </c>
      <c r="AC777" s="407" t="s">
        <v>2701</v>
      </c>
      <c r="AD777" s="302" t="s">
        <v>1042</v>
      </c>
      <c r="AE777" s="460" t="s">
        <v>2481</v>
      </c>
      <c r="AF777" s="302"/>
      <c r="AG777" s="302"/>
      <c r="AH777" s="402" t="str">
        <f t="shared" si="56"/>
        <v>[wzr2hi, 08.04.2025] Added 0.000.000.000-83 as PlaceholderBuild.PlaceholderPlant</v>
      </c>
      <c r="AI777" s="29"/>
    </row>
    <row r="778" spans="1:35" ht="26.4">
      <c r="A778" s="51">
        <v>4436</v>
      </c>
      <c r="B778" s="81" t="str">
        <f t="shared" si="55"/>
        <v>1154</v>
      </c>
      <c r="C778" s="329" t="s">
        <v>1753</v>
      </c>
      <c r="D778" s="458" t="s">
        <v>2677</v>
      </c>
      <c r="E778" s="295" t="s">
        <v>1977</v>
      </c>
      <c r="F778" s="371" t="s">
        <v>1230</v>
      </c>
      <c r="G778" s="252" t="s">
        <v>1918</v>
      </c>
      <c r="H778" s="282" t="s">
        <v>637</v>
      </c>
      <c r="I778" s="295" t="s">
        <v>815</v>
      </c>
      <c r="J778" s="282" t="s">
        <v>0</v>
      </c>
      <c r="K778" s="282" t="s">
        <v>452</v>
      </c>
      <c r="L778" s="297" t="s">
        <v>2318</v>
      </c>
      <c r="M778" s="282" t="s">
        <v>1401</v>
      </c>
      <c r="N778" s="282" t="s">
        <v>1400</v>
      </c>
      <c r="O778" s="296" t="s">
        <v>1803</v>
      </c>
      <c r="P778" s="64" t="s">
        <v>2105</v>
      </c>
      <c r="Q778" s="297" t="s">
        <v>1903</v>
      </c>
      <c r="R778" s="298" t="s">
        <v>1229</v>
      </c>
      <c r="S778" s="340" t="s">
        <v>10</v>
      </c>
      <c r="T778" s="295" t="s">
        <v>449</v>
      </c>
      <c r="U778" s="332" t="s">
        <v>816</v>
      </c>
      <c r="V778" s="342" t="s">
        <v>728</v>
      </c>
      <c r="W778" s="298" t="s">
        <v>447</v>
      </c>
      <c r="X778" s="64" t="s">
        <v>521</v>
      </c>
      <c r="Y778" s="282" t="s">
        <v>1556</v>
      </c>
      <c r="Z778" s="282" t="s">
        <v>1593</v>
      </c>
      <c r="AA778" s="299"/>
      <c r="AB778" s="300" t="s">
        <v>225</v>
      </c>
      <c r="AC778" s="411" t="s">
        <v>2841</v>
      </c>
      <c r="AD778" s="302" t="s">
        <v>1042</v>
      </c>
      <c r="AE778" s="460"/>
      <c r="AF778" s="302"/>
      <c r="AG778" s="302"/>
      <c r="AH778" s="261" t="s">
        <v>2917</v>
      </c>
      <c r="AI778" s="29"/>
    </row>
    <row r="779" spans="1:35" ht="26.4">
      <c r="A779" s="51">
        <v>4437</v>
      </c>
      <c r="B779" s="81" t="str">
        <f t="shared" si="55"/>
        <v>1155</v>
      </c>
      <c r="C779" s="329" t="s">
        <v>1767</v>
      </c>
      <c r="D779" s="458" t="s">
        <v>2677</v>
      </c>
      <c r="E779" s="295" t="s">
        <v>1977</v>
      </c>
      <c r="F779" s="372" t="s">
        <v>1315</v>
      </c>
      <c r="G779" s="115" t="s">
        <v>1914</v>
      </c>
      <c r="H779" s="282" t="s">
        <v>637</v>
      </c>
      <c r="I779" s="295" t="s">
        <v>815</v>
      </c>
      <c r="J779" s="282" t="s">
        <v>0</v>
      </c>
      <c r="K779" s="282" t="s">
        <v>454</v>
      </c>
      <c r="L779" s="360" t="s">
        <v>1306</v>
      </c>
      <c r="M779" s="282" t="s">
        <v>1401</v>
      </c>
      <c r="N779" s="282" t="s">
        <v>1400</v>
      </c>
      <c r="O779" s="296" t="s">
        <v>1806</v>
      </c>
      <c r="P779" s="64" t="s">
        <v>1866</v>
      </c>
      <c r="Q779" s="297" t="s">
        <v>1903</v>
      </c>
      <c r="R779" s="298" t="s">
        <v>1398</v>
      </c>
      <c r="S779" s="340" t="s">
        <v>10</v>
      </c>
      <c r="T779" s="295" t="s">
        <v>449</v>
      </c>
      <c r="U779" s="332" t="s">
        <v>816</v>
      </c>
      <c r="V779" s="342" t="s">
        <v>834</v>
      </c>
      <c r="W779" s="298" t="s">
        <v>447</v>
      </c>
      <c r="X779" s="297" t="s">
        <v>521</v>
      </c>
      <c r="Y779" s="282" t="s">
        <v>1556</v>
      </c>
      <c r="Z779" s="282" t="s">
        <v>1593</v>
      </c>
      <c r="AA779" s="299"/>
      <c r="AB779" s="300" t="s">
        <v>225</v>
      </c>
      <c r="AC779" s="407" t="s">
        <v>2702</v>
      </c>
      <c r="AD779" s="302" t="s">
        <v>1042</v>
      </c>
      <c r="AE779" s="460" t="s">
        <v>2051</v>
      </c>
      <c r="AF779" s="302"/>
      <c r="AG779" s="302"/>
      <c r="AH779" s="402" t="str">
        <f t="shared" si="56"/>
        <v>[wzr2hi, 08.04.2025] Added 0.000.000.000-85 as PlaceholderBuild.PlaceholderPlant</v>
      </c>
      <c r="AI779" s="29"/>
    </row>
    <row r="780" spans="1:35" ht="26.4">
      <c r="A780" s="51">
        <v>4438</v>
      </c>
      <c r="B780" s="81" t="str">
        <f t="shared" si="55"/>
        <v>1156</v>
      </c>
      <c r="C780" s="329" t="s">
        <v>1766</v>
      </c>
      <c r="D780" s="458" t="s">
        <v>2677</v>
      </c>
      <c r="E780" s="295" t="s">
        <v>1977</v>
      </c>
      <c r="F780" s="372" t="s">
        <v>1315</v>
      </c>
      <c r="G780" s="115" t="s">
        <v>1914</v>
      </c>
      <c r="H780" s="282" t="s">
        <v>637</v>
      </c>
      <c r="I780" s="295" t="s">
        <v>815</v>
      </c>
      <c r="J780" s="282" t="s">
        <v>0</v>
      </c>
      <c r="K780" s="282" t="s">
        <v>454</v>
      </c>
      <c r="L780" s="360" t="s">
        <v>1306</v>
      </c>
      <c r="M780" s="282" t="s">
        <v>1401</v>
      </c>
      <c r="N780" s="282" t="s">
        <v>1400</v>
      </c>
      <c r="O780" s="296" t="s">
        <v>1803</v>
      </c>
      <c r="P780" s="64" t="s">
        <v>2105</v>
      </c>
      <c r="Q780" s="297" t="s">
        <v>1903</v>
      </c>
      <c r="R780" s="298" t="s">
        <v>1398</v>
      </c>
      <c r="S780" s="340" t="s">
        <v>10</v>
      </c>
      <c r="T780" s="295" t="s">
        <v>449</v>
      </c>
      <c r="U780" s="332" t="s">
        <v>816</v>
      </c>
      <c r="V780" s="342" t="s">
        <v>607</v>
      </c>
      <c r="W780" s="298" t="s">
        <v>447</v>
      </c>
      <c r="X780" s="64" t="s">
        <v>521</v>
      </c>
      <c r="Y780" s="282" t="s">
        <v>1556</v>
      </c>
      <c r="Z780" s="282" t="s">
        <v>1593</v>
      </c>
      <c r="AA780" s="299"/>
      <c r="AB780" s="300" t="s">
        <v>225</v>
      </c>
      <c r="AC780" s="407" t="s">
        <v>2703</v>
      </c>
      <c r="AD780" s="302" t="s">
        <v>1042</v>
      </c>
      <c r="AE780" s="460" t="s">
        <v>2051</v>
      </c>
      <c r="AF780" s="302"/>
      <c r="AG780" s="302"/>
      <c r="AH780" s="402" t="str">
        <f t="shared" si="56"/>
        <v>[wzr2hi, 08.04.2025] Added 0.000.000.000-86 as PlaceholderBuild.PlaceholderPlant</v>
      </c>
      <c r="AI780" s="29"/>
    </row>
    <row r="781" spans="1:35">
      <c r="A781" s="51">
        <v>4439</v>
      </c>
      <c r="B781" s="81" t="str">
        <f t="shared" si="55"/>
        <v>1157</v>
      </c>
      <c r="C781" s="329" t="s">
        <v>1765</v>
      </c>
      <c r="D781" s="458" t="s">
        <v>2677</v>
      </c>
      <c r="E781" s="295" t="s">
        <v>1977</v>
      </c>
      <c r="F781" s="372" t="s">
        <v>1315</v>
      </c>
      <c r="G781" s="115" t="s">
        <v>1914</v>
      </c>
      <c r="H781" s="282" t="s">
        <v>637</v>
      </c>
      <c r="I781" s="295" t="s">
        <v>815</v>
      </c>
      <c r="J781" s="282" t="s">
        <v>0</v>
      </c>
      <c r="K781" s="282" t="s">
        <v>454</v>
      </c>
      <c r="L781" s="360" t="s">
        <v>1306</v>
      </c>
      <c r="M781" s="282" t="s">
        <v>1401</v>
      </c>
      <c r="N781" s="282" t="s">
        <v>1400</v>
      </c>
      <c r="O781" s="296" t="s">
        <v>1805</v>
      </c>
      <c r="P781" s="64" t="s">
        <v>1867</v>
      </c>
      <c r="Q781" s="297" t="s">
        <v>1903</v>
      </c>
      <c r="R781" s="298" t="s">
        <v>1229</v>
      </c>
      <c r="S781" s="340" t="s">
        <v>10</v>
      </c>
      <c r="T781" s="295" t="s">
        <v>449</v>
      </c>
      <c r="U781" s="332" t="s">
        <v>816</v>
      </c>
      <c r="V781" s="308" t="s">
        <v>598</v>
      </c>
      <c r="W781" s="298" t="s">
        <v>447</v>
      </c>
      <c r="X781" s="297" t="s">
        <v>521</v>
      </c>
      <c r="Y781" s="282" t="s">
        <v>1556</v>
      </c>
      <c r="Z781" s="282" t="s">
        <v>1593</v>
      </c>
      <c r="AA781" s="299"/>
      <c r="AB781" s="300" t="s">
        <v>225</v>
      </c>
      <c r="AC781" s="407" t="s">
        <v>2704</v>
      </c>
      <c r="AD781" s="302" t="s">
        <v>1042</v>
      </c>
      <c r="AE781" s="460" t="s">
        <v>2076</v>
      </c>
      <c r="AF781" s="302"/>
      <c r="AG781" s="302"/>
      <c r="AH781" s="402" t="str">
        <f t="shared" si="56"/>
        <v>[wzr2hi, 08.04.2025] Added 0.000.000.000-87 as PlaceholderBuild.PlaceholderPlant</v>
      </c>
      <c r="AI781" s="29"/>
    </row>
    <row r="782" spans="1:35">
      <c r="A782" s="51">
        <v>4440</v>
      </c>
      <c r="B782" s="81" t="str">
        <f t="shared" si="55"/>
        <v>1158</v>
      </c>
      <c r="C782" s="329" t="s">
        <v>1931</v>
      </c>
      <c r="D782" s="458" t="s">
        <v>2677</v>
      </c>
      <c r="E782" s="295" t="s">
        <v>1977</v>
      </c>
      <c r="F782" s="371" t="s">
        <v>1230</v>
      </c>
      <c r="G782" s="252" t="s">
        <v>1918</v>
      </c>
      <c r="H782" s="282" t="s">
        <v>637</v>
      </c>
      <c r="I782" s="295" t="s">
        <v>815</v>
      </c>
      <c r="J782" s="282" t="s">
        <v>0</v>
      </c>
      <c r="K782" s="282" t="s">
        <v>452</v>
      </c>
      <c r="L782" s="297" t="s">
        <v>2318</v>
      </c>
      <c r="M782" s="282" t="s">
        <v>1401</v>
      </c>
      <c r="N782" s="282" t="s">
        <v>1400</v>
      </c>
      <c r="O782" s="238" t="s">
        <v>1804</v>
      </c>
      <c r="P782" s="64" t="s">
        <v>1867</v>
      </c>
      <c r="Q782" s="297" t="s">
        <v>1903</v>
      </c>
      <c r="R782" s="298" t="s">
        <v>1229</v>
      </c>
      <c r="S782" s="340" t="s">
        <v>10</v>
      </c>
      <c r="T782" s="295" t="s">
        <v>449</v>
      </c>
      <c r="U782" s="332" t="s">
        <v>816</v>
      </c>
      <c r="V782" s="342" t="s">
        <v>1368</v>
      </c>
      <c r="W782" s="298" t="s">
        <v>447</v>
      </c>
      <c r="X782" s="64" t="s">
        <v>521</v>
      </c>
      <c r="Y782" s="282" t="s">
        <v>1556</v>
      </c>
      <c r="Z782" s="282" t="s">
        <v>1593</v>
      </c>
      <c r="AA782" s="299"/>
      <c r="AB782" s="300" t="s">
        <v>225</v>
      </c>
      <c r="AC782" s="407" t="s">
        <v>2705</v>
      </c>
      <c r="AD782" s="302" t="s">
        <v>1042</v>
      </c>
      <c r="AE782" s="460" t="s">
        <v>2480</v>
      </c>
      <c r="AF782" s="302"/>
      <c r="AG782" s="302"/>
      <c r="AH782" s="402" t="str">
        <f t="shared" si="56"/>
        <v>[wzr2hi, 08.04.2025] Added 0.000.000.000-88 as PlaceholderBuild.PlaceholderPlant</v>
      </c>
      <c r="AI782" s="29"/>
    </row>
    <row r="783" spans="1:35">
      <c r="A783" s="51">
        <v>4441</v>
      </c>
      <c r="B783" s="81" t="str">
        <f t="shared" si="55"/>
        <v>1159</v>
      </c>
      <c r="C783" s="329" t="s">
        <v>1930</v>
      </c>
      <c r="D783" s="458" t="s">
        <v>2677</v>
      </c>
      <c r="E783" s="295" t="s">
        <v>1977</v>
      </c>
      <c r="F783" s="371" t="s">
        <v>1230</v>
      </c>
      <c r="G783" s="252" t="s">
        <v>1918</v>
      </c>
      <c r="H783" s="282" t="s">
        <v>637</v>
      </c>
      <c r="I783" s="295" t="s">
        <v>815</v>
      </c>
      <c r="J783" s="282" t="s">
        <v>0</v>
      </c>
      <c r="K783" s="282" t="s">
        <v>452</v>
      </c>
      <c r="L783" s="297" t="s">
        <v>2318</v>
      </c>
      <c r="M783" s="282" t="s">
        <v>1401</v>
      </c>
      <c r="N783" s="282" t="s">
        <v>1400</v>
      </c>
      <c r="O783" s="296" t="s">
        <v>1803</v>
      </c>
      <c r="P783" s="64" t="s">
        <v>2105</v>
      </c>
      <c r="Q783" s="297" t="s">
        <v>1903</v>
      </c>
      <c r="R783" s="298" t="s">
        <v>1229</v>
      </c>
      <c r="S783" s="340" t="s">
        <v>10</v>
      </c>
      <c r="T783" s="295" t="s">
        <v>449</v>
      </c>
      <c r="U783" s="332" t="s">
        <v>816</v>
      </c>
      <c r="V783" s="342" t="s">
        <v>1115</v>
      </c>
      <c r="W783" s="298" t="s">
        <v>447</v>
      </c>
      <c r="X783" s="297" t="s">
        <v>521</v>
      </c>
      <c r="Y783" s="282" t="s">
        <v>1556</v>
      </c>
      <c r="Z783" s="282" t="s">
        <v>1593</v>
      </c>
      <c r="AA783" s="299"/>
      <c r="AB783" s="300" t="s">
        <v>225</v>
      </c>
      <c r="AC783" s="407" t="s">
        <v>2706</v>
      </c>
      <c r="AD783" s="302" t="s">
        <v>1042</v>
      </c>
      <c r="AE783" s="460"/>
      <c r="AF783" s="302"/>
      <c r="AG783" s="302"/>
      <c r="AH783" s="402" t="str">
        <f t="shared" si="56"/>
        <v>[wzr2hi, 08.04.2025] Added 0.000.000.000-89 as PlaceholderBuild.PlaceholderPlant</v>
      </c>
      <c r="AI783" s="29"/>
    </row>
    <row r="784" spans="1:35">
      <c r="A784" s="51">
        <v>4444</v>
      </c>
      <c r="B784" s="81" t="str">
        <f t="shared" si="55"/>
        <v>115C</v>
      </c>
      <c r="C784" s="375" t="s">
        <v>1963</v>
      </c>
      <c r="D784" s="458" t="s">
        <v>2677</v>
      </c>
      <c r="E784" s="295" t="s">
        <v>1977</v>
      </c>
      <c r="F784" s="78" t="s">
        <v>1919</v>
      </c>
      <c r="G784" s="78" t="s">
        <v>1917</v>
      </c>
      <c r="H784" s="282" t="s">
        <v>637</v>
      </c>
      <c r="I784" s="295" t="s">
        <v>815</v>
      </c>
      <c r="J784" s="282" t="s">
        <v>1</v>
      </c>
      <c r="K784" s="282" t="s">
        <v>749</v>
      </c>
      <c r="L784" s="345" t="s">
        <v>2220</v>
      </c>
      <c r="M784" s="282" t="s">
        <v>1401</v>
      </c>
      <c r="N784" s="282" t="s">
        <v>1400</v>
      </c>
      <c r="O784" s="304" t="s">
        <v>1802</v>
      </c>
      <c r="P784" s="64" t="s">
        <v>1867</v>
      </c>
      <c r="Q784" s="297" t="s">
        <v>1903</v>
      </c>
      <c r="R784" s="298" t="s">
        <v>1229</v>
      </c>
      <c r="S784" s="340" t="s">
        <v>10</v>
      </c>
      <c r="T784" s="295" t="s">
        <v>449</v>
      </c>
      <c r="U784" s="332" t="s">
        <v>816</v>
      </c>
      <c r="V784" s="342" t="s">
        <v>1988</v>
      </c>
      <c r="W784" s="298" t="s">
        <v>447</v>
      </c>
      <c r="X784" s="64" t="s">
        <v>521</v>
      </c>
      <c r="Y784" s="282" t="s">
        <v>1556</v>
      </c>
      <c r="Z784" s="282" t="s">
        <v>1593</v>
      </c>
      <c r="AA784" s="299"/>
      <c r="AB784" s="300" t="s">
        <v>225</v>
      </c>
      <c r="AC784" s="407" t="s">
        <v>2707</v>
      </c>
      <c r="AD784" s="302" t="s">
        <v>1042</v>
      </c>
      <c r="AE784" s="460"/>
      <c r="AF784" s="302"/>
      <c r="AG784" s="302"/>
      <c r="AH784" s="402" t="str">
        <f t="shared" si="56"/>
        <v>[wzr2hi, 08.04.2025] Added 0.000.000.000-90 as PlaceholderBuild.PlaceholderPlant</v>
      </c>
      <c r="AI784" s="29"/>
    </row>
    <row r="785" spans="1:35">
      <c r="A785" s="51">
        <v>4452</v>
      </c>
      <c r="B785" s="81" t="str">
        <f t="shared" si="55"/>
        <v>1164</v>
      </c>
      <c r="C785" s="329" t="s">
        <v>2096</v>
      </c>
      <c r="D785" s="458" t="s">
        <v>2676</v>
      </c>
      <c r="E785" s="295" t="s">
        <v>1977</v>
      </c>
      <c r="F785" s="177" t="s">
        <v>1359</v>
      </c>
      <c r="G785" s="177" t="s">
        <v>2109</v>
      </c>
      <c r="H785" s="282" t="s">
        <v>637</v>
      </c>
      <c r="I785" s="314" t="s">
        <v>4</v>
      </c>
      <c r="J785" s="282" t="s">
        <v>0</v>
      </c>
      <c r="K785" s="282" t="s">
        <v>451</v>
      </c>
      <c r="L785" s="297" t="s">
        <v>2318</v>
      </c>
      <c r="M785" s="282" t="s">
        <v>1403</v>
      </c>
      <c r="N785" s="282" t="s">
        <v>1215</v>
      </c>
      <c r="O785" s="296" t="s">
        <v>1801</v>
      </c>
      <c r="P785" s="64" t="s">
        <v>1866</v>
      </c>
      <c r="Q785" s="297" t="s">
        <v>1903</v>
      </c>
      <c r="R785" s="298" t="s">
        <v>1398</v>
      </c>
      <c r="S785" s="340" t="s">
        <v>10</v>
      </c>
      <c r="T785" s="367" t="s">
        <v>450</v>
      </c>
      <c r="U785" s="332" t="s">
        <v>816</v>
      </c>
      <c r="V785" s="308" t="s">
        <v>7</v>
      </c>
      <c r="W785" s="298" t="s">
        <v>447</v>
      </c>
      <c r="X785" s="64" t="s">
        <v>521</v>
      </c>
      <c r="Y785" s="282" t="s">
        <v>1556</v>
      </c>
      <c r="Z785" s="282" t="s">
        <v>1592</v>
      </c>
      <c r="AA785" s="299"/>
      <c r="AB785" s="300" t="s">
        <v>225</v>
      </c>
      <c r="AC785" s="407" t="s">
        <v>2708</v>
      </c>
      <c r="AD785" s="302" t="s">
        <v>1042</v>
      </c>
      <c r="AE785" s="460" t="s">
        <v>2304</v>
      </c>
      <c r="AF785" s="302"/>
      <c r="AG785" s="302"/>
      <c r="AH785" s="402" t="str">
        <f t="shared" si="56"/>
        <v>[wzr2hi, 08.04.2025] Added 0.000.000.000-91 as PlaceholderBuild.PlaceholderPlant</v>
      </c>
      <c r="AI785" s="29"/>
    </row>
    <row r="786" spans="1:35">
      <c r="A786" s="51">
        <v>4453</v>
      </c>
      <c r="B786" s="81" t="str">
        <f t="shared" si="55"/>
        <v>1165</v>
      </c>
      <c r="C786" s="329" t="s">
        <v>2135</v>
      </c>
      <c r="D786" s="458" t="s">
        <v>2676</v>
      </c>
      <c r="E786" s="295" t="s">
        <v>1977</v>
      </c>
      <c r="F786" s="177" t="s">
        <v>1359</v>
      </c>
      <c r="G786" s="177" t="s">
        <v>2109</v>
      </c>
      <c r="H786" s="282" t="s">
        <v>637</v>
      </c>
      <c r="I786" s="314" t="s">
        <v>4</v>
      </c>
      <c r="J786" s="282" t="s">
        <v>0</v>
      </c>
      <c r="K786" s="282" t="s">
        <v>451</v>
      </c>
      <c r="L786" s="297" t="s">
        <v>2318</v>
      </c>
      <c r="M786" s="282" t="s">
        <v>1403</v>
      </c>
      <c r="N786" s="282" t="s">
        <v>1215</v>
      </c>
      <c r="O786" s="238" t="s">
        <v>1805</v>
      </c>
      <c r="P786" s="64" t="s">
        <v>1867</v>
      </c>
      <c r="Q786" s="297" t="s">
        <v>1903</v>
      </c>
      <c r="R786" s="298" t="s">
        <v>1229</v>
      </c>
      <c r="S786" s="340" t="s">
        <v>10</v>
      </c>
      <c r="T786" s="295" t="s">
        <v>449</v>
      </c>
      <c r="U786" s="332" t="s">
        <v>816</v>
      </c>
      <c r="V786" s="308" t="s">
        <v>7</v>
      </c>
      <c r="W786" s="298" t="s">
        <v>447</v>
      </c>
      <c r="X786" s="64" t="s">
        <v>521</v>
      </c>
      <c r="Y786" s="282" t="s">
        <v>1556</v>
      </c>
      <c r="Z786" s="282" t="s">
        <v>1592</v>
      </c>
      <c r="AA786" s="299"/>
      <c r="AB786" s="300" t="s">
        <v>225</v>
      </c>
      <c r="AC786" s="411" t="s">
        <v>2844</v>
      </c>
      <c r="AD786" s="302" t="s">
        <v>1042</v>
      </c>
      <c r="AE786" s="460" t="s">
        <v>2305</v>
      </c>
      <c r="AF786" s="302"/>
      <c r="AG786" s="302"/>
      <c r="AH786" s="261" t="s">
        <v>2916</v>
      </c>
      <c r="AI786" s="29"/>
    </row>
    <row r="787" spans="1:35" ht="39.6">
      <c r="A787" s="51">
        <v>4454</v>
      </c>
      <c r="B787" s="81" t="str">
        <f t="shared" si="55"/>
        <v>1166</v>
      </c>
      <c r="C787" s="329" t="s">
        <v>2385</v>
      </c>
      <c r="D787" s="458" t="s">
        <v>2676</v>
      </c>
      <c r="E787" s="295" t="s">
        <v>1977</v>
      </c>
      <c r="F787" s="177" t="s">
        <v>1359</v>
      </c>
      <c r="G787" s="177" t="s">
        <v>2109</v>
      </c>
      <c r="H787" s="282" t="s">
        <v>637</v>
      </c>
      <c r="I787" s="314" t="s">
        <v>4</v>
      </c>
      <c r="J787" s="282" t="s">
        <v>0</v>
      </c>
      <c r="K787" s="282" t="s">
        <v>451</v>
      </c>
      <c r="L787" s="297" t="s">
        <v>2318</v>
      </c>
      <c r="M787" s="282" t="s">
        <v>1403</v>
      </c>
      <c r="N787" s="282" t="s">
        <v>1215</v>
      </c>
      <c r="O787" s="296" t="s">
        <v>1803</v>
      </c>
      <c r="P787" s="64" t="s">
        <v>2105</v>
      </c>
      <c r="Q787" s="297" t="s">
        <v>1903</v>
      </c>
      <c r="R787" s="298" t="s">
        <v>1398</v>
      </c>
      <c r="S787" s="340" t="s">
        <v>10</v>
      </c>
      <c r="T787" s="295" t="s">
        <v>449</v>
      </c>
      <c r="U787" s="332" t="s">
        <v>816</v>
      </c>
      <c r="V787" s="308" t="s">
        <v>7</v>
      </c>
      <c r="W787" s="298" t="s">
        <v>447</v>
      </c>
      <c r="X787" s="297" t="s">
        <v>521</v>
      </c>
      <c r="Y787" s="282" t="s">
        <v>1556</v>
      </c>
      <c r="Z787" s="282" t="s">
        <v>1592</v>
      </c>
      <c r="AA787" s="299"/>
      <c r="AB787" s="300" t="s">
        <v>225</v>
      </c>
      <c r="AC787" s="411" t="s">
        <v>2911</v>
      </c>
      <c r="AD787" s="302" t="s">
        <v>1042</v>
      </c>
      <c r="AE787" s="460" t="s">
        <v>2301</v>
      </c>
      <c r="AF787" s="302"/>
      <c r="AG787" s="302"/>
      <c r="AH787" s="261" t="s">
        <v>2915</v>
      </c>
      <c r="AI787" s="29"/>
    </row>
    <row r="788" spans="1:35" ht="26.4">
      <c r="A788" s="51">
        <v>4455</v>
      </c>
      <c r="B788" s="81" t="str">
        <f t="shared" si="55"/>
        <v>1167</v>
      </c>
      <c r="C788" s="375" t="s">
        <v>2095</v>
      </c>
      <c r="D788" s="458" t="s">
        <v>2676</v>
      </c>
      <c r="E788" s="295" t="s">
        <v>1977</v>
      </c>
      <c r="F788" s="177" t="s">
        <v>1359</v>
      </c>
      <c r="G788" s="177" t="s">
        <v>2109</v>
      </c>
      <c r="H788" s="282" t="s">
        <v>637</v>
      </c>
      <c r="I788" s="314" t="s">
        <v>4</v>
      </c>
      <c r="J788" s="282" t="s">
        <v>0</v>
      </c>
      <c r="K788" s="282" t="s">
        <v>451</v>
      </c>
      <c r="L788" s="297" t="s">
        <v>2318</v>
      </c>
      <c r="M788" s="282" t="s">
        <v>1403</v>
      </c>
      <c r="N788" s="282" t="s">
        <v>1215</v>
      </c>
      <c r="O788" s="238" t="s">
        <v>1804</v>
      </c>
      <c r="P788" s="64" t="s">
        <v>1867</v>
      </c>
      <c r="Q788" s="297" t="s">
        <v>1903</v>
      </c>
      <c r="R788" s="298" t="s">
        <v>1229</v>
      </c>
      <c r="S788" s="340" t="s">
        <v>10</v>
      </c>
      <c r="T788" s="295" t="s">
        <v>449</v>
      </c>
      <c r="U788" s="332" t="s">
        <v>816</v>
      </c>
      <c r="V788" s="308" t="s">
        <v>7</v>
      </c>
      <c r="W788" s="298" t="s">
        <v>447</v>
      </c>
      <c r="X788" s="64" t="s">
        <v>521</v>
      </c>
      <c r="Y788" s="282" t="s">
        <v>1556</v>
      </c>
      <c r="Z788" s="282" t="s">
        <v>1592</v>
      </c>
      <c r="AA788" s="299"/>
      <c r="AB788" s="300" t="s">
        <v>225</v>
      </c>
      <c r="AC788" s="407" t="s">
        <v>2709</v>
      </c>
      <c r="AD788" s="302" t="s">
        <v>1042</v>
      </c>
      <c r="AE788" s="460" t="s">
        <v>2078</v>
      </c>
      <c r="AF788" s="302"/>
      <c r="AG788" s="302"/>
      <c r="AH788" s="402" t="str">
        <f t="shared" si="56"/>
        <v>[wzr2hi, 08.04.2025] Added 0.000.000.000-94 as PlaceholderBuild.PlaceholderPlant</v>
      </c>
      <c r="AI788" s="29"/>
    </row>
    <row r="789" spans="1:35">
      <c r="A789" s="51">
        <v>4456</v>
      </c>
      <c r="B789" s="81" t="str">
        <f t="shared" si="55"/>
        <v>1168</v>
      </c>
      <c r="C789" s="375" t="s">
        <v>2093</v>
      </c>
      <c r="D789" s="458" t="s">
        <v>2676</v>
      </c>
      <c r="E789" s="295" t="s">
        <v>1977</v>
      </c>
      <c r="F789" s="177" t="s">
        <v>1359</v>
      </c>
      <c r="G789" s="177" t="s">
        <v>2109</v>
      </c>
      <c r="H789" s="282" t="s">
        <v>637</v>
      </c>
      <c r="I789" s="314" t="s">
        <v>4</v>
      </c>
      <c r="J789" s="282" t="s">
        <v>0</v>
      </c>
      <c r="K789" s="282" t="s">
        <v>451</v>
      </c>
      <c r="L789" s="297" t="s">
        <v>2318</v>
      </c>
      <c r="M789" s="282" t="s">
        <v>1403</v>
      </c>
      <c r="N789" s="282" t="s">
        <v>1215</v>
      </c>
      <c r="O789" s="296" t="s">
        <v>1805</v>
      </c>
      <c r="P789" s="64" t="s">
        <v>1867</v>
      </c>
      <c r="Q789" s="297" t="s">
        <v>1903</v>
      </c>
      <c r="R789" s="298" t="s">
        <v>1229</v>
      </c>
      <c r="S789" s="340" t="s">
        <v>10</v>
      </c>
      <c r="T789" s="295" t="s">
        <v>449</v>
      </c>
      <c r="U789" s="332" t="s">
        <v>816</v>
      </c>
      <c r="V789" s="308" t="s">
        <v>7</v>
      </c>
      <c r="W789" s="298" t="s">
        <v>447</v>
      </c>
      <c r="X789" s="64" t="s">
        <v>521</v>
      </c>
      <c r="Y789" s="282" t="s">
        <v>1556</v>
      </c>
      <c r="Z789" s="282" t="s">
        <v>1592</v>
      </c>
      <c r="AA789" s="299"/>
      <c r="AB789" s="300" t="s">
        <v>225</v>
      </c>
      <c r="AC789" s="407" t="s">
        <v>2710</v>
      </c>
      <c r="AD789" s="302" t="s">
        <v>1042</v>
      </c>
      <c r="AE789" s="460"/>
      <c r="AF789" s="302"/>
      <c r="AG789" s="302"/>
      <c r="AH789" s="402" t="str">
        <f t="shared" si="56"/>
        <v>[wzr2hi, 08.04.2025] Added 0.000.000.000-95 as PlaceholderBuild.PlaceholderPlant</v>
      </c>
      <c r="AI789" s="29"/>
    </row>
    <row r="790" spans="1:35">
      <c r="A790" s="51">
        <v>4457</v>
      </c>
      <c r="B790" s="81" t="str">
        <f t="shared" si="55"/>
        <v>1169</v>
      </c>
      <c r="C790" s="375" t="s">
        <v>2296</v>
      </c>
      <c r="D790" s="458" t="s">
        <v>2676</v>
      </c>
      <c r="E790" s="295" t="s">
        <v>1977</v>
      </c>
      <c r="F790" s="177" t="s">
        <v>1359</v>
      </c>
      <c r="G790" s="177" t="s">
        <v>2109</v>
      </c>
      <c r="H790" s="282" t="s">
        <v>637</v>
      </c>
      <c r="I790" s="314" t="s">
        <v>4</v>
      </c>
      <c r="J790" s="282" t="s">
        <v>0</v>
      </c>
      <c r="K790" s="282" t="s">
        <v>451</v>
      </c>
      <c r="L790" s="297" t="s">
        <v>2318</v>
      </c>
      <c r="M790" s="282" t="s">
        <v>1403</v>
      </c>
      <c r="N790" s="282" t="s">
        <v>1215</v>
      </c>
      <c r="O790" s="296" t="s">
        <v>1803</v>
      </c>
      <c r="P790" s="64" t="s">
        <v>2105</v>
      </c>
      <c r="Q790" s="297" t="s">
        <v>1903</v>
      </c>
      <c r="R790" s="298" t="s">
        <v>1229</v>
      </c>
      <c r="S790" s="340" t="s">
        <v>10</v>
      </c>
      <c r="T790" s="295" t="s">
        <v>449</v>
      </c>
      <c r="U790" s="332" t="s">
        <v>816</v>
      </c>
      <c r="V790" s="308" t="s">
        <v>7</v>
      </c>
      <c r="W790" s="298" t="s">
        <v>447</v>
      </c>
      <c r="X790" s="64" t="s">
        <v>521</v>
      </c>
      <c r="Y790" s="282" t="s">
        <v>1556</v>
      </c>
      <c r="Z790" s="282" t="s">
        <v>1592</v>
      </c>
      <c r="AA790" s="299"/>
      <c r="AB790" s="300" t="s">
        <v>225</v>
      </c>
      <c r="AC790" s="407" t="s">
        <v>2711</v>
      </c>
      <c r="AD790" s="302" t="s">
        <v>1042</v>
      </c>
      <c r="AE790" s="460"/>
      <c r="AF790" s="302"/>
      <c r="AG790" s="302"/>
      <c r="AH790" s="402" t="str">
        <f t="shared" si="56"/>
        <v>[wzr2hi, 08.04.2025] Added 0.000.000.000-96 as PlaceholderBuild.PlaceholderPlant</v>
      </c>
      <c r="AI790" s="29"/>
    </row>
    <row r="791" spans="1:35">
      <c r="A791" s="51">
        <v>4458</v>
      </c>
      <c r="B791" s="81" t="str">
        <f t="shared" si="55"/>
        <v>116A</v>
      </c>
      <c r="C791" s="329" t="s">
        <v>2104</v>
      </c>
      <c r="D791" s="458" t="s">
        <v>2677</v>
      </c>
      <c r="E791" s="295" t="s">
        <v>1977</v>
      </c>
      <c r="F791" s="371" t="s">
        <v>1230</v>
      </c>
      <c r="G791" s="252" t="s">
        <v>1918</v>
      </c>
      <c r="H791" s="282" t="s">
        <v>637</v>
      </c>
      <c r="I791" s="295" t="s">
        <v>815</v>
      </c>
      <c r="J791" s="282" t="s">
        <v>0</v>
      </c>
      <c r="K791" s="282" t="s">
        <v>452</v>
      </c>
      <c r="L791" s="297" t="s">
        <v>2318</v>
      </c>
      <c r="M791" s="282" t="s">
        <v>1401</v>
      </c>
      <c r="N791" s="282" t="s">
        <v>1400</v>
      </c>
      <c r="O791" s="238" t="s">
        <v>1801</v>
      </c>
      <c r="P791" s="64" t="s">
        <v>1866</v>
      </c>
      <c r="Q791" s="297" t="s">
        <v>1903</v>
      </c>
      <c r="R791" s="298" t="s">
        <v>1229</v>
      </c>
      <c r="S791" s="340" t="s">
        <v>10</v>
      </c>
      <c r="T791" s="295" t="s">
        <v>449</v>
      </c>
      <c r="U791" s="332" t="s">
        <v>816</v>
      </c>
      <c r="V791" s="308" t="s">
        <v>1989</v>
      </c>
      <c r="W791" s="298" t="s">
        <v>447</v>
      </c>
      <c r="X791" s="64" t="s">
        <v>521</v>
      </c>
      <c r="Y791" s="282" t="s">
        <v>1556</v>
      </c>
      <c r="Z791" s="282" t="s">
        <v>1593</v>
      </c>
      <c r="AA791" s="299"/>
      <c r="AB791" s="300" t="s">
        <v>225</v>
      </c>
      <c r="AC791" s="407" t="s">
        <v>2712</v>
      </c>
      <c r="AD791" s="302" t="s">
        <v>1042</v>
      </c>
      <c r="AE791" s="460" t="s">
        <v>2492</v>
      </c>
      <c r="AF791" s="302"/>
      <c r="AG791" s="302"/>
      <c r="AH791" s="402" t="str">
        <f t="shared" si="56"/>
        <v>[wzr2hi, 08.04.2025] Added 0.000.000.000-97 as PlaceholderBuild.PlaceholderPlant</v>
      </c>
      <c r="AI791" s="29"/>
    </row>
    <row r="792" spans="1:35" ht="26.4">
      <c r="A792" s="51">
        <v>4460</v>
      </c>
      <c r="B792" s="81" t="str">
        <f t="shared" si="55"/>
        <v>116C</v>
      </c>
      <c r="C792" s="329" t="s">
        <v>1438</v>
      </c>
      <c r="D792" s="458" t="s">
        <v>2681</v>
      </c>
      <c r="E792" s="295" t="s">
        <v>1977</v>
      </c>
      <c r="F792" s="335" t="s">
        <v>1927</v>
      </c>
      <c r="G792" s="335" t="s">
        <v>1913</v>
      </c>
      <c r="H792" s="282" t="s">
        <v>637</v>
      </c>
      <c r="I792" s="295" t="s">
        <v>5</v>
      </c>
      <c r="J792" s="282" t="s">
        <v>0</v>
      </c>
      <c r="K792" s="282" t="s">
        <v>452</v>
      </c>
      <c r="L792" s="297" t="s">
        <v>2318</v>
      </c>
      <c r="M792" s="282" t="s">
        <v>1496</v>
      </c>
      <c r="N792" s="282" t="s">
        <v>1215</v>
      </c>
      <c r="O792" s="238" t="s">
        <v>1801</v>
      </c>
      <c r="P792" s="64" t="s">
        <v>1866</v>
      </c>
      <c r="Q792" s="297" t="s">
        <v>1903</v>
      </c>
      <c r="R792" s="298" t="s">
        <v>1354</v>
      </c>
      <c r="S792" s="340" t="s">
        <v>10</v>
      </c>
      <c r="T792" s="295" t="s">
        <v>449</v>
      </c>
      <c r="U792" s="332" t="s">
        <v>816</v>
      </c>
      <c r="V792" s="308" t="s">
        <v>615</v>
      </c>
      <c r="W792" s="298" t="s">
        <v>447</v>
      </c>
      <c r="X792" s="297" t="s">
        <v>362</v>
      </c>
      <c r="Y792" s="282" t="s">
        <v>2014</v>
      </c>
      <c r="Z792" s="282" t="s">
        <v>1593</v>
      </c>
      <c r="AA792" s="299"/>
      <c r="AB792" s="300" t="s">
        <v>225</v>
      </c>
      <c r="AC792" s="411" t="s">
        <v>2842</v>
      </c>
      <c r="AD792" s="302" t="s">
        <v>1042</v>
      </c>
      <c r="AE792" s="460" t="s">
        <v>2479</v>
      </c>
      <c r="AF792" s="302"/>
      <c r="AG792" s="302"/>
      <c r="AH792" s="261" t="s">
        <v>2914</v>
      </c>
      <c r="AI792" s="29"/>
    </row>
    <row r="793" spans="1:35" ht="26.4">
      <c r="A793" s="51">
        <v>4461</v>
      </c>
      <c r="B793" s="81" t="str">
        <f t="shared" si="55"/>
        <v>116D</v>
      </c>
      <c r="C793" s="329" t="s">
        <v>2157</v>
      </c>
      <c r="D793" s="458" t="s">
        <v>2677</v>
      </c>
      <c r="E793" s="295" t="s">
        <v>1977</v>
      </c>
      <c r="F793" s="371" t="s">
        <v>1230</v>
      </c>
      <c r="G793" s="252" t="s">
        <v>1918</v>
      </c>
      <c r="H793" s="282" t="s">
        <v>637</v>
      </c>
      <c r="I793" s="295" t="s">
        <v>815</v>
      </c>
      <c r="J793" s="282" t="s">
        <v>0</v>
      </c>
      <c r="K793" s="282" t="s">
        <v>452</v>
      </c>
      <c r="L793" s="297" t="s">
        <v>2318</v>
      </c>
      <c r="M793" s="282" t="s">
        <v>1401</v>
      </c>
      <c r="N793" s="282" t="s">
        <v>1400</v>
      </c>
      <c r="O793" s="238" t="s">
        <v>1801</v>
      </c>
      <c r="P793" s="64" t="s">
        <v>1866</v>
      </c>
      <c r="Q793" s="297" t="s">
        <v>1903</v>
      </c>
      <c r="R793" s="298" t="s">
        <v>1398</v>
      </c>
      <c r="S793" s="340" t="s">
        <v>10</v>
      </c>
      <c r="T793" s="367" t="s">
        <v>450</v>
      </c>
      <c r="U793" s="332" t="s">
        <v>816</v>
      </c>
      <c r="V793" s="308" t="s">
        <v>1989</v>
      </c>
      <c r="W793" s="298" t="s">
        <v>447</v>
      </c>
      <c r="X793" s="64" t="s">
        <v>521</v>
      </c>
      <c r="Y793" s="282" t="s">
        <v>1556</v>
      </c>
      <c r="Z793" s="282" t="s">
        <v>1593</v>
      </c>
      <c r="AA793" s="299"/>
      <c r="AB793" s="300" t="s">
        <v>225</v>
      </c>
      <c r="AC793" s="411" t="s">
        <v>2843</v>
      </c>
      <c r="AD793" s="302" t="s">
        <v>1042</v>
      </c>
      <c r="AE793" s="460" t="s">
        <v>2485</v>
      </c>
      <c r="AF793" s="302"/>
      <c r="AG793" s="302"/>
      <c r="AH793" s="261" t="s">
        <v>2913</v>
      </c>
      <c r="AI793" s="29"/>
    </row>
    <row r="794" spans="1:35" ht="52.8">
      <c r="A794" s="387">
        <v>4462</v>
      </c>
      <c r="B794" s="388" t="str">
        <f t="shared" si="55"/>
        <v>116E</v>
      </c>
      <c r="C794" s="329" t="s">
        <v>2136</v>
      </c>
      <c r="D794" s="458" t="s">
        <v>2680</v>
      </c>
      <c r="E794" s="295" t="s">
        <v>1977</v>
      </c>
      <c r="F794" s="371" t="s">
        <v>1230</v>
      </c>
      <c r="G794" s="252" t="s">
        <v>1918</v>
      </c>
      <c r="H794" s="282" t="s">
        <v>637</v>
      </c>
      <c r="I794" s="295" t="s">
        <v>815</v>
      </c>
      <c r="J794" s="282" t="s">
        <v>0</v>
      </c>
      <c r="K794" s="282" t="s">
        <v>452</v>
      </c>
      <c r="L794" s="297" t="s">
        <v>2318</v>
      </c>
      <c r="M794" s="282" t="s">
        <v>1401</v>
      </c>
      <c r="N794" s="282" t="s">
        <v>1400</v>
      </c>
      <c r="O794" s="304" t="s">
        <v>1802</v>
      </c>
      <c r="P794" s="64" t="s">
        <v>1867</v>
      </c>
      <c r="Q794" s="297" t="s">
        <v>1903</v>
      </c>
      <c r="R794" s="298" t="s">
        <v>1229</v>
      </c>
      <c r="S794" s="340" t="s">
        <v>10</v>
      </c>
      <c r="T794" s="295" t="s">
        <v>449</v>
      </c>
      <c r="U794" s="332" t="s">
        <v>816</v>
      </c>
      <c r="V794" s="342" t="s">
        <v>1988</v>
      </c>
      <c r="W794" s="298" t="s">
        <v>447</v>
      </c>
      <c r="X794" s="64" t="s">
        <v>521</v>
      </c>
      <c r="Y794" s="282" t="s">
        <v>2178</v>
      </c>
      <c r="Z794" s="282" t="s">
        <v>1593</v>
      </c>
      <c r="AA794" s="299"/>
      <c r="AB794" s="300" t="s">
        <v>225</v>
      </c>
      <c r="AC794" s="411" t="s">
        <v>2854</v>
      </c>
      <c r="AD794" s="302" t="s">
        <v>1042</v>
      </c>
      <c r="AE794" s="460" t="s">
        <v>2491</v>
      </c>
      <c r="AF794" s="302"/>
      <c r="AG794" s="302"/>
      <c r="AH794" s="261" t="s">
        <v>2855</v>
      </c>
      <c r="AI794" s="29"/>
    </row>
    <row r="795" spans="1:35" ht="26.4">
      <c r="A795" s="387">
        <v>4463</v>
      </c>
      <c r="B795" s="388" t="str">
        <f t="shared" si="55"/>
        <v>116F</v>
      </c>
      <c r="C795" s="329" t="s">
        <v>2157</v>
      </c>
      <c r="D795" s="458" t="s">
        <v>2680</v>
      </c>
      <c r="E795" s="295" t="s">
        <v>1977</v>
      </c>
      <c r="F795" s="371" t="s">
        <v>1230</v>
      </c>
      <c r="G795" s="252" t="s">
        <v>1918</v>
      </c>
      <c r="H795" s="282" t="s">
        <v>637</v>
      </c>
      <c r="I795" s="295" t="s">
        <v>815</v>
      </c>
      <c r="J795" s="282" t="s">
        <v>0</v>
      </c>
      <c r="K795" s="282" t="s">
        <v>452</v>
      </c>
      <c r="L795" s="297" t="s">
        <v>2318</v>
      </c>
      <c r="M795" s="282" t="s">
        <v>1401</v>
      </c>
      <c r="N795" s="282" t="s">
        <v>1400</v>
      </c>
      <c r="O795" s="238" t="s">
        <v>1801</v>
      </c>
      <c r="P795" s="64" t="s">
        <v>1866</v>
      </c>
      <c r="Q795" s="297" t="s">
        <v>1903</v>
      </c>
      <c r="R795" s="385" t="s">
        <v>1398</v>
      </c>
      <c r="S795" s="340" t="s">
        <v>10</v>
      </c>
      <c r="T795" s="367" t="s">
        <v>450</v>
      </c>
      <c r="U795" s="332" t="s">
        <v>816</v>
      </c>
      <c r="V795" s="308" t="s">
        <v>1989</v>
      </c>
      <c r="W795" s="298" t="s">
        <v>447</v>
      </c>
      <c r="X795" s="64" t="s">
        <v>521</v>
      </c>
      <c r="Y795" s="282" t="s">
        <v>2178</v>
      </c>
      <c r="Z795" s="282" t="s">
        <v>1593</v>
      </c>
      <c r="AA795" s="299"/>
      <c r="AB795" s="300" t="s">
        <v>225</v>
      </c>
      <c r="AC795" s="407" t="s">
        <v>2713</v>
      </c>
      <c r="AD795" s="302" t="s">
        <v>1042</v>
      </c>
      <c r="AE795" s="460" t="s">
        <v>2490</v>
      </c>
      <c r="AF795" s="302"/>
      <c r="AG795" s="302"/>
      <c r="AH795" s="402" t="str">
        <f t="shared" si="56"/>
        <v>[wzr2hi, 08.04.2025] Added 0.000.000.000-101 as PlaceholderBuild.PlaceholderPlant</v>
      </c>
      <c r="AI795" s="29"/>
    </row>
    <row r="796" spans="1:35" ht="26.4">
      <c r="A796" s="387">
        <v>4464</v>
      </c>
      <c r="B796" s="388" t="str">
        <f t="shared" si="55"/>
        <v>1170</v>
      </c>
      <c r="C796" s="329" t="s">
        <v>1438</v>
      </c>
      <c r="D796" s="458" t="s">
        <v>2680</v>
      </c>
      <c r="E796" s="295" t="s">
        <v>1977</v>
      </c>
      <c r="F796" s="335" t="s">
        <v>1927</v>
      </c>
      <c r="G796" s="335" t="s">
        <v>1913</v>
      </c>
      <c r="H796" s="282" t="s">
        <v>637</v>
      </c>
      <c r="I796" s="295" t="s">
        <v>5</v>
      </c>
      <c r="J796" s="282" t="s">
        <v>0</v>
      </c>
      <c r="K796" s="282" t="s">
        <v>452</v>
      </c>
      <c r="L796" s="297" t="s">
        <v>2318</v>
      </c>
      <c r="M796" s="282" t="s">
        <v>1496</v>
      </c>
      <c r="N796" s="282" t="s">
        <v>1215</v>
      </c>
      <c r="O796" s="238" t="s">
        <v>1801</v>
      </c>
      <c r="P796" s="64" t="s">
        <v>1866</v>
      </c>
      <c r="Q796" s="297" t="s">
        <v>1903</v>
      </c>
      <c r="R796" s="298" t="s">
        <v>1354</v>
      </c>
      <c r="S796" s="340" t="s">
        <v>10</v>
      </c>
      <c r="T796" s="295" t="s">
        <v>449</v>
      </c>
      <c r="U796" s="332" t="s">
        <v>816</v>
      </c>
      <c r="V796" s="308" t="s">
        <v>615</v>
      </c>
      <c r="W796" s="298" t="s">
        <v>447</v>
      </c>
      <c r="X796" s="297" t="s">
        <v>362</v>
      </c>
      <c r="Y796" s="282" t="s">
        <v>2178</v>
      </c>
      <c r="Z796" s="282" t="s">
        <v>1593</v>
      </c>
      <c r="AA796" s="299"/>
      <c r="AB796" s="300" t="s">
        <v>225</v>
      </c>
      <c r="AC796" s="407" t="s">
        <v>2714</v>
      </c>
      <c r="AD796" s="302" t="s">
        <v>1042</v>
      </c>
      <c r="AE796" s="460" t="s">
        <v>2302</v>
      </c>
      <c r="AF796" s="302"/>
      <c r="AG796" s="302"/>
      <c r="AH796" s="402" t="str">
        <f t="shared" si="56"/>
        <v>[wzr2hi, 08.04.2025] Added 0.000.000.000-102 as PlaceholderBuild.PlaceholderPlant</v>
      </c>
      <c r="AI796" s="29"/>
    </row>
    <row r="797" spans="1:35">
      <c r="A797" s="387">
        <v>4465</v>
      </c>
      <c r="B797" s="388" t="str">
        <f t="shared" si="55"/>
        <v>1171</v>
      </c>
      <c r="C797" s="329" t="s">
        <v>1754</v>
      </c>
      <c r="D797" s="458" t="s">
        <v>2680</v>
      </c>
      <c r="E797" s="295" t="s">
        <v>1977</v>
      </c>
      <c r="F797" s="372" t="s">
        <v>1315</v>
      </c>
      <c r="G797" s="115" t="s">
        <v>1914</v>
      </c>
      <c r="H797" s="282" t="s">
        <v>637</v>
      </c>
      <c r="I797" s="295" t="s">
        <v>815</v>
      </c>
      <c r="J797" s="282" t="s">
        <v>0</v>
      </c>
      <c r="K797" s="282" t="s">
        <v>454</v>
      </c>
      <c r="L797" s="360" t="s">
        <v>1306</v>
      </c>
      <c r="M797" s="282" t="s">
        <v>1401</v>
      </c>
      <c r="N797" s="282" t="s">
        <v>1400</v>
      </c>
      <c r="O797" s="296" t="s">
        <v>1806</v>
      </c>
      <c r="P797" s="64" t="s">
        <v>1866</v>
      </c>
      <c r="Q797" s="297" t="s">
        <v>1903</v>
      </c>
      <c r="R797" s="298" t="s">
        <v>1228</v>
      </c>
      <c r="S797" s="340" t="s">
        <v>10</v>
      </c>
      <c r="T797" s="367" t="s">
        <v>450</v>
      </c>
      <c r="U797" s="332" t="s">
        <v>816</v>
      </c>
      <c r="V797" s="308" t="s">
        <v>604</v>
      </c>
      <c r="W797" s="298" t="s">
        <v>447</v>
      </c>
      <c r="X797" s="297" t="s">
        <v>521</v>
      </c>
      <c r="Y797" s="282" t="s">
        <v>2178</v>
      </c>
      <c r="Z797" s="282" t="s">
        <v>1593</v>
      </c>
      <c r="AA797" s="299"/>
      <c r="AB797" s="300" t="s">
        <v>225</v>
      </c>
      <c r="AC797" s="407" t="s">
        <v>2715</v>
      </c>
      <c r="AD797" s="302" t="s">
        <v>1042</v>
      </c>
      <c r="AE797" s="460"/>
      <c r="AF797" s="302"/>
      <c r="AG797" s="302"/>
      <c r="AH797" s="402" t="str">
        <f t="shared" si="56"/>
        <v>[wzr2hi, 08.04.2025] Added 0.000.000.000-103 as PlaceholderBuild.PlaceholderPlant</v>
      </c>
      <c r="AI797" s="29"/>
    </row>
    <row r="798" spans="1:35">
      <c r="A798" s="387">
        <v>4466</v>
      </c>
      <c r="B798" s="388" t="str">
        <f t="shared" si="55"/>
        <v>1172</v>
      </c>
      <c r="C798" s="418" t="s">
        <v>1430</v>
      </c>
      <c r="D798" s="458" t="s">
        <v>2680</v>
      </c>
      <c r="E798" s="295" t="s">
        <v>1977</v>
      </c>
      <c r="F798" s="371" t="s">
        <v>1230</v>
      </c>
      <c r="G798" s="252" t="s">
        <v>1918</v>
      </c>
      <c r="H798" s="282" t="s">
        <v>637</v>
      </c>
      <c r="I798" s="295" t="s">
        <v>815</v>
      </c>
      <c r="J798" s="282" t="s">
        <v>0</v>
      </c>
      <c r="K798" s="282" t="s">
        <v>452</v>
      </c>
      <c r="L798" s="297" t="s">
        <v>2318</v>
      </c>
      <c r="M798" s="282" t="s">
        <v>1401</v>
      </c>
      <c r="N798" s="282" t="s">
        <v>1400</v>
      </c>
      <c r="O798" s="238" t="s">
        <v>1801</v>
      </c>
      <c r="P798" s="64" t="s">
        <v>1866</v>
      </c>
      <c r="Q798" s="297" t="s">
        <v>1903</v>
      </c>
      <c r="R798" s="385" t="s">
        <v>1228</v>
      </c>
      <c r="S798" s="340" t="s">
        <v>10</v>
      </c>
      <c r="T798" s="367" t="s">
        <v>450</v>
      </c>
      <c r="U798" s="332" t="s">
        <v>816</v>
      </c>
      <c r="V798" s="308" t="s">
        <v>1989</v>
      </c>
      <c r="W798" s="298" t="s">
        <v>447</v>
      </c>
      <c r="X798" s="297" t="s">
        <v>521</v>
      </c>
      <c r="Y798" s="282" t="s">
        <v>2178</v>
      </c>
      <c r="Z798" s="282" t="s">
        <v>1593</v>
      </c>
      <c r="AA798" s="299"/>
      <c r="AB798" s="300" t="s">
        <v>225</v>
      </c>
      <c r="AC798" s="407" t="s">
        <v>2716</v>
      </c>
      <c r="AD798" s="302" t="s">
        <v>1042</v>
      </c>
      <c r="AE798" s="460"/>
      <c r="AF798" s="302"/>
      <c r="AG798" s="302"/>
      <c r="AH798" s="402" t="str">
        <f t="shared" si="56"/>
        <v>[wzr2hi, 08.04.2025] Added 0.000.000.000-104 as PlaceholderBuild.PlaceholderPlant</v>
      </c>
      <c r="AI798" s="29"/>
    </row>
    <row r="799" spans="1:35">
      <c r="A799" s="387">
        <v>4467</v>
      </c>
      <c r="B799" s="388" t="str">
        <f t="shared" si="55"/>
        <v>1173</v>
      </c>
      <c r="C799" s="329" t="s">
        <v>2201</v>
      </c>
      <c r="D799" s="458" t="s">
        <v>2680</v>
      </c>
      <c r="E799" s="295" t="s">
        <v>1977</v>
      </c>
      <c r="F799" s="371" t="s">
        <v>1230</v>
      </c>
      <c r="G799" s="252" t="s">
        <v>1918</v>
      </c>
      <c r="H799" s="282" t="s">
        <v>637</v>
      </c>
      <c r="I799" s="295" t="s">
        <v>815</v>
      </c>
      <c r="J799" s="282" t="s">
        <v>0</v>
      </c>
      <c r="K799" s="282" t="s">
        <v>452</v>
      </c>
      <c r="L799" s="297" t="s">
        <v>2318</v>
      </c>
      <c r="M799" s="282" t="s">
        <v>1401</v>
      </c>
      <c r="N799" s="282" t="s">
        <v>1400</v>
      </c>
      <c r="O799" s="238" t="s">
        <v>1801</v>
      </c>
      <c r="P799" s="64" t="s">
        <v>1866</v>
      </c>
      <c r="Q799" s="297" t="s">
        <v>1903</v>
      </c>
      <c r="R799" s="385" t="s">
        <v>1229</v>
      </c>
      <c r="S799" s="340" t="s">
        <v>10</v>
      </c>
      <c r="T799" s="295" t="s">
        <v>449</v>
      </c>
      <c r="U799" s="332" t="s">
        <v>816</v>
      </c>
      <c r="V799" s="308" t="s">
        <v>1989</v>
      </c>
      <c r="W799" s="298" t="s">
        <v>447</v>
      </c>
      <c r="X799" s="297" t="s">
        <v>521</v>
      </c>
      <c r="Y799" s="282" t="s">
        <v>2178</v>
      </c>
      <c r="Z799" s="282" t="s">
        <v>1593</v>
      </c>
      <c r="AA799" s="299"/>
      <c r="AB799" s="300" t="s">
        <v>225</v>
      </c>
      <c r="AC799" s="407" t="s">
        <v>2717</v>
      </c>
      <c r="AD799" s="302" t="s">
        <v>1042</v>
      </c>
      <c r="AE799" s="460"/>
      <c r="AF799" s="302"/>
      <c r="AG799" s="302"/>
      <c r="AH799" s="402" t="str">
        <f t="shared" si="56"/>
        <v>[wzr2hi, 08.04.2025] Added 0.000.000.000-105 as PlaceholderBuild.PlaceholderPlant</v>
      </c>
      <c r="AI799" s="29"/>
    </row>
    <row r="800" spans="1:35">
      <c r="A800" s="387">
        <v>4468</v>
      </c>
      <c r="B800" s="388" t="str">
        <f t="shared" si="55"/>
        <v>1174</v>
      </c>
      <c r="C800" s="418" t="s">
        <v>2200</v>
      </c>
      <c r="D800" s="458" t="s">
        <v>2680</v>
      </c>
      <c r="E800" s="295" t="s">
        <v>1977</v>
      </c>
      <c r="F800" s="371" t="s">
        <v>1230</v>
      </c>
      <c r="G800" s="252" t="s">
        <v>1918</v>
      </c>
      <c r="H800" s="282" t="s">
        <v>637</v>
      </c>
      <c r="I800" s="295" t="s">
        <v>815</v>
      </c>
      <c r="J800" s="282" t="s">
        <v>0</v>
      </c>
      <c r="K800" s="282" t="s">
        <v>452</v>
      </c>
      <c r="L800" s="297" t="s">
        <v>2318</v>
      </c>
      <c r="M800" s="282" t="s">
        <v>1401</v>
      </c>
      <c r="N800" s="282" t="s">
        <v>1400</v>
      </c>
      <c r="O800" s="238" t="s">
        <v>1801</v>
      </c>
      <c r="P800" s="64" t="s">
        <v>1866</v>
      </c>
      <c r="Q800" s="297" t="s">
        <v>1903</v>
      </c>
      <c r="R800" s="385" t="s">
        <v>1228</v>
      </c>
      <c r="S800" s="340" t="s">
        <v>10</v>
      </c>
      <c r="T800" s="295" t="s">
        <v>449</v>
      </c>
      <c r="U800" s="332" t="s">
        <v>816</v>
      </c>
      <c r="V800" s="308" t="s">
        <v>1989</v>
      </c>
      <c r="W800" s="298" t="s">
        <v>447</v>
      </c>
      <c r="X800" s="297" t="s">
        <v>521</v>
      </c>
      <c r="Y800" s="282" t="s">
        <v>2178</v>
      </c>
      <c r="Z800" s="282" t="s">
        <v>1593</v>
      </c>
      <c r="AA800" s="299"/>
      <c r="AB800" s="300" t="s">
        <v>225</v>
      </c>
      <c r="AC800" s="407" t="s">
        <v>2718</v>
      </c>
      <c r="AD800" s="302" t="s">
        <v>1042</v>
      </c>
      <c r="AE800" s="460"/>
      <c r="AF800" s="302"/>
      <c r="AG800" s="302"/>
      <c r="AH800" s="402" t="str">
        <f t="shared" si="56"/>
        <v>[wzr2hi, 08.04.2025] Added 0.000.000.000-106 as PlaceholderBuild.PlaceholderPlant</v>
      </c>
      <c r="AI800" s="29"/>
    </row>
    <row r="801" spans="1:35">
      <c r="A801" s="387">
        <v>4469</v>
      </c>
      <c r="B801" s="388" t="str">
        <f t="shared" si="55"/>
        <v>1175</v>
      </c>
      <c r="C801" s="329" t="s">
        <v>2092</v>
      </c>
      <c r="D801" s="458" t="s">
        <v>2680</v>
      </c>
      <c r="E801" s="295" t="s">
        <v>1977</v>
      </c>
      <c r="F801" s="371" t="s">
        <v>1230</v>
      </c>
      <c r="G801" s="252" t="s">
        <v>1918</v>
      </c>
      <c r="H801" s="282" t="s">
        <v>637</v>
      </c>
      <c r="I801" s="295" t="s">
        <v>815</v>
      </c>
      <c r="J801" s="282" t="s">
        <v>0</v>
      </c>
      <c r="K801" s="282" t="s">
        <v>452</v>
      </c>
      <c r="L801" s="297" t="s">
        <v>2318</v>
      </c>
      <c r="M801" s="282" t="s">
        <v>1401</v>
      </c>
      <c r="N801" s="282" t="s">
        <v>1400</v>
      </c>
      <c r="O801" s="296" t="s">
        <v>1805</v>
      </c>
      <c r="P801" s="64" t="s">
        <v>1867</v>
      </c>
      <c r="Q801" s="297" t="s">
        <v>1903</v>
      </c>
      <c r="R801" s="298" t="s">
        <v>1229</v>
      </c>
      <c r="S801" s="340" t="s">
        <v>10</v>
      </c>
      <c r="T801" s="295" t="s">
        <v>449</v>
      </c>
      <c r="U801" s="332" t="s">
        <v>816</v>
      </c>
      <c r="V801" s="342" t="s">
        <v>787</v>
      </c>
      <c r="W801" s="298" t="s">
        <v>447</v>
      </c>
      <c r="X801" s="297" t="s">
        <v>521</v>
      </c>
      <c r="Y801" s="282" t="s">
        <v>2178</v>
      </c>
      <c r="Z801" s="282" t="s">
        <v>1593</v>
      </c>
      <c r="AA801" s="299"/>
      <c r="AB801" s="300" t="s">
        <v>225</v>
      </c>
      <c r="AC801" s="407" t="s">
        <v>2719</v>
      </c>
      <c r="AD801" s="302" t="s">
        <v>1042</v>
      </c>
      <c r="AE801" s="460"/>
      <c r="AF801" s="302"/>
      <c r="AG801" s="302"/>
      <c r="AH801" s="402" t="str">
        <f t="shared" si="56"/>
        <v>[wzr2hi, 08.04.2025] Added 0.000.000.000-107 as PlaceholderBuild.PlaceholderPlant</v>
      </c>
      <c r="AI801" s="29"/>
    </row>
    <row r="802" spans="1:35">
      <c r="A802" s="387">
        <v>4470</v>
      </c>
      <c r="B802" s="388" t="str">
        <f t="shared" si="55"/>
        <v>1176</v>
      </c>
      <c r="C802" s="329" t="s">
        <v>1747</v>
      </c>
      <c r="D802" s="458" t="s">
        <v>2680</v>
      </c>
      <c r="E802" s="295" t="s">
        <v>1977</v>
      </c>
      <c r="F802" s="371" t="s">
        <v>1230</v>
      </c>
      <c r="G802" s="252" t="s">
        <v>1918</v>
      </c>
      <c r="H802" s="282" t="s">
        <v>637</v>
      </c>
      <c r="I802" s="295" t="s">
        <v>815</v>
      </c>
      <c r="J802" s="282" t="s">
        <v>0</v>
      </c>
      <c r="K802" s="282" t="s">
        <v>452</v>
      </c>
      <c r="L802" s="297" t="s">
        <v>2318</v>
      </c>
      <c r="M802" s="282" t="s">
        <v>1401</v>
      </c>
      <c r="N802" s="282" t="s">
        <v>1400</v>
      </c>
      <c r="O802" s="238" t="s">
        <v>1804</v>
      </c>
      <c r="P802" s="64" t="s">
        <v>1867</v>
      </c>
      <c r="Q802" s="297" t="s">
        <v>1903</v>
      </c>
      <c r="R802" s="298" t="s">
        <v>1229</v>
      </c>
      <c r="S802" s="340" t="s">
        <v>10</v>
      </c>
      <c r="T802" s="295" t="s">
        <v>449</v>
      </c>
      <c r="U802" s="332" t="s">
        <v>816</v>
      </c>
      <c r="V802" s="342" t="s">
        <v>994</v>
      </c>
      <c r="W802" s="298" t="s">
        <v>447</v>
      </c>
      <c r="X802" s="297" t="s">
        <v>521</v>
      </c>
      <c r="Y802" s="282" t="s">
        <v>2178</v>
      </c>
      <c r="Z802" s="282" t="s">
        <v>1593</v>
      </c>
      <c r="AA802" s="299"/>
      <c r="AB802" s="300" t="s">
        <v>225</v>
      </c>
      <c r="AC802" s="407" t="s">
        <v>2720</v>
      </c>
      <c r="AD802" s="302" t="s">
        <v>1042</v>
      </c>
      <c r="AE802" s="460"/>
      <c r="AF802" s="302"/>
      <c r="AG802" s="302"/>
      <c r="AH802" s="402" t="str">
        <f t="shared" si="56"/>
        <v>[wzr2hi, 08.04.2025] Added 0.000.000.000-108 as PlaceholderBuild.PlaceholderPlant</v>
      </c>
      <c r="AI802" s="29"/>
    </row>
    <row r="803" spans="1:35">
      <c r="A803" s="387">
        <v>4471</v>
      </c>
      <c r="B803" s="388" t="str">
        <f t="shared" si="55"/>
        <v>1177</v>
      </c>
      <c r="C803" s="329" t="s">
        <v>1928</v>
      </c>
      <c r="D803" s="458" t="s">
        <v>2680</v>
      </c>
      <c r="E803" s="295" t="s">
        <v>1977</v>
      </c>
      <c r="F803" s="371" t="s">
        <v>1230</v>
      </c>
      <c r="G803" s="252" t="s">
        <v>1918</v>
      </c>
      <c r="H803" s="282" t="s">
        <v>637</v>
      </c>
      <c r="I803" s="295" t="s">
        <v>815</v>
      </c>
      <c r="J803" s="282" t="s">
        <v>0</v>
      </c>
      <c r="K803" s="282" t="s">
        <v>452</v>
      </c>
      <c r="L803" s="297" t="s">
        <v>2318</v>
      </c>
      <c r="M803" s="282" t="s">
        <v>1401</v>
      </c>
      <c r="N803" s="282" t="s">
        <v>1400</v>
      </c>
      <c r="O803" s="238" t="s">
        <v>1804</v>
      </c>
      <c r="P803" s="64" t="s">
        <v>1867</v>
      </c>
      <c r="Q803" s="297" t="s">
        <v>1903</v>
      </c>
      <c r="R803" s="298" t="s">
        <v>1229</v>
      </c>
      <c r="S803" s="340" t="s">
        <v>10</v>
      </c>
      <c r="T803" s="295" t="s">
        <v>449</v>
      </c>
      <c r="U803" s="332" t="s">
        <v>816</v>
      </c>
      <c r="V803" s="342" t="s">
        <v>1244</v>
      </c>
      <c r="W803" s="298" t="s">
        <v>447</v>
      </c>
      <c r="X803" s="297" t="s">
        <v>521</v>
      </c>
      <c r="Y803" s="282" t="s">
        <v>2178</v>
      </c>
      <c r="Z803" s="282" t="s">
        <v>1593</v>
      </c>
      <c r="AA803" s="299"/>
      <c r="AB803" s="300" t="s">
        <v>225</v>
      </c>
      <c r="AC803" s="407" t="s">
        <v>2721</v>
      </c>
      <c r="AD803" s="302" t="s">
        <v>1042</v>
      </c>
      <c r="AE803" s="460"/>
      <c r="AF803" s="302"/>
      <c r="AG803" s="302"/>
      <c r="AH803" s="402" t="str">
        <f t="shared" si="56"/>
        <v>[wzr2hi, 08.04.2025] Added 0.000.000.000-109 as PlaceholderBuild.PlaceholderPlant</v>
      </c>
      <c r="AI803" s="29"/>
    </row>
    <row r="804" spans="1:35">
      <c r="A804" s="387">
        <v>4472</v>
      </c>
      <c r="B804" s="388" t="str">
        <f t="shared" si="55"/>
        <v>1178</v>
      </c>
      <c r="C804" s="329" t="s">
        <v>1751</v>
      </c>
      <c r="D804" s="458" t="s">
        <v>2680</v>
      </c>
      <c r="E804" s="295" t="s">
        <v>1977</v>
      </c>
      <c r="F804" s="371" t="s">
        <v>1230</v>
      </c>
      <c r="G804" s="252" t="s">
        <v>1918</v>
      </c>
      <c r="H804" s="282" t="s">
        <v>637</v>
      </c>
      <c r="I804" s="295" t="s">
        <v>815</v>
      </c>
      <c r="J804" s="282" t="s">
        <v>0</v>
      </c>
      <c r="K804" s="282" t="s">
        <v>452</v>
      </c>
      <c r="L804" s="297" t="s">
        <v>2318</v>
      </c>
      <c r="M804" s="282" t="s">
        <v>1401</v>
      </c>
      <c r="N804" s="282" t="s">
        <v>1400</v>
      </c>
      <c r="O804" s="296" t="s">
        <v>1806</v>
      </c>
      <c r="P804" s="64" t="s">
        <v>1866</v>
      </c>
      <c r="Q804" s="297" t="s">
        <v>1903</v>
      </c>
      <c r="R804" s="298" t="s">
        <v>1229</v>
      </c>
      <c r="S804" s="340" t="s">
        <v>10</v>
      </c>
      <c r="T804" s="295" t="s">
        <v>449</v>
      </c>
      <c r="U804" s="332" t="s">
        <v>816</v>
      </c>
      <c r="V804" s="342" t="s">
        <v>930</v>
      </c>
      <c r="W804" s="298" t="s">
        <v>447</v>
      </c>
      <c r="X804" s="297" t="s">
        <v>521</v>
      </c>
      <c r="Y804" s="282" t="s">
        <v>2178</v>
      </c>
      <c r="Z804" s="282" t="s">
        <v>1593</v>
      </c>
      <c r="AA804" s="299"/>
      <c r="AB804" s="300" t="s">
        <v>225</v>
      </c>
      <c r="AC804" s="407" t="s">
        <v>2722</v>
      </c>
      <c r="AD804" s="302" t="s">
        <v>1042</v>
      </c>
      <c r="AE804" s="460"/>
      <c r="AF804" s="302"/>
      <c r="AG804" s="302"/>
      <c r="AH804" s="402" t="str">
        <f t="shared" si="56"/>
        <v>[wzr2hi, 08.04.2025] Added 0.000.000.000-110 as PlaceholderBuild.PlaceholderPlant</v>
      </c>
      <c r="AI804" s="29"/>
    </row>
    <row r="805" spans="1:35">
      <c r="A805" s="387">
        <v>4473</v>
      </c>
      <c r="B805" s="388" t="str">
        <f t="shared" si="55"/>
        <v>1179</v>
      </c>
      <c r="C805" s="329" t="s">
        <v>1752</v>
      </c>
      <c r="D805" s="458" t="s">
        <v>2680</v>
      </c>
      <c r="E805" s="295" t="s">
        <v>1977</v>
      </c>
      <c r="F805" s="371" t="s">
        <v>1230</v>
      </c>
      <c r="G805" s="252" t="s">
        <v>1918</v>
      </c>
      <c r="H805" s="282" t="s">
        <v>637</v>
      </c>
      <c r="I805" s="295" t="s">
        <v>815</v>
      </c>
      <c r="J805" s="282" t="s">
        <v>0</v>
      </c>
      <c r="K805" s="282" t="s">
        <v>452</v>
      </c>
      <c r="L805" s="297" t="s">
        <v>2318</v>
      </c>
      <c r="M805" s="282" t="s">
        <v>1401</v>
      </c>
      <c r="N805" s="282" t="s">
        <v>1400</v>
      </c>
      <c r="O805" s="296" t="s">
        <v>1806</v>
      </c>
      <c r="P805" s="64" t="s">
        <v>1866</v>
      </c>
      <c r="Q805" s="297" t="s">
        <v>1903</v>
      </c>
      <c r="R805" s="298" t="s">
        <v>1229</v>
      </c>
      <c r="S805" s="340" t="s">
        <v>10</v>
      </c>
      <c r="T805" s="295" t="s">
        <v>449</v>
      </c>
      <c r="U805" s="332" t="s">
        <v>816</v>
      </c>
      <c r="V805" s="342" t="s">
        <v>1133</v>
      </c>
      <c r="W805" s="298" t="s">
        <v>447</v>
      </c>
      <c r="X805" s="297" t="s">
        <v>521</v>
      </c>
      <c r="Y805" s="282" t="s">
        <v>2178</v>
      </c>
      <c r="Z805" s="282" t="s">
        <v>1593</v>
      </c>
      <c r="AA805" s="299"/>
      <c r="AB805" s="300" t="s">
        <v>225</v>
      </c>
      <c r="AC805" s="407" t="s">
        <v>2723</v>
      </c>
      <c r="AD805" s="302" t="s">
        <v>1042</v>
      </c>
      <c r="AE805" s="460"/>
      <c r="AF805" s="302"/>
      <c r="AG805" s="302"/>
      <c r="AH805" s="402" t="str">
        <f t="shared" si="56"/>
        <v>[wzr2hi, 08.04.2025] Added 0.000.000.000-111 as PlaceholderBuild.PlaceholderPlant</v>
      </c>
      <c r="AI805" s="29"/>
    </row>
    <row r="806" spans="1:35">
      <c r="A806" s="387">
        <v>4474</v>
      </c>
      <c r="B806" s="388" t="str">
        <f t="shared" si="55"/>
        <v>117A</v>
      </c>
      <c r="C806" s="329" t="s">
        <v>1748</v>
      </c>
      <c r="D806" s="458" t="s">
        <v>2680</v>
      </c>
      <c r="E806" s="295" t="s">
        <v>1977</v>
      </c>
      <c r="F806" s="371" t="s">
        <v>1230</v>
      </c>
      <c r="G806" s="252" t="s">
        <v>1918</v>
      </c>
      <c r="H806" s="282" t="s">
        <v>637</v>
      </c>
      <c r="I806" s="295" t="s">
        <v>815</v>
      </c>
      <c r="J806" s="282" t="s">
        <v>0</v>
      </c>
      <c r="K806" s="282" t="s">
        <v>452</v>
      </c>
      <c r="L806" s="297" t="s">
        <v>2318</v>
      </c>
      <c r="M806" s="282" t="s">
        <v>1401</v>
      </c>
      <c r="N806" s="282" t="s">
        <v>1400</v>
      </c>
      <c r="O806" s="296" t="s">
        <v>1805</v>
      </c>
      <c r="P806" s="64" t="s">
        <v>1867</v>
      </c>
      <c r="Q806" s="297" t="s">
        <v>1903</v>
      </c>
      <c r="R806" s="298" t="s">
        <v>1229</v>
      </c>
      <c r="S806" s="340" t="s">
        <v>10</v>
      </c>
      <c r="T806" s="295" t="s">
        <v>449</v>
      </c>
      <c r="U806" s="332" t="s">
        <v>816</v>
      </c>
      <c r="V806" s="342" t="s">
        <v>872</v>
      </c>
      <c r="W806" s="298" t="s">
        <v>447</v>
      </c>
      <c r="X806" s="297" t="s">
        <v>521</v>
      </c>
      <c r="Y806" s="282" t="s">
        <v>2178</v>
      </c>
      <c r="Z806" s="282" t="s">
        <v>1593</v>
      </c>
      <c r="AA806" s="299"/>
      <c r="AB806" s="300" t="s">
        <v>225</v>
      </c>
      <c r="AC806" s="407" t="s">
        <v>2724</v>
      </c>
      <c r="AD806" s="302" t="s">
        <v>1042</v>
      </c>
      <c r="AE806" s="460"/>
      <c r="AF806" s="302"/>
      <c r="AG806" s="302"/>
      <c r="AH806" s="402" t="str">
        <f t="shared" ref="AH806:AH862" si="57">"[wzr2hi, 08.04.2025] Added "&amp;AC806&amp;" as PlaceholderBuild.PlaceholderPlant"</f>
        <v>[wzr2hi, 08.04.2025] Added 0.000.000.000-112 as PlaceholderBuild.PlaceholderPlant</v>
      </c>
      <c r="AI806" s="29"/>
    </row>
    <row r="807" spans="1:35">
      <c r="A807" s="387">
        <v>4475</v>
      </c>
      <c r="B807" s="388" t="str">
        <f t="shared" si="55"/>
        <v>117B</v>
      </c>
      <c r="C807" s="329" t="s">
        <v>1753</v>
      </c>
      <c r="D807" s="458" t="s">
        <v>2680</v>
      </c>
      <c r="E807" s="295" t="s">
        <v>1977</v>
      </c>
      <c r="F807" s="371" t="s">
        <v>1230</v>
      </c>
      <c r="G807" s="252" t="s">
        <v>1918</v>
      </c>
      <c r="H807" s="282" t="s">
        <v>637</v>
      </c>
      <c r="I807" s="295" t="s">
        <v>815</v>
      </c>
      <c r="J807" s="282" t="s">
        <v>0</v>
      </c>
      <c r="K807" s="282" t="s">
        <v>452</v>
      </c>
      <c r="L807" s="297" t="s">
        <v>2318</v>
      </c>
      <c r="M807" s="282" t="s">
        <v>1401</v>
      </c>
      <c r="N807" s="282" t="s">
        <v>1400</v>
      </c>
      <c r="O807" s="296" t="s">
        <v>1803</v>
      </c>
      <c r="P807" s="64" t="s">
        <v>2105</v>
      </c>
      <c r="Q807" s="297" t="s">
        <v>1903</v>
      </c>
      <c r="R807" s="298" t="s">
        <v>1229</v>
      </c>
      <c r="S807" s="340" t="s">
        <v>10</v>
      </c>
      <c r="T807" s="295" t="s">
        <v>449</v>
      </c>
      <c r="U807" s="332" t="s">
        <v>816</v>
      </c>
      <c r="V807" s="342" t="s">
        <v>728</v>
      </c>
      <c r="W807" s="298" t="s">
        <v>447</v>
      </c>
      <c r="X807" s="297" t="s">
        <v>521</v>
      </c>
      <c r="Y807" s="282" t="s">
        <v>2178</v>
      </c>
      <c r="Z807" s="282" t="s">
        <v>1593</v>
      </c>
      <c r="AA807" s="299"/>
      <c r="AB807" s="300" t="s">
        <v>225</v>
      </c>
      <c r="AC807" s="407" t="s">
        <v>2725</v>
      </c>
      <c r="AD807" s="302" t="s">
        <v>1042</v>
      </c>
      <c r="AE807" s="460"/>
      <c r="AF807" s="302"/>
      <c r="AG807" s="302"/>
      <c r="AH807" s="402" t="str">
        <f t="shared" si="57"/>
        <v>[wzr2hi, 08.04.2025] Added 0.000.000.000-113 as PlaceholderBuild.PlaceholderPlant</v>
      </c>
      <c r="AI807" s="29"/>
    </row>
    <row r="808" spans="1:35">
      <c r="A808" s="387">
        <v>4476</v>
      </c>
      <c r="B808" s="388" t="str">
        <f t="shared" si="55"/>
        <v>117C</v>
      </c>
      <c r="C808" s="329" t="s">
        <v>1750</v>
      </c>
      <c r="D808" s="458" t="s">
        <v>2680</v>
      </c>
      <c r="E808" s="295" t="s">
        <v>1977</v>
      </c>
      <c r="F808" s="371" t="s">
        <v>1230</v>
      </c>
      <c r="G808" s="252" t="s">
        <v>1918</v>
      </c>
      <c r="H808" s="282" t="s">
        <v>637</v>
      </c>
      <c r="I808" s="295" t="s">
        <v>815</v>
      </c>
      <c r="J808" s="282" t="s">
        <v>0</v>
      </c>
      <c r="K808" s="282" t="s">
        <v>452</v>
      </c>
      <c r="L808" s="297" t="s">
        <v>2318</v>
      </c>
      <c r="M808" s="282" t="s">
        <v>1401</v>
      </c>
      <c r="N808" s="282" t="s">
        <v>1400</v>
      </c>
      <c r="O808" s="296" t="s">
        <v>1803</v>
      </c>
      <c r="P808" s="64" t="s">
        <v>2105</v>
      </c>
      <c r="Q808" s="297" t="s">
        <v>1903</v>
      </c>
      <c r="R808" s="298" t="s">
        <v>1229</v>
      </c>
      <c r="S808" s="340" t="s">
        <v>10</v>
      </c>
      <c r="T808" s="295" t="s">
        <v>449</v>
      </c>
      <c r="U808" s="332" t="s">
        <v>816</v>
      </c>
      <c r="V808" s="342" t="s">
        <v>786</v>
      </c>
      <c r="W808" s="298" t="s">
        <v>447</v>
      </c>
      <c r="X808" s="297" t="s">
        <v>521</v>
      </c>
      <c r="Y808" s="282" t="s">
        <v>2178</v>
      </c>
      <c r="Z808" s="282" t="s">
        <v>1593</v>
      </c>
      <c r="AA808" s="299"/>
      <c r="AB808" s="300" t="s">
        <v>225</v>
      </c>
      <c r="AC808" s="407" t="s">
        <v>2726</v>
      </c>
      <c r="AD808" s="302" t="s">
        <v>1042</v>
      </c>
      <c r="AE808" s="460"/>
      <c r="AF808" s="302"/>
      <c r="AG808" s="302"/>
      <c r="AH808" s="402" t="str">
        <f t="shared" si="57"/>
        <v>[wzr2hi, 08.04.2025] Added 0.000.000.000-114 as PlaceholderBuild.PlaceholderPlant</v>
      </c>
      <c r="AI808" s="29"/>
    </row>
    <row r="809" spans="1:35" ht="26.4">
      <c r="A809" s="387">
        <v>4477</v>
      </c>
      <c r="B809" s="388" t="str">
        <f t="shared" si="55"/>
        <v>117D</v>
      </c>
      <c r="C809" s="329" t="s">
        <v>2136</v>
      </c>
      <c r="D809" s="458" t="s">
        <v>2679</v>
      </c>
      <c r="E809" s="295" t="s">
        <v>1977</v>
      </c>
      <c r="F809" s="371" t="s">
        <v>1230</v>
      </c>
      <c r="G809" s="252" t="s">
        <v>1918</v>
      </c>
      <c r="H809" s="282" t="s">
        <v>637</v>
      </c>
      <c r="I809" s="295" t="s">
        <v>815</v>
      </c>
      <c r="J809" s="282" t="s">
        <v>0</v>
      </c>
      <c r="K809" s="282" t="s">
        <v>452</v>
      </c>
      <c r="L809" s="297" t="s">
        <v>2318</v>
      </c>
      <c r="M809" s="282" t="s">
        <v>1401</v>
      </c>
      <c r="N809" s="282" t="s">
        <v>1400</v>
      </c>
      <c r="O809" s="304" t="s">
        <v>1802</v>
      </c>
      <c r="P809" s="64" t="s">
        <v>1867</v>
      </c>
      <c r="Q809" s="297" t="s">
        <v>1903</v>
      </c>
      <c r="R809" s="298" t="s">
        <v>1229</v>
      </c>
      <c r="S809" s="340" t="s">
        <v>10</v>
      </c>
      <c r="T809" s="295" t="s">
        <v>449</v>
      </c>
      <c r="U809" s="332" t="s">
        <v>816</v>
      </c>
      <c r="V809" s="342" t="s">
        <v>1988</v>
      </c>
      <c r="W809" s="298" t="s">
        <v>2182</v>
      </c>
      <c r="X809" s="64" t="s">
        <v>521</v>
      </c>
      <c r="Y809" s="282" t="s">
        <v>2178</v>
      </c>
      <c r="Z809" s="282" t="s">
        <v>1593</v>
      </c>
      <c r="AA809" s="299"/>
      <c r="AB809" s="300" t="s">
        <v>225</v>
      </c>
      <c r="AC809" s="407" t="s">
        <v>2727</v>
      </c>
      <c r="AD809" s="302" t="s">
        <v>1042</v>
      </c>
      <c r="AE809" s="460" t="s">
        <v>2489</v>
      </c>
      <c r="AF809" s="302"/>
      <c r="AG809" s="302"/>
      <c r="AH809" s="402" t="str">
        <f t="shared" si="57"/>
        <v>[wzr2hi, 08.04.2025] Added 0.000.000.000-115 as PlaceholderBuild.PlaceholderPlant</v>
      </c>
      <c r="AI809" s="29"/>
    </row>
    <row r="810" spans="1:35" ht="26.4">
      <c r="A810" s="387">
        <v>4486</v>
      </c>
      <c r="B810" s="388" t="str">
        <f t="shared" si="55"/>
        <v>1186</v>
      </c>
      <c r="C810" s="329" t="s">
        <v>1754</v>
      </c>
      <c r="D810" s="458" t="s">
        <v>2679</v>
      </c>
      <c r="E810" s="295" t="s">
        <v>1977</v>
      </c>
      <c r="F810" s="372" t="s">
        <v>1315</v>
      </c>
      <c r="G810" s="115" t="s">
        <v>1914</v>
      </c>
      <c r="H810" s="282" t="s">
        <v>637</v>
      </c>
      <c r="I810" s="295" t="s">
        <v>815</v>
      </c>
      <c r="J810" s="282" t="s">
        <v>0</v>
      </c>
      <c r="K810" s="282" t="s">
        <v>454</v>
      </c>
      <c r="L810" s="360" t="s">
        <v>1306</v>
      </c>
      <c r="M810" s="282" t="s">
        <v>1401</v>
      </c>
      <c r="N810" s="282" t="s">
        <v>1400</v>
      </c>
      <c r="O810" s="296" t="s">
        <v>1806</v>
      </c>
      <c r="P810" s="64" t="s">
        <v>1866</v>
      </c>
      <c r="Q810" s="297" t="s">
        <v>1903</v>
      </c>
      <c r="R810" s="298" t="s">
        <v>1228</v>
      </c>
      <c r="S810" s="340" t="s">
        <v>10</v>
      </c>
      <c r="T810" s="367" t="s">
        <v>450</v>
      </c>
      <c r="U810" s="332" t="s">
        <v>816</v>
      </c>
      <c r="V810" s="308" t="s">
        <v>604</v>
      </c>
      <c r="W810" s="298" t="s">
        <v>2182</v>
      </c>
      <c r="X810" s="297" t="s">
        <v>521</v>
      </c>
      <c r="Y810" s="282" t="s">
        <v>2178</v>
      </c>
      <c r="Z810" s="282" t="s">
        <v>1593</v>
      </c>
      <c r="AA810" s="299"/>
      <c r="AB810" s="300" t="s">
        <v>225</v>
      </c>
      <c r="AC810" s="407" t="s">
        <v>2728</v>
      </c>
      <c r="AD810" s="302" t="s">
        <v>1042</v>
      </c>
      <c r="AE810" s="460" t="s">
        <v>2488</v>
      </c>
      <c r="AF810" s="302"/>
      <c r="AG810" s="302"/>
      <c r="AH810" s="402" t="str">
        <f t="shared" si="57"/>
        <v>[wzr2hi, 08.04.2025] Added 0.000.000.000-116 as PlaceholderBuild.PlaceholderPlant</v>
      </c>
      <c r="AI810" s="29"/>
    </row>
    <row r="811" spans="1:35">
      <c r="A811" s="387">
        <v>4487</v>
      </c>
      <c r="B811" s="388" t="str">
        <f t="shared" si="55"/>
        <v>1187</v>
      </c>
      <c r="C811" s="329" t="s">
        <v>1756</v>
      </c>
      <c r="D811" s="458" t="s">
        <v>2679</v>
      </c>
      <c r="E811" s="295" t="s">
        <v>1977</v>
      </c>
      <c r="F811" s="372" t="s">
        <v>1315</v>
      </c>
      <c r="G811" s="115" t="s">
        <v>1914</v>
      </c>
      <c r="H811" s="282" t="s">
        <v>637</v>
      </c>
      <c r="I811" s="295" t="s">
        <v>815</v>
      </c>
      <c r="J811" s="282" t="s">
        <v>0</v>
      </c>
      <c r="K811" s="282" t="s">
        <v>454</v>
      </c>
      <c r="L811" s="360" t="s">
        <v>1306</v>
      </c>
      <c r="M811" s="282" t="s">
        <v>1401</v>
      </c>
      <c r="N811" s="282" t="s">
        <v>1400</v>
      </c>
      <c r="O811" s="238" t="s">
        <v>1804</v>
      </c>
      <c r="P811" s="64" t="s">
        <v>1867</v>
      </c>
      <c r="Q811" s="297" t="s">
        <v>1903</v>
      </c>
      <c r="R811" s="298" t="s">
        <v>1229</v>
      </c>
      <c r="S811" s="340" t="s">
        <v>10</v>
      </c>
      <c r="T811" s="295" t="s">
        <v>449</v>
      </c>
      <c r="U811" s="332" t="s">
        <v>816</v>
      </c>
      <c r="V811" s="308" t="s">
        <v>599</v>
      </c>
      <c r="W811" s="298" t="s">
        <v>2182</v>
      </c>
      <c r="X811" s="297" t="s">
        <v>521</v>
      </c>
      <c r="Y811" s="282" t="s">
        <v>2178</v>
      </c>
      <c r="Z811" s="282" t="s">
        <v>1593</v>
      </c>
      <c r="AA811" s="299"/>
      <c r="AB811" s="300" t="s">
        <v>225</v>
      </c>
      <c r="AC811" s="407" t="s">
        <v>2729</v>
      </c>
      <c r="AD811" s="302" t="s">
        <v>1042</v>
      </c>
      <c r="AE811" s="460" t="s">
        <v>2487</v>
      </c>
      <c r="AF811" s="302"/>
      <c r="AG811" s="302"/>
      <c r="AH811" s="402" t="str">
        <f t="shared" si="57"/>
        <v>[wzr2hi, 08.04.2025] Added 0.000.000.000-117 as PlaceholderBuild.PlaceholderPlant</v>
      </c>
      <c r="AI811" s="29"/>
    </row>
    <row r="812" spans="1:35">
      <c r="A812" s="387">
        <v>4488</v>
      </c>
      <c r="B812" s="388" t="str">
        <f t="shared" si="55"/>
        <v>1188</v>
      </c>
      <c r="C812" s="329" t="s">
        <v>1748</v>
      </c>
      <c r="D812" s="458" t="s">
        <v>2677</v>
      </c>
      <c r="E812" s="295" t="s">
        <v>1977</v>
      </c>
      <c r="F812" s="371" t="s">
        <v>1230</v>
      </c>
      <c r="G812" s="252" t="s">
        <v>1918</v>
      </c>
      <c r="H812" s="282" t="s">
        <v>637</v>
      </c>
      <c r="I812" s="295" t="s">
        <v>815</v>
      </c>
      <c r="J812" s="282" t="s">
        <v>0</v>
      </c>
      <c r="K812" s="282" t="s">
        <v>452</v>
      </c>
      <c r="L812" s="297" t="s">
        <v>2318</v>
      </c>
      <c r="M812" s="282" t="s">
        <v>1399</v>
      </c>
      <c r="N812" s="282" t="s">
        <v>1215</v>
      </c>
      <c r="O812" s="304" t="s">
        <v>1805</v>
      </c>
      <c r="P812" s="64" t="s">
        <v>1867</v>
      </c>
      <c r="Q812" s="297" t="s">
        <v>1903</v>
      </c>
      <c r="R812" s="298" t="s">
        <v>1229</v>
      </c>
      <c r="S812" s="340" t="s">
        <v>10</v>
      </c>
      <c r="T812" s="295" t="s">
        <v>449</v>
      </c>
      <c r="U812" s="332" t="s">
        <v>816</v>
      </c>
      <c r="V812" s="342" t="s">
        <v>872</v>
      </c>
      <c r="W812" s="298" t="s">
        <v>447</v>
      </c>
      <c r="X812" s="297" t="s">
        <v>521</v>
      </c>
      <c r="Y812" s="282" t="s">
        <v>1556</v>
      </c>
      <c r="Z812" s="282" t="s">
        <v>1593</v>
      </c>
      <c r="AA812" s="299"/>
      <c r="AB812" s="300" t="s">
        <v>225</v>
      </c>
      <c r="AC812" s="407" t="s">
        <v>2730</v>
      </c>
      <c r="AD812" s="302" t="s">
        <v>1042</v>
      </c>
      <c r="AE812" s="460"/>
      <c r="AF812" s="302"/>
      <c r="AG812" s="302"/>
      <c r="AH812" s="402" t="str">
        <f t="shared" si="57"/>
        <v>[wzr2hi, 08.04.2025] Added 0.000.000.000-118 as PlaceholderBuild.PlaceholderPlant</v>
      </c>
      <c r="AI812" s="29"/>
    </row>
    <row r="813" spans="1:35" ht="26.4">
      <c r="A813" s="387">
        <v>4489</v>
      </c>
      <c r="B813" s="388" t="str">
        <f t="shared" si="55"/>
        <v>1189</v>
      </c>
      <c r="C813" s="329" t="s">
        <v>2157</v>
      </c>
      <c r="D813" s="458" t="s">
        <v>2679</v>
      </c>
      <c r="E813" s="295" t="s">
        <v>1977</v>
      </c>
      <c r="F813" s="371" t="s">
        <v>1230</v>
      </c>
      <c r="G813" s="252" t="s">
        <v>1918</v>
      </c>
      <c r="H813" s="282" t="s">
        <v>637</v>
      </c>
      <c r="I813" s="295" t="s">
        <v>815</v>
      </c>
      <c r="J813" s="282" t="s">
        <v>0</v>
      </c>
      <c r="K813" s="282" t="s">
        <v>452</v>
      </c>
      <c r="L813" s="297" t="s">
        <v>2318</v>
      </c>
      <c r="M813" s="282" t="s">
        <v>1401</v>
      </c>
      <c r="N813" s="282" t="s">
        <v>1400</v>
      </c>
      <c r="O813" s="238" t="s">
        <v>1801</v>
      </c>
      <c r="P813" s="64" t="s">
        <v>1866</v>
      </c>
      <c r="Q813" s="297" t="s">
        <v>1903</v>
      </c>
      <c r="R813" s="298" t="s">
        <v>1398</v>
      </c>
      <c r="S813" s="340" t="s">
        <v>10</v>
      </c>
      <c r="T813" s="367" t="s">
        <v>450</v>
      </c>
      <c r="U813" s="332" t="s">
        <v>816</v>
      </c>
      <c r="V813" s="342" t="s">
        <v>1989</v>
      </c>
      <c r="W813" s="298" t="s">
        <v>2182</v>
      </c>
      <c r="X813" s="64" t="s">
        <v>521</v>
      </c>
      <c r="Y813" s="282" t="s">
        <v>2178</v>
      </c>
      <c r="Z813" s="282" t="s">
        <v>1593</v>
      </c>
      <c r="AA813" s="299"/>
      <c r="AB813" s="300" t="s">
        <v>225</v>
      </c>
      <c r="AC813" s="407" t="s">
        <v>2731</v>
      </c>
      <c r="AD813" s="302" t="s">
        <v>1042</v>
      </c>
      <c r="AE813" s="460" t="s">
        <v>2342</v>
      </c>
      <c r="AF813" s="302"/>
      <c r="AG813" s="302"/>
      <c r="AH813" s="402" t="str">
        <f t="shared" si="57"/>
        <v>[wzr2hi, 08.04.2025] Added 0.000.000.000-119 as PlaceholderBuild.PlaceholderPlant</v>
      </c>
      <c r="AI813" s="29"/>
    </row>
    <row r="814" spans="1:35">
      <c r="A814" s="51">
        <v>4490</v>
      </c>
      <c r="B814" s="81" t="str">
        <f t="shared" si="55"/>
        <v>118A</v>
      </c>
      <c r="C814" s="329" t="s">
        <v>2329</v>
      </c>
      <c r="D814" s="458" t="s">
        <v>2677</v>
      </c>
      <c r="E814" s="295" t="s">
        <v>1977</v>
      </c>
      <c r="F814" s="393" t="s">
        <v>2324</v>
      </c>
      <c r="G814" s="394" t="s">
        <v>2326</v>
      </c>
      <c r="H814" s="282" t="s">
        <v>637</v>
      </c>
      <c r="I814" s="295" t="s">
        <v>815</v>
      </c>
      <c r="J814" s="282" t="s">
        <v>1409</v>
      </c>
      <c r="K814" s="282" t="s">
        <v>452</v>
      </c>
      <c r="L814" s="297" t="s">
        <v>2317</v>
      </c>
      <c r="M814" s="282" t="s">
        <v>1401</v>
      </c>
      <c r="N814" s="282" t="s">
        <v>1400</v>
      </c>
      <c r="O814" s="238" t="s">
        <v>1801</v>
      </c>
      <c r="P814" s="64" t="s">
        <v>1866</v>
      </c>
      <c r="Q814" s="297" t="s">
        <v>1903</v>
      </c>
      <c r="R814" s="298" t="s">
        <v>1398</v>
      </c>
      <c r="S814" s="340" t="s">
        <v>10</v>
      </c>
      <c r="T814" s="367" t="s">
        <v>450</v>
      </c>
      <c r="U814" s="332" t="s">
        <v>816</v>
      </c>
      <c r="V814" s="342" t="s">
        <v>1989</v>
      </c>
      <c r="W814" s="298" t="s">
        <v>447</v>
      </c>
      <c r="X814" s="64" t="s">
        <v>521</v>
      </c>
      <c r="Y814" s="282" t="s">
        <v>1556</v>
      </c>
      <c r="Z814" s="282" t="s">
        <v>1593</v>
      </c>
      <c r="AA814" s="299"/>
      <c r="AB814" s="300" t="s">
        <v>225</v>
      </c>
      <c r="AC814" s="407" t="s">
        <v>2732</v>
      </c>
      <c r="AD814" s="302" t="s">
        <v>1042</v>
      </c>
      <c r="AE814" s="460"/>
      <c r="AF814" s="302"/>
      <c r="AG814" s="302"/>
      <c r="AH814" s="402" t="str">
        <f t="shared" si="57"/>
        <v>[wzr2hi, 08.04.2025] Added 0.000.000.000-120 as PlaceholderBuild.PlaceholderPlant</v>
      </c>
      <c r="AI814" s="29"/>
    </row>
    <row r="815" spans="1:35" s="1" customFormat="1" ht="26.4">
      <c r="A815" s="347">
        <v>4491</v>
      </c>
      <c r="B815" s="348" t="str">
        <f t="shared" si="55"/>
        <v>118B</v>
      </c>
      <c r="C815" s="323" t="s">
        <v>2331</v>
      </c>
      <c r="D815" s="458" t="s">
        <v>2677</v>
      </c>
      <c r="E815" s="295" t="s">
        <v>1977</v>
      </c>
      <c r="F815" s="395" t="s">
        <v>2325</v>
      </c>
      <c r="G815" s="395" t="s">
        <v>2327</v>
      </c>
      <c r="H815" s="282" t="s">
        <v>637</v>
      </c>
      <c r="I815" s="295" t="s">
        <v>5</v>
      </c>
      <c r="J815" s="282" t="s">
        <v>1409</v>
      </c>
      <c r="K815" s="282" t="s">
        <v>452</v>
      </c>
      <c r="L815" s="297" t="s">
        <v>2317</v>
      </c>
      <c r="M815" s="282" t="s">
        <v>1496</v>
      </c>
      <c r="N815" s="282" t="s">
        <v>1215</v>
      </c>
      <c r="O815" s="296" t="s">
        <v>1801</v>
      </c>
      <c r="P815" s="64" t="s">
        <v>1866</v>
      </c>
      <c r="Q815" s="297" t="s">
        <v>1903</v>
      </c>
      <c r="R815" s="314" t="s">
        <v>1354</v>
      </c>
      <c r="S815" s="340" t="s">
        <v>10</v>
      </c>
      <c r="T815" s="295" t="s">
        <v>449</v>
      </c>
      <c r="U815" s="332" t="s">
        <v>816</v>
      </c>
      <c r="V815" s="308" t="s">
        <v>615</v>
      </c>
      <c r="W815" s="314" t="s">
        <v>447</v>
      </c>
      <c r="X815" s="297" t="s">
        <v>362</v>
      </c>
      <c r="Y815" s="282" t="s">
        <v>1556</v>
      </c>
      <c r="Z815" s="282" t="s">
        <v>1593</v>
      </c>
      <c r="AA815" s="284"/>
      <c r="AB815" s="300" t="s">
        <v>225</v>
      </c>
      <c r="AC815" s="411" t="s">
        <v>2922</v>
      </c>
      <c r="AD815" s="302" t="s">
        <v>1042</v>
      </c>
      <c r="AE815" s="460"/>
      <c r="AF815" s="302"/>
      <c r="AG815" s="302"/>
      <c r="AH815" s="261" t="s">
        <v>2923</v>
      </c>
      <c r="AI815" s="29"/>
    </row>
    <row r="816" spans="1:35" s="1" customFormat="1">
      <c r="A816" s="347">
        <v>4492</v>
      </c>
      <c r="B816" s="348" t="str">
        <f t="shared" si="55"/>
        <v>118C</v>
      </c>
      <c r="C816" s="323" t="s">
        <v>2330</v>
      </c>
      <c r="D816" s="458" t="s">
        <v>2677</v>
      </c>
      <c r="E816" s="295" t="s">
        <v>1977</v>
      </c>
      <c r="F816" s="393" t="s">
        <v>2324</v>
      </c>
      <c r="G816" s="393" t="s">
        <v>2326</v>
      </c>
      <c r="H816" s="282" t="s">
        <v>637</v>
      </c>
      <c r="I816" s="295" t="s">
        <v>815</v>
      </c>
      <c r="J816" s="282" t="s">
        <v>1409</v>
      </c>
      <c r="K816" s="282" t="s">
        <v>452</v>
      </c>
      <c r="L816" s="297" t="s">
        <v>2317</v>
      </c>
      <c r="M816" s="282" t="s">
        <v>1401</v>
      </c>
      <c r="N816" s="282" t="s">
        <v>1400</v>
      </c>
      <c r="O816" s="296" t="s">
        <v>1803</v>
      </c>
      <c r="P816" s="64" t="s">
        <v>2105</v>
      </c>
      <c r="Q816" s="297" t="s">
        <v>1903</v>
      </c>
      <c r="R816" s="314" t="s">
        <v>1229</v>
      </c>
      <c r="S816" s="340" t="s">
        <v>10</v>
      </c>
      <c r="T816" s="295" t="s">
        <v>449</v>
      </c>
      <c r="U816" s="332" t="s">
        <v>816</v>
      </c>
      <c r="V816" s="342" t="s">
        <v>728</v>
      </c>
      <c r="W816" s="314" t="s">
        <v>447</v>
      </c>
      <c r="X816" s="297" t="s">
        <v>521</v>
      </c>
      <c r="Y816" s="282" t="s">
        <v>1556</v>
      </c>
      <c r="Z816" s="282" t="s">
        <v>1593</v>
      </c>
      <c r="AA816" s="284"/>
      <c r="AB816" s="300" t="s">
        <v>225</v>
      </c>
      <c r="AC816" s="407" t="s">
        <v>2733</v>
      </c>
      <c r="AD816" s="302" t="s">
        <v>1042</v>
      </c>
      <c r="AE816" s="460"/>
      <c r="AF816" s="302"/>
      <c r="AG816" s="302"/>
      <c r="AH816" s="402" t="str">
        <f t="shared" si="57"/>
        <v>[wzr2hi, 08.04.2025] Added 0.000.000.000-122 as PlaceholderBuild.PlaceholderPlant</v>
      </c>
      <c r="AI816" s="29"/>
    </row>
    <row r="817" spans="1:35" s="1" customFormat="1">
      <c r="A817" s="347">
        <v>4493</v>
      </c>
      <c r="B817" s="348" t="str">
        <f t="shared" si="55"/>
        <v>118D</v>
      </c>
      <c r="C817" s="323" t="s">
        <v>2332</v>
      </c>
      <c r="D817" s="458" t="s">
        <v>2676</v>
      </c>
      <c r="E817" s="295" t="s">
        <v>1977</v>
      </c>
      <c r="F817" s="410" t="s">
        <v>2323</v>
      </c>
      <c r="G817" s="410" t="s">
        <v>2328</v>
      </c>
      <c r="H817" s="282" t="s">
        <v>637</v>
      </c>
      <c r="I817" s="314" t="s">
        <v>4</v>
      </c>
      <c r="J817" s="282" t="s">
        <v>1409</v>
      </c>
      <c r="K817" s="282" t="s">
        <v>451</v>
      </c>
      <c r="L817" s="297" t="s">
        <v>2317</v>
      </c>
      <c r="M817" s="282" t="s">
        <v>1403</v>
      </c>
      <c r="N817" s="282" t="s">
        <v>1215</v>
      </c>
      <c r="O817" s="296" t="s">
        <v>1801</v>
      </c>
      <c r="P817" s="64" t="s">
        <v>1866</v>
      </c>
      <c r="Q817" s="297" t="s">
        <v>1903</v>
      </c>
      <c r="R817" s="314" t="s">
        <v>1398</v>
      </c>
      <c r="S817" s="340" t="s">
        <v>10</v>
      </c>
      <c r="T817" s="367" t="s">
        <v>450</v>
      </c>
      <c r="U817" s="332" t="s">
        <v>816</v>
      </c>
      <c r="V817" s="308" t="s">
        <v>7</v>
      </c>
      <c r="W817" s="314" t="s">
        <v>447</v>
      </c>
      <c r="X817" s="297" t="s">
        <v>521</v>
      </c>
      <c r="Y817" s="282" t="s">
        <v>1556</v>
      </c>
      <c r="Z817" s="282" t="s">
        <v>1592</v>
      </c>
      <c r="AA817" s="284"/>
      <c r="AB817" s="300" t="s">
        <v>225</v>
      </c>
      <c r="AC817" s="407" t="s">
        <v>2734</v>
      </c>
      <c r="AD817" s="302" t="s">
        <v>1042</v>
      </c>
      <c r="AE817" s="460"/>
      <c r="AF817" s="302"/>
      <c r="AG817" s="302"/>
      <c r="AH817" s="402" t="str">
        <f t="shared" si="57"/>
        <v>[wzr2hi, 08.04.2025] Added 0.000.000.000-123 as PlaceholderBuild.PlaceholderPlant</v>
      </c>
      <c r="AI817" s="29"/>
    </row>
    <row r="818" spans="1:35" s="1" customFormat="1">
      <c r="A818" s="347">
        <v>4494</v>
      </c>
      <c r="B818" s="348" t="str">
        <f t="shared" ref="B818:B862" si="58">DEC2HEX(A818,4)</f>
        <v>118E</v>
      </c>
      <c r="C818" s="419" t="s">
        <v>2467</v>
      </c>
      <c r="D818" s="458" t="s">
        <v>2676</v>
      </c>
      <c r="E818" s="295" t="s">
        <v>1977</v>
      </c>
      <c r="F818" s="410" t="s">
        <v>2323</v>
      </c>
      <c r="G818" s="410" t="s">
        <v>2328</v>
      </c>
      <c r="H818" s="282" t="s">
        <v>637</v>
      </c>
      <c r="I818" s="314" t="s">
        <v>4</v>
      </c>
      <c r="J818" s="282" t="s">
        <v>1409</v>
      </c>
      <c r="K818" s="282" t="s">
        <v>451</v>
      </c>
      <c r="L818" s="297" t="s">
        <v>2317</v>
      </c>
      <c r="M818" s="282" t="s">
        <v>1403</v>
      </c>
      <c r="N818" s="282" t="s">
        <v>1215</v>
      </c>
      <c r="O818" s="391" t="s">
        <v>1802</v>
      </c>
      <c r="P818" s="64" t="s">
        <v>1867</v>
      </c>
      <c r="Q818" s="297" t="s">
        <v>1903</v>
      </c>
      <c r="R818" s="314" t="s">
        <v>1229</v>
      </c>
      <c r="S818" s="340" t="s">
        <v>10</v>
      </c>
      <c r="T818" s="295" t="s">
        <v>449</v>
      </c>
      <c r="U818" s="332" t="s">
        <v>816</v>
      </c>
      <c r="V818" s="308" t="s">
        <v>7</v>
      </c>
      <c r="W818" s="314" t="s">
        <v>447</v>
      </c>
      <c r="X818" s="297" t="s">
        <v>521</v>
      </c>
      <c r="Y818" s="282" t="s">
        <v>1556</v>
      </c>
      <c r="Z818" s="282" t="s">
        <v>1592</v>
      </c>
      <c r="AA818" s="284"/>
      <c r="AB818" s="300" t="s">
        <v>225</v>
      </c>
      <c r="AC818" s="407" t="s">
        <v>2735</v>
      </c>
      <c r="AD818" s="302" t="s">
        <v>1042</v>
      </c>
      <c r="AE818" s="460"/>
      <c r="AF818" s="302"/>
      <c r="AG818" s="302"/>
      <c r="AH818" s="402" t="str">
        <f t="shared" si="57"/>
        <v>[wzr2hi, 08.04.2025] Added 0.000.000.000-124 as PlaceholderBuild.PlaceholderPlant</v>
      </c>
      <c r="AI818" s="29"/>
    </row>
    <row r="819" spans="1:35" s="1" customFormat="1">
      <c r="A819" s="347">
        <v>4495</v>
      </c>
      <c r="B819" s="348" t="str">
        <f t="shared" si="58"/>
        <v>118F</v>
      </c>
      <c r="C819" s="323" t="s">
        <v>2431</v>
      </c>
      <c r="D819" s="458" t="s">
        <v>2676</v>
      </c>
      <c r="E819" s="295" t="s">
        <v>1977</v>
      </c>
      <c r="F819" s="410" t="s">
        <v>2323</v>
      </c>
      <c r="G819" s="410" t="s">
        <v>2328</v>
      </c>
      <c r="H819" s="282" t="s">
        <v>637</v>
      </c>
      <c r="I819" s="314" t="s">
        <v>4</v>
      </c>
      <c r="J819" s="282" t="s">
        <v>1409</v>
      </c>
      <c r="K819" s="282" t="s">
        <v>451</v>
      </c>
      <c r="L819" s="297" t="s">
        <v>2317</v>
      </c>
      <c r="M819" s="282" t="s">
        <v>1403</v>
      </c>
      <c r="N819" s="282" t="s">
        <v>1215</v>
      </c>
      <c r="O819" s="296" t="s">
        <v>1805</v>
      </c>
      <c r="P819" s="64" t="s">
        <v>1867</v>
      </c>
      <c r="Q819" s="297" t="s">
        <v>1903</v>
      </c>
      <c r="R819" s="314" t="s">
        <v>1229</v>
      </c>
      <c r="S819" s="340" t="s">
        <v>10</v>
      </c>
      <c r="T819" s="295" t="s">
        <v>449</v>
      </c>
      <c r="U819" s="332" t="s">
        <v>816</v>
      </c>
      <c r="V819" s="308" t="s">
        <v>7</v>
      </c>
      <c r="W819" s="314" t="s">
        <v>447</v>
      </c>
      <c r="X819" s="297" t="s">
        <v>521</v>
      </c>
      <c r="Y819" s="282" t="s">
        <v>1556</v>
      </c>
      <c r="Z819" s="282" t="s">
        <v>1592</v>
      </c>
      <c r="AA819" s="284"/>
      <c r="AB819" s="300" t="s">
        <v>225</v>
      </c>
      <c r="AC819" s="407" t="s">
        <v>2736</v>
      </c>
      <c r="AD819" s="302" t="s">
        <v>1042</v>
      </c>
      <c r="AE819" s="460"/>
      <c r="AF819" s="302"/>
      <c r="AG819" s="302"/>
      <c r="AH819" s="402" t="str">
        <f t="shared" si="57"/>
        <v>[wzr2hi, 08.04.2025] Added 0.000.000.000-125 as PlaceholderBuild.PlaceholderPlant</v>
      </c>
      <c r="AI819" s="29"/>
    </row>
    <row r="820" spans="1:35" s="1" customFormat="1">
      <c r="A820" s="347">
        <v>4496</v>
      </c>
      <c r="B820" s="348" t="str">
        <f t="shared" si="58"/>
        <v>1190</v>
      </c>
      <c r="C820" s="323" t="s">
        <v>2333</v>
      </c>
      <c r="D820" s="458" t="s">
        <v>2676</v>
      </c>
      <c r="E820" s="295" t="s">
        <v>1977</v>
      </c>
      <c r="F820" s="410" t="s">
        <v>2323</v>
      </c>
      <c r="G820" s="410" t="s">
        <v>2328</v>
      </c>
      <c r="H820" s="282" t="s">
        <v>637</v>
      </c>
      <c r="I820" s="314" t="s">
        <v>4</v>
      </c>
      <c r="J820" s="282" t="s">
        <v>1409</v>
      </c>
      <c r="K820" s="282" t="s">
        <v>451</v>
      </c>
      <c r="L820" s="297" t="s">
        <v>2317</v>
      </c>
      <c r="M820" s="282" t="s">
        <v>1403</v>
      </c>
      <c r="N820" s="282" t="s">
        <v>1215</v>
      </c>
      <c r="O820" s="296" t="s">
        <v>1804</v>
      </c>
      <c r="P820" s="64" t="s">
        <v>1867</v>
      </c>
      <c r="Q820" s="297" t="s">
        <v>1903</v>
      </c>
      <c r="R820" s="314" t="s">
        <v>1229</v>
      </c>
      <c r="S820" s="340" t="s">
        <v>10</v>
      </c>
      <c r="T820" s="295" t="s">
        <v>449</v>
      </c>
      <c r="U820" s="332" t="s">
        <v>816</v>
      </c>
      <c r="V820" s="308" t="s">
        <v>7</v>
      </c>
      <c r="W820" s="314" t="s">
        <v>447</v>
      </c>
      <c r="X820" s="297" t="s">
        <v>521</v>
      </c>
      <c r="Y820" s="282" t="s">
        <v>1556</v>
      </c>
      <c r="Z820" s="282" t="s">
        <v>1592</v>
      </c>
      <c r="AA820" s="284"/>
      <c r="AB820" s="300" t="s">
        <v>225</v>
      </c>
      <c r="AC820" s="407" t="s">
        <v>2737</v>
      </c>
      <c r="AD820" s="302" t="s">
        <v>1042</v>
      </c>
      <c r="AE820" s="460"/>
      <c r="AF820" s="302"/>
      <c r="AG820" s="302"/>
      <c r="AH820" s="402" t="str">
        <f t="shared" si="57"/>
        <v>[wzr2hi, 08.04.2025] Added 0.000.000.000-126 as PlaceholderBuild.PlaceholderPlant</v>
      </c>
      <c r="AI820" s="29"/>
    </row>
    <row r="821" spans="1:35" s="1" customFormat="1">
      <c r="A821" s="347">
        <v>4497</v>
      </c>
      <c r="B821" s="348" t="str">
        <f t="shared" si="58"/>
        <v>1191</v>
      </c>
      <c r="C821" s="323" t="s">
        <v>2432</v>
      </c>
      <c r="D821" s="458" t="s">
        <v>2676</v>
      </c>
      <c r="E821" s="295" t="s">
        <v>1977</v>
      </c>
      <c r="F821" s="410" t="s">
        <v>2323</v>
      </c>
      <c r="G821" s="410" t="s">
        <v>2328</v>
      </c>
      <c r="H821" s="282" t="s">
        <v>637</v>
      </c>
      <c r="I821" s="314" t="s">
        <v>4</v>
      </c>
      <c r="J821" s="282" t="s">
        <v>1409</v>
      </c>
      <c r="K821" s="282" t="s">
        <v>451</v>
      </c>
      <c r="L821" s="297" t="s">
        <v>2317</v>
      </c>
      <c r="M821" s="282" t="s">
        <v>1403</v>
      </c>
      <c r="N821" s="282" t="s">
        <v>1215</v>
      </c>
      <c r="O821" s="296" t="s">
        <v>1803</v>
      </c>
      <c r="P821" s="64" t="s">
        <v>2105</v>
      </c>
      <c r="Q821" s="297" t="s">
        <v>1903</v>
      </c>
      <c r="R821" s="314" t="s">
        <v>1398</v>
      </c>
      <c r="S821" s="340" t="s">
        <v>10</v>
      </c>
      <c r="T821" s="295" t="s">
        <v>449</v>
      </c>
      <c r="U821" s="332" t="s">
        <v>816</v>
      </c>
      <c r="V821" s="308" t="s">
        <v>7</v>
      </c>
      <c r="W821" s="314" t="s">
        <v>447</v>
      </c>
      <c r="X821" s="297" t="s">
        <v>521</v>
      </c>
      <c r="Y821" s="282" t="s">
        <v>1556</v>
      </c>
      <c r="Z821" s="282" t="s">
        <v>1592</v>
      </c>
      <c r="AA821" s="284"/>
      <c r="AB821" s="300" t="s">
        <v>225</v>
      </c>
      <c r="AC821" s="407" t="s">
        <v>2738</v>
      </c>
      <c r="AD821" s="302" t="s">
        <v>1042</v>
      </c>
      <c r="AE821" s="460"/>
      <c r="AF821" s="302"/>
      <c r="AG821" s="302"/>
      <c r="AH821" s="402" t="str">
        <f t="shared" si="57"/>
        <v>[wzr2hi, 08.04.2025] Added 0.000.000.000-127 as PlaceholderBuild.PlaceholderPlant</v>
      </c>
      <c r="AI821" s="29"/>
    </row>
    <row r="822" spans="1:35" s="1" customFormat="1">
      <c r="A822" s="347">
        <v>4498</v>
      </c>
      <c r="B822" s="348" t="str">
        <f t="shared" si="58"/>
        <v>1192</v>
      </c>
      <c r="C822" s="323" t="s">
        <v>2334</v>
      </c>
      <c r="D822" s="458" t="s">
        <v>2677</v>
      </c>
      <c r="E822" s="295" t="s">
        <v>1977</v>
      </c>
      <c r="F822" s="393" t="s">
        <v>2324</v>
      </c>
      <c r="G822" s="393" t="s">
        <v>2326</v>
      </c>
      <c r="H822" s="282" t="s">
        <v>637</v>
      </c>
      <c r="I822" s="295" t="s">
        <v>815</v>
      </c>
      <c r="J822" s="282" t="s">
        <v>1409</v>
      </c>
      <c r="K822" s="282" t="s">
        <v>452</v>
      </c>
      <c r="L822" s="297" t="s">
        <v>2317</v>
      </c>
      <c r="M822" s="282" t="s">
        <v>1401</v>
      </c>
      <c r="N822" s="282" t="s">
        <v>1400</v>
      </c>
      <c r="O822" s="296" t="s">
        <v>1801</v>
      </c>
      <c r="P822" s="64" t="s">
        <v>1866</v>
      </c>
      <c r="Q822" s="297" t="s">
        <v>1903</v>
      </c>
      <c r="R822" s="314" t="s">
        <v>1229</v>
      </c>
      <c r="S822" s="340" t="s">
        <v>10</v>
      </c>
      <c r="T822" s="295" t="s">
        <v>449</v>
      </c>
      <c r="U822" s="332" t="s">
        <v>816</v>
      </c>
      <c r="V822" s="342" t="s">
        <v>1989</v>
      </c>
      <c r="W822" s="314" t="s">
        <v>447</v>
      </c>
      <c r="X822" s="297" t="s">
        <v>521</v>
      </c>
      <c r="Y822" s="282" t="s">
        <v>1556</v>
      </c>
      <c r="Z822" s="282" t="s">
        <v>1593</v>
      </c>
      <c r="AA822" s="284"/>
      <c r="AB822" s="300" t="s">
        <v>225</v>
      </c>
      <c r="AC822" s="407" t="s">
        <v>2739</v>
      </c>
      <c r="AD822" s="302" t="s">
        <v>1042</v>
      </c>
      <c r="AE822" s="460"/>
      <c r="AF822" s="302"/>
      <c r="AG822" s="302"/>
      <c r="AH822" s="402" t="str">
        <f t="shared" si="57"/>
        <v>[wzr2hi, 08.04.2025] Added 0.000.000.000-128 as PlaceholderBuild.PlaceholderPlant</v>
      </c>
      <c r="AI822" s="29"/>
    </row>
    <row r="823" spans="1:35" s="1" customFormat="1">
      <c r="A823" s="347">
        <v>4499</v>
      </c>
      <c r="B823" s="348" t="str">
        <f t="shared" si="58"/>
        <v>1193</v>
      </c>
      <c r="C823" s="323" t="s">
        <v>2335</v>
      </c>
      <c r="D823" s="458" t="s">
        <v>2677</v>
      </c>
      <c r="E823" s="295" t="s">
        <v>1977</v>
      </c>
      <c r="F823" s="393" t="s">
        <v>2324</v>
      </c>
      <c r="G823" s="393" t="s">
        <v>2326</v>
      </c>
      <c r="H823" s="282" t="s">
        <v>637</v>
      </c>
      <c r="I823" s="295" t="s">
        <v>815</v>
      </c>
      <c r="J823" s="282" t="s">
        <v>1409</v>
      </c>
      <c r="K823" s="282" t="s">
        <v>452</v>
      </c>
      <c r="L823" s="297" t="s">
        <v>2317</v>
      </c>
      <c r="M823" s="282" t="s">
        <v>1401</v>
      </c>
      <c r="N823" s="282" t="s">
        <v>1400</v>
      </c>
      <c r="O823" s="304" t="s">
        <v>1802</v>
      </c>
      <c r="P823" s="64" t="s">
        <v>1867</v>
      </c>
      <c r="Q823" s="297" t="s">
        <v>1903</v>
      </c>
      <c r="R823" s="314" t="s">
        <v>1229</v>
      </c>
      <c r="S823" s="340" t="s">
        <v>10</v>
      </c>
      <c r="T823" s="295" t="s">
        <v>449</v>
      </c>
      <c r="U823" s="332" t="s">
        <v>816</v>
      </c>
      <c r="V823" s="342" t="s">
        <v>1988</v>
      </c>
      <c r="W823" s="314" t="s">
        <v>447</v>
      </c>
      <c r="X823" s="297" t="s">
        <v>521</v>
      </c>
      <c r="Y823" s="282" t="s">
        <v>1556</v>
      </c>
      <c r="Z823" s="282" t="s">
        <v>1593</v>
      </c>
      <c r="AA823" s="284"/>
      <c r="AB823" s="300" t="s">
        <v>225</v>
      </c>
      <c r="AC823" s="407" t="s">
        <v>2740</v>
      </c>
      <c r="AD823" s="302" t="s">
        <v>1042</v>
      </c>
      <c r="AE823" s="460"/>
      <c r="AF823" s="302"/>
      <c r="AG823" s="302"/>
      <c r="AH823" s="402" t="str">
        <f t="shared" si="57"/>
        <v>[wzr2hi, 08.04.2025] Added 0.000.000.000-129 as PlaceholderBuild.PlaceholderPlant</v>
      </c>
      <c r="AI823" s="29"/>
    </row>
    <row r="824" spans="1:35" s="1" customFormat="1">
      <c r="A824" s="347">
        <v>4500</v>
      </c>
      <c r="B824" s="348" t="str">
        <f t="shared" si="58"/>
        <v>1194</v>
      </c>
      <c r="C824" s="323" t="s">
        <v>2336</v>
      </c>
      <c r="D824" s="458" t="s">
        <v>2677</v>
      </c>
      <c r="E824" s="295" t="s">
        <v>1977</v>
      </c>
      <c r="F824" s="393" t="s">
        <v>2324</v>
      </c>
      <c r="G824" s="393" t="s">
        <v>2326</v>
      </c>
      <c r="H824" s="282" t="s">
        <v>637</v>
      </c>
      <c r="I824" s="295" t="s">
        <v>815</v>
      </c>
      <c r="J824" s="282" t="s">
        <v>1409</v>
      </c>
      <c r="K824" s="282" t="s">
        <v>452</v>
      </c>
      <c r="L824" s="297" t="s">
        <v>2317</v>
      </c>
      <c r="M824" s="282" t="s">
        <v>1401</v>
      </c>
      <c r="N824" s="282" t="s">
        <v>1400</v>
      </c>
      <c r="O824" s="296" t="s">
        <v>1804</v>
      </c>
      <c r="P824" s="64" t="s">
        <v>1867</v>
      </c>
      <c r="Q824" s="297" t="s">
        <v>1903</v>
      </c>
      <c r="R824" s="314" t="s">
        <v>1229</v>
      </c>
      <c r="S824" s="340" t="s">
        <v>10</v>
      </c>
      <c r="T824" s="295" t="s">
        <v>449</v>
      </c>
      <c r="U824" s="332" t="s">
        <v>816</v>
      </c>
      <c r="V824" s="342" t="s">
        <v>1244</v>
      </c>
      <c r="W824" s="314" t="s">
        <v>447</v>
      </c>
      <c r="X824" s="297" t="s">
        <v>521</v>
      </c>
      <c r="Y824" s="282" t="s">
        <v>1556</v>
      </c>
      <c r="Z824" s="282" t="s">
        <v>1593</v>
      </c>
      <c r="AA824" s="284"/>
      <c r="AB824" s="300" t="s">
        <v>225</v>
      </c>
      <c r="AC824" s="407" t="s">
        <v>2741</v>
      </c>
      <c r="AD824" s="302" t="s">
        <v>1042</v>
      </c>
      <c r="AE824" s="460"/>
      <c r="AF824" s="302"/>
      <c r="AG824" s="302"/>
      <c r="AH824" s="402" t="str">
        <f t="shared" si="57"/>
        <v>[wzr2hi, 08.04.2025] Added 0.000.000.000-130 as PlaceholderBuild.PlaceholderPlant</v>
      </c>
      <c r="AI824" s="29"/>
    </row>
    <row r="825" spans="1:35" s="1" customFormat="1">
      <c r="A825" s="347">
        <v>4501</v>
      </c>
      <c r="B825" s="348" t="str">
        <f t="shared" si="58"/>
        <v>1195</v>
      </c>
      <c r="C825" s="323" t="s">
        <v>2337</v>
      </c>
      <c r="D825" s="458" t="s">
        <v>2677</v>
      </c>
      <c r="E825" s="295" t="s">
        <v>1977</v>
      </c>
      <c r="F825" s="393" t="s">
        <v>2324</v>
      </c>
      <c r="G825" s="393" t="s">
        <v>2326</v>
      </c>
      <c r="H825" s="282" t="s">
        <v>637</v>
      </c>
      <c r="I825" s="295" t="s">
        <v>815</v>
      </c>
      <c r="J825" s="282" t="s">
        <v>1409</v>
      </c>
      <c r="K825" s="282" t="s">
        <v>452</v>
      </c>
      <c r="L825" s="297" t="s">
        <v>2317</v>
      </c>
      <c r="M825" s="282" t="s">
        <v>1401</v>
      </c>
      <c r="N825" s="282" t="s">
        <v>1400</v>
      </c>
      <c r="O825" s="296" t="s">
        <v>1804</v>
      </c>
      <c r="P825" s="64" t="s">
        <v>1867</v>
      </c>
      <c r="Q825" s="297" t="s">
        <v>1903</v>
      </c>
      <c r="R825" s="314" t="s">
        <v>1229</v>
      </c>
      <c r="S825" s="340" t="s">
        <v>10</v>
      </c>
      <c r="T825" s="295" t="s">
        <v>449</v>
      </c>
      <c r="U825" s="332" t="s">
        <v>816</v>
      </c>
      <c r="V825" s="342" t="s">
        <v>1368</v>
      </c>
      <c r="W825" s="314" t="s">
        <v>447</v>
      </c>
      <c r="X825" s="297" t="s">
        <v>521</v>
      </c>
      <c r="Y825" s="282" t="s">
        <v>1556</v>
      </c>
      <c r="Z825" s="282" t="s">
        <v>1593</v>
      </c>
      <c r="AA825" s="284"/>
      <c r="AB825" s="300" t="s">
        <v>225</v>
      </c>
      <c r="AC825" s="407" t="s">
        <v>2742</v>
      </c>
      <c r="AD825" s="302" t="s">
        <v>1042</v>
      </c>
      <c r="AE825" s="460"/>
      <c r="AF825" s="302"/>
      <c r="AG825" s="302"/>
      <c r="AH825" s="402" t="str">
        <f t="shared" si="57"/>
        <v>[wzr2hi, 08.04.2025] Added 0.000.000.000-131 as PlaceholderBuild.PlaceholderPlant</v>
      </c>
      <c r="AI825" s="29"/>
    </row>
    <row r="826" spans="1:35" s="1" customFormat="1">
      <c r="A826" s="347">
        <v>4502</v>
      </c>
      <c r="B826" s="348" t="str">
        <f t="shared" si="58"/>
        <v>1196</v>
      </c>
      <c r="C826" s="323" t="s">
        <v>2338</v>
      </c>
      <c r="D826" s="458" t="s">
        <v>2677</v>
      </c>
      <c r="E826" s="295" t="s">
        <v>1977</v>
      </c>
      <c r="F826" s="393" t="s">
        <v>2324</v>
      </c>
      <c r="G826" s="393" t="s">
        <v>2326</v>
      </c>
      <c r="H826" s="282" t="s">
        <v>637</v>
      </c>
      <c r="I826" s="295" t="s">
        <v>815</v>
      </c>
      <c r="J826" s="282" t="s">
        <v>1409</v>
      </c>
      <c r="K826" s="282" t="s">
        <v>452</v>
      </c>
      <c r="L826" s="297" t="s">
        <v>2317</v>
      </c>
      <c r="M826" s="282" t="s">
        <v>1401</v>
      </c>
      <c r="N826" s="282" t="s">
        <v>1400</v>
      </c>
      <c r="O826" s="296" t="s">
        <v>1804</v>
      </c>
      <c r="P826" s="64" t="s">
        <v>1867</v>
      </c>
      <c r="Q826" s="297" t="s">
        <v>1903</v>
      </c>
      <c r="R826" s="314" t="s">
        <v>1229</v>
      </c>
      <c r="S826" s="340" t="s">
        <v>10</v>
      </c>
      <c r="T826" s="295" t="s">
        <v>449</v>
      </c>
      <c r="U826" s="332" t="s">
        <v>816</v>
      </c>
      <c r="V826" s="342" t="s">
        <v>931</v>
      </c>
      <c r="W826" s="314" t="s">
        <v>447</v>
      </c>
      <c r="X826" s="297" t="s">
        <v>521</v>
      </c>
      <c r="Y826" s="282" t="s">
        <v>1556</v>
      </c>
      <c r="Z826" s="282" t="s">
        <v>1593</v>
      </c>
      <c r="AA826" s="284"/>
      <c r="AB826" s="300" t="s">
        <v>225</v>
      </c>
      <c r="AC826" s="407" t="s">
        <v>2743</v>
      </c>
      <c r="AD826" s="302" t="s">
        <v>1042</v>
      </c>
      <c r="AE826" s="460"/>
      <c r="AF826" s="302"/>
      <c r="AG826" s="302"/>
      <c r="AH826" s="402" t="str">
        <f t="shared" si="57"/>
        <v>[wzr2hi, 08.04.2025] Added 0.000.000.000-132 as PlaceholderBuild.PlaceholderPlant</v>
      </c>
      <c r="AI826" s="29"/>
    </row>
    <row r="827" spans="1:35" s="1" customFormat="1">
      <c r="A827" s="347">
        <v>4503</v>
      </c>
      <c r="B827" s="348" t="str">
        <f t="shared" si="58"/>
        <v>1197</v>
      </c>
      <c r="C827" s="323" t="s">
        <v>2339</v>
      </c>
      <c r="D827" s="458" t="s">
        <v>2677</v>
      </c>
      <c r="E827" s="295" t="s">
        <v>1977</v>
      </c>
      <c r="F827" s="393" t="s">
        <v>2324</v>
      </c>
      <c r="G827" s="393" t="s">
        <v>2326</v>
      </c>
      <c r="H827" s="282" t="s">
        <v>637</v>
      </c>
      <c r="I827" s="295" t="s">
        <v>815</v>
      </c>
      <c r="J827" s="282" t="s">
        <v>1409</v>
      </c>
      <c r="K827" s="282" t="s">
        <v>452</v>
      </c>
      <c r="L827" s="297" t="s">
        <v>2317</v>
      </c>
      <c r="M827" s="282" t="s">
        <v>1401</v>
      </c>
      <c r="N827" s="282" t="s">
        <v>1400</v>
      </c>
      <c r="O827" s="296" t="s">
        <v>1804</v>
      </c>
      <c r="P827" s="64" t="s">
        <v>1867</v>
      </c>
      <c r="Q827" s="297" t="s">
        <v>1903</v>
      </c>
      <c r="R827" s="314" t="s">
        <v>1229</v>
      </c>
      <c r="S827" s="340" t="s">
        <v>10</v>
      </c>
      <c r="T827" s="295" t="s">
        <v>449</v>
      </c>
      <c r="U827" s="332" t="s">
        <v>816</v>
      </c>
      <c r="V827" s="342" t="s">
        <v>994</v>
      </c>
      <c r="W827" s="314" t="s">
        <v>447</v>
      </c>
      <c r="X827" s="297" t="s">
        <v>521</v>
      </c>
      <c r="Y827" s="282" t="s">
        <v>1556</v>
      </c>
      <c r="Z827" s="282" t="s">
        <v>1593</v>
      </c>
      <c r="AA827" s="284"/>
      <c r="AB827" s="300" t="s">
        <v>225</v>
      </c>
      <c r="AC827" s="407" t="s">
        <v>2744</v>
      </c>
      <c r="AD827" s="302" t="s">
        <v>1042</v>
      </c>
      <c r="AE827" s="460"/>
      <c r="AF827" s="302"/>
      <c r="AG827" s="302"/>
      <c r="AH827" s="402" t="str">
        <f t="shared" si="57"/>
        <v>[wzr2hi, 08.04.2025] Added 0.000.000.000-133 as PlaceholderBuild.PlaceholderPlant</v>
      </c>
      <c r="AI827" s="29"/>
    </row>
    <row r="828" spans="1:35" s="1" customFormat="1">
      <c r="A828" s="347">
        <v>4504</v>
      </c>
      <c r="B828" s="348" t="str">
        <f t="shared" si="58"/>
        <v>1198</v>
      </c>
      <c r="C828" s="323" t="s">
        <v>2340</v>
      </c>
      <c r="D828" s="458" t="s">
        <v>2677</v>
      </c>
      <c r="E828" s="295" t="s">
        <v>1977</v>
      </c>
      <c r="F828" s="393" t="s">
        <v>2324</v>
      </c>
      <c r="G828" s="393" t="s">
        <v>2326</v>
      </c>
      <c r="H828" s="282" t="s">
        <v>637</v>
      </c>
      <c r="I828" s="295" t="s">
        <v>815</v>
      </c>
      <c r="J828" s="282" t="s">
        <v>1409</v>
      </c>
      <c r="K828" s="282" t="s">
        <v>452</v>
      </c>
      <c r="L828" s="297" t="s">
        <v>2317</v>
      </c>
      <c r="M828" s="282" t="s">
        <v>1401</v>
      </c>
      <c r="N828" s="282" t="s">
        <v>1400</v>
      </c>
      <c r="O828" s="296" t="s">
        <v>1806</v>
      </c>
      <c r="P828" s="64" t="s">
        <v>1866</v>
      </c>
      <c r="Q828" s="297" t="s">
        <v>1903</v>
      </c>
      <c r="R828" s="314" t="s">
        <v>1229</v>
      </c>
      <c r="S828" s="340" t="s">
        <v>10</v>
      </c>
      <c r="T828" s="295" t="s">
        <v>449</v>
      </c>
      <c r="U828" s="332" t="s">
        <v>816</v>
      </c>
      <c r="V828" s="342" t="s">
        <v>1133</v>
      </c>
      <c r="W828" s="314" t="s">
        <v>447</v>
      </c>
      <c r="X828" s="297" t="s">
        <v>521</v>
      </c>
      <c r="Y828" s="282" t="s">
        <v>1556</v>
      </c>
      <c r="Z828" s="282" t="s">
        <v>1593</v>
      </c>
      <c r="AA828" s="284"/>
      <c r="AB828" s="300" t="s">
        <v>225</v>
      </c>
      <c r="AC828" s="407" t="s">
        <v>2745</v>
      </c>
      <c r="AD828" s="302" t="s">
        <v>1042</v>
      </c>
      <c r="AE828" s="460"/>
      <c r="AF828" s="302"/>
      <c r="AG828" s="302"/>
      <c r="AH828" s="402" t="str">
        <f t="shared" si="57"/>
        <v>[wzr2hi, 08.04.2025] Added 0.000.000.000-134 as PlaceholderBuild.PlaceholderPlant</v>
      </c>
      <c r="AI828" s="29"/>
    </row>
    <row r="829" spans="1:35" s="1" customFormat="1">
      <c r="A829" s="347">
        <v>4505</v>
      </c>
      <c r="B829" s="348" t="str">
        <f t="shared" si="58"/>
        <v>1199</v>
      </c>
      <c r="C829" s="323" t="s">
        <v>2341</v>
      </c>
      <c r="D829" s="458" t="s">
        <v>2677</v>
      </c>
      <c r="E829" s="295" t="s">
        <v>1977</v>
      </c>
      <c r="F829" s="393" t="s">
        <v>2324</v>
      </c>
      <c r="G829" s="393" t="s">
        <v>2326</v>
      </c>
      <c r="H829" s="282" t="s">
        <v>637</v>
      </c>
      <c r="I829" s="295" t="s">
        <v>815</v>
      </c>
      <c r="J829" s="282" t="s">
        <v>1409</v>
      </c>
      <c r="K829" s="282" t="s">
        <v>452</v>
      </c>
      <c r="L829" s="297" t="s">
        <v>2317</v>
      </c>
      <c r="M829" s="282" t="s">
        <v>1401</v>
      </c>
      <c r="N829" s="282" t="s">
        <v>1400</v>
      </c>
      <c r="O829" s="296" t="s">
        <v>1806</v>
      </c>
      <c r="P829" s="64" t="s">
        <v>1866</v>
      </c>
      <c r="Q829" s="297" t="s">
        <v>1903</v>
      </c>
      <c r="R829" s="314" t="s">
        <v>1229</v>
      </c>
      <c r="S829" s="340" t="s">
        <v>10</v>
      </c>
      <c r="T829" s="295" t="s">
        <v>449</v>
      </c>
      <c r="U829" s="332" t="s">
        <v>816</v>
      </c>
      <c r="V829" s="342" t="s">
        <v>930</v>
      </c>
      <c r="W829" s="314" t="s">
        <v>447</v>
      </c>
      <c r="X829" s="297" t="s">
        <v>521</v>
      </c>
      <c r="Y829" s="282" t="s">
        <v>1556</v>
      </c>
      <c r="Z829" s="282" t="s">
        <v>1593</v>
      </c>
      <c r="AA829" s="284"/>
      <c r="AB829" s="300" t="s">
        <v>225</v>
      </c>
      <c r="AC829" s="407" t="s">
        <v>2746</v>
      </c>
      <c r="AD829" s="302" t="s">
        <v>1042</v>
      </c>
      <c r="AE829" s="460"/>
      <c r="AF829" s="302"/>
      <c r="AG829" s="302"/>
      <c r="AH829" s="402" t="str">
        <f t="shared" si="57"/>
        <v>[wzr2hi, 08.04.2025] Added 0.000.000.000-135 as PlaceholderBuild.PlaceholderPlant</v>
      </c>
      <c r="AI829" s="29"/>
    </row>
    <row r="830" spans="1:35">
      <c r="A830" s="387">
        <v>4506</v>
      </c>
      <c r="B830" s="388" t="str">
        <f t="shared" si="58"/>
        <v>119A</v>
      </c>
      <c r="C830" s="329" t="s">
        <v>2329</v>
      </c>
      <c r="D830" s="458" t="s">
        <v>2679</v>
      </c>
      <c r="E830" s="295" t="s">
        <v>1977</v>
      </c>
      <c r="F830" s="393" t="s">
        <v>2324</v>
      </c>
      <c r="G830" s="394" t="s">
        <v>2326</v>
      </c>
      <c r="H830" s="282" t="s">
        <v>637</v>
      </c>
      <c r="I830" s="295" t="s">
        <v>815</v>
      </c>
      <c r="J830" s="282" t="s">
        <v>1409</v>
      </c>
      <c r="K830" s="282" t="s">
        <v>452</v>
      </c>
      <c r="L830" s="297" t="s">
        <v>2317</v>
      </c>
      <c r="M830" s="282" t="s">
        <v>1401</v>
      </c>
      <c r="N830" s="282" t="s">
        <v>1400</v>
      </c>
      <c r="O830" s="238" t="s">
        <v>1801</v>
      </c>
      <c r="P830" s="64" t="s">
        <v>1866</v>
      </c>
      <c r="Q830" s="297" t="s">
        <v>1903</v>
      </c>
      <c r="R830" s="298" t="s">
        <v>1398</v>
      </c>
      <c r="S830" s="340" t="s">
        <v>10</v>
      </c>
      <c r="T830" s="367" t="s">
        <v>450</v>
      </c>
      <c r="U830" s="332" t="s">
        <v>816</v>
      </c>
      <c r="V830" s="342" t="s">
        <v>1989</v>
      </c>
      <c r="W830" s="298" t="s">
        <v>2182</v>
      </c>
      <c r="X830" s="64" t="s">
        <v>521</v>
      </c>
      <c r="Y830" s="282" t="s">
        <v>2178</v>
      </c>
      <c r="Z830" s="282" t="s">
        <v>1593</v>
      </c>
      <c r="AA830" s="299"/>
      <c r="AB830" s="300" t="s">
        <v>225</v>
      </c>
      <c r="AC830" s="411" t="s">
        <v>2853</v>
      </c>
      <c r="AD830" s="302" t="s">
        <v>1042</v>
      </c>
      <c r="AE830" s="460"/>
      <c r="AF830" s="302"/>
      <c r="AG830" s="302"/>
      <c r="AH830" s="261" t="s">
        <v>2852</v>
      </c>
      <c r="AI830" s="29"/>
    </row>
    <row r="831" spans="1:35">
      <c r="A831" s="387">
        <v>4507</v>
      </c>
      <c r="B831" s="388" t="str">
        <f t="shared" si="58"/>
        <v>119B</v>
      </c>
      <c r="C831" s="418" t="s">
        <v>2331</v>
      </c>
      <c r="D831" s="458" t="s">
        <v>2679</v>
      </c>
      <c r="E831" s="295" t="s">
        <v>1977</v>
      </c>
      <c r="F831" s="395" t="s">
        <v>2325</v>
      </c>
      <c r="G831" s="395" t="s">
        <v>2327</v>
      </c>
      <c r="H831" s="282" t="s">
        <v>637</v>
      </c>
      <c r="I831" s="295" t="s">
        <v>5</v>
      </c>
      <c r="J831" s="282" t="s">
        <v>1409</v>
      </c>
      <c r="K831" s="282" t="s">
        <v>452</v>
      </c>
      <c r="L831" s="297" t="s">
        <v>2317</v>
      </c>
      <c r="M831" s="282" t="s">
        <v>1496</v>
      </c>
      <c r="N831" s="282" t="s">
        <v>1215</v>
      </c>
      <c r="O831" s="238" t="s">
        <v>1801</v>
      </c>
      <c r="P831" s="64" t="s">
        <v>1866</v>
      </c>
      <c r="Q831" s="297" t="s">
        <v>1903</v>
      </c>
      <c r="R831" s="298" t="s">
        <v>1354</v>
      </c>
      <c r="S831" s="340" t="s">
        <v>10</v>
      </c>
      <c r="T831" s="295" t="s">
        <v>449</v>
      </c>
      <c r="U831" s="332" t="s">
        <v>816</v>
      </c>
      <c r="V831" s="308" t="s">
        <v>615</v>
      </c>
      <c r="W831" s="298" t="s">
        <v>2182</v>
      </c>
      <c r="X831" s="297" t="s">
        <v>362</v>
      </c>
      <c r="Y831" s="282" t="s">
        <v>2178</v>
      </c>
      <c r="Z831" s="282" t="s">
        <v>1593</v>
      </c>
      <c r="AA831" s="299"/>
      <c r="AB831" s="300" t="s">
        <v>225</v>
      </c>
      <c r="AC831" s="407" t="s">
        <v>2747</v>
      </c>
      <c r="AD831" s="302" t="s">
        <v>1042</v>
      </c>
      <c r="AE831" s="460"/>
      <c r="AF831" s="302"/>
      <c r="AG831" s="302"/>
      <c r="AH831" s="402" t="str">
        <f t="shared" si="57"/>
        <v>[wzr2hi, 08.04.2025] Added 0.000.000.000-137 as PlaceholderBuild.PlaceholderPlant</v>
      </c>
      <c r="AI831" s="29"/>
    </row>
    <row r="832" spans="1:35">
      <c r="A832" s="387">
        <v>4508</v>
      </c>
      <c r="B832" s="388" t="str">
        <f t="shared" si="58"/>
        <v>119C</v>
      </c>
      <c r="C832" s="329" t="s">
        <v>2330</v>
      </c>
      <c r="D832" s="458" t="s">
        <v>2679</v>
      </c>
      <c r="E832" s="295" t="s">
        <v>1977</v>
      </c>
      <c r="F832" s="393" t="s">
        <v>2324</v>
      </c>
      <c r="G832" s="394" t="s">
        <v>2326</v>
      </c>
      <c r="H832" s="282" t="s">
        <v>637</v>
      </c>
      <c r="I832" s="295" t="s">
        <v>815</v>
      </c>
      <c r="J832" s="282" t="s">
        <v>1409</v>
      </c>
      <c r="K832" s="282" t="s">
        <v>452</v>
      </c>
      <c r="L832" s="297" t="s">
        <v>2317</v>
      </c>
      <c r="M832" s="282" t="s">
        <v>1401</v>
      </c>
      <c r="N832" s="282" t="s">
        <v>1400</v>
      </c>
      <c r="O832" s="296" t="s">
        <v>1803</v>
      </c>
      <c r="P832" s="64" t="s">
        <v>2105</v>
      </c>
      <c r="Q832" s="297" t="s">
        <v>1903</v>
      </c>
      <c r="R832" s="298" t="s">
        <v>1229</v>
      </c>
      <c r="S832" s="340" t="s">
        <v>10</v>
      </c>
      <c r="T832" s="295" t="s">
        <v>449</v>
      </c>
      <c r="U832" s="332" t="s">
        <v>816</v>
      </c>
      <c r="V832" s="342" t="s">
        <v>728</v>
      </c>
      <c r="W832" s="298" t="s">
        <v>2182</v>
      </c>
      <c r="X832" s="64" t="s">
        <v>521</v>
      </c>
      <c r="Y832" s="282" t="s">
        <v>2178</v>
      </c>
      <c r="Z832" s="282" t="s">
        <v>1593</v>
      </c>
      <c r="AA832" s="299"/>
      <c r="AB832" s="300" t="s">
        <v>225</v>
      </c>
      <c r="AC832" s="411" t="s">
        <v>2920</v>
      </c>
      <c r="AD832" s="302" t="s">
        <v>1042</v>
      </c>
      <c r="AE832" s="460"/>
      <c r="AF832" s="302"/>
      <c r="AG832" s="302"/>
      <c r="AH832" s="261" t="s">
        <v>2921</v>
      </c>
      <c r="AI832" s="29"/>
    </row>
    <row r="833" spans="1:35">
      <c r="A833" s="387">
        <v>4509</v>
      </c>
      <c r="B833" s="388" t="str">
        <f t="shared" si="58"/>
        <v>119D</v>
      </c>
      <c r="C833" s="329" t="s">
        <v>2334</v>
      </c>
      <c r="D833" s="458" t="s">
        <v>2679</v>
      </c>
      <c r="E833" s="295" t="s">
        <v>1977</v>
      </c>
      <c r="F833" s="393" t="s">
        <v>2324</v>
      </c>
      <c r="G833" s="394" t="s">
        <v>2326</v>
      </c>
      <c r="H833" s="282" t="s">
        <v>637</v>
      </c>
      <c r="I833" s="295" t="s">
        <v>815</v>
      </c>
      <c r="J833" s="282" t="s">
        <v>1409</v>
      </c>
      <c r="K833" s="282" t="s">
        <v>452</v>
      </c>
      <c r="L833" s="297" t="s">
        <v>2317</v>
      </c>
      <c r="M833" s="282" t="s">
        <v>1401</v>
      </c>
      <c r="N833" s="282" t="s">
        <v>1400</v>
      </c>
      <c r="O833" s="238" t="s">
        <v>1801</v>
      </c>
      <c r="P833" s="64" t="s">
        <v>1866</v>
      </c>
      <c r="Q833" s="297" t="s">
        <v>1903</v>
      </c>
      <c r="R833" s="298" t="s">
        <v>1229</v>
      </c>
      <c r="S833" s="340" t="s">
        <v>10</v>
      </c>
      <c r="T833" s="295" t="s">
        <v>449</v>
      </c>
      <c r="U833" s="332" t="s">
        <v>816</v>
      </c>
      <c r="V833" s="342" t="s">
        <v>1989</v>
      </c>
      <c r="W833" s="298" t="s">
        <v>2182</v>
      </c>
      <c r="X833" s="64" t="s">
        <v>521</v>
      </c>
      <c r="Y833" s="282" t="s">
        <v>2178</v>
      </c>
      <c r="Z833" s="282" t="s">
        <v>1593</v>
      </c>
      <c r="AA833" s="299"/>
      <c r="AB833" s="300" t="s">
        <v>225</v>
      </c>
      <c r="AC833" s="407" t="s">
        <v>2748</v>
      </c>
      <c r="AD833" s="302" t="s">
        <v>1042</v>
      </c>
      <c r="AE833" s="460" t="s">
        <v>2537</v>
      </c>
      <c r="AF833" s="302"/>
      <c r="AG833" s="302"/>
      <c r="AH833" s="402" t="str">
        <f t="shared" si="57"/>
        <v>[wzr2hi, 08.04.2025] Added 0.000.000.000-139 as PlaceholderBuild.PlaceholderPlant</v>
      </c>
      <c r="AI833" s="29"/>
    </row>
    <row r="834" spans="1:35">
      <c r="A834" s="387">
        <v>4510</v>
      </c>
      <c r="B834" s="388" t="str">
        <f t="shared" si="58"/>
        <v>119E</v>
      </c>
      <c r="C834" s="329" t="s">
        <v>2335</v>
      </c>
      <c r="D834" s="458" t="s">
        <v>2679</v>
      </c>
      <c r="E834" s="295" t="s">
        <v>1977</v>
      </c>
      <c r="F834" s="393" t="s">
        <v>2324</v>
      </c>
      <c r="G834" s="394" t="s">
        <v>2326</v>
      </c>
      <c r="H834" s="282" t="s">
        <v>637</v>
      </c>
      <c r="I834" s="295" t="s">
        <v>815</v>
      </c>
      <c r="J834" s="282" t="s">
        <v>1409</v>
      </c>
      <c r="K834" s="282" t="s">
        <v>452</v>
      </c>
      <c r="L834" s="297" t="s">
        <v>2317</v>
      </c>
      <c r="M834" s="282" t="s">
        <v>1401</v>
      </c>
      <c r="N834" s="282" t="s">
        <v>1400</v>
      </c>
      <c r="O834" s="304" t="s">
        <v>1802</v>
      </c>
      <c r="P834" s="64" t="s">
        <v>1867</v>
      </c>
      <c r="Q834" s="297" t="s">
        <v>1903</v>
      </c>
      <c r="R834" s="298" t="s">
        <v>1229</v>
      </c>
      <c r="S834" s="340" t="s">
        <v>10</v>
      </c>
      <c r="T834" s="295" t="s">
        <v>449</v>
      </c>
      <c r="U834" s="332" t="s">
        <v>816</v>
      </c>
      <c r="V834" s="342" t="s">
        <v>1988</v>
      </c>
      <c r="W834" s="298" t="s">
        <v>2182</v>
      </c>
      <c r="X834" s="64" t="s">
        <v>521</v>
      </c>
      <c r="Y834" s="282" t="s">
        <v>2178</v>
      </c>
      <c r="Z834" s="282" t="s">
        <v>1593</v>
      </c>
      <c r="AA834" s="299"/>
      <c r="AB834" s="300" t="s">
        <v>225</v>
      </c>
      <c r="AC834" s="411" t="s">
        <v>2850</v>
      </c>
      <c r="AD834" s="302" t="s">
        <v>1042</v>
      </c>
      <c r="AE834" s="460"/>
      <c r="AF834" s="302"/>
      <c r="AG834" s="302"/>
      <c r="AH834" s="261" t="s">
        <v>2851</v>
      </c>
      <c r="AI834" s="29"/>
    </row>
    <row r="835" spans="1:35">
      <c r="A835" s="387">
        <v>4511</v>
      </c>
      <c r="B835" s="388" t="str">
        <f t="shared" si="58"/>
        <v>119F</v>
      </c>
      <c r="C835" s="329" t="s">
        <v>2336</v>
      </c>
      <c r="D835" s="458" t="s">
        <v>2679</v>
      </c>
      <c r="E835" s="295" t="s">
        <v>1977</v>
      </c>
      <c r="F835" s="393" t="s">
        <v>2324</v>
      </c>
      <c r="G835" s="394" t="s">
        <v>2326</v>
      </c>
      <c r="H835" s="282" t="s">
        <v>637</v>
      </c>
      <c r="I835" s="295" t="s">
        <v>815</v>
      </c>
      <c r="J835" s="282" t="s">
        <v>1409</v>
      </c>
      <c r="K835" s="282" t="s">
        <v>452</v>
      </c>
      <c r="L835" s="297" t="s">
        <v>2317</v>
      </c>
      <c r="M835" s="282" t="s">
        <v>1401</v>
      </c>
      <c r="N835" s="282" t="s">
        <v>1400</v>
      </c>
      <c r="O835" s="238" t="s">
        <v>1804</v>
      </c>
      <c r="P835" s="64" t="s">
        <v>1867</v>
      </c>
      <c r="Q835" s="297" t="s">
        <v>1903</v>
      </c>
      <c r="R835" s="298" t="s">
        <v>1229</v>
      </c>
      <c r="S835" s="340" t="s">
        <v>10</v>
      </c>
      <c r="T835" s="295" t="s">
        <v>449</v>
      </c>
      <c r="U835" s="332" t="s">
        <v>816</v>
      </c>
      <c r="V835" s="342" t="s">
        <v>1244</v>
      </c>
      <c r="W835" s="298" t="s">
        <v>2182</v>
      </c>
      <c r="X835" s="64" t="s">
        <v>521</v>
      </c>
      <c r="Y835" s="282" t="s">
        <v>2178</v>
      </c>
      <c r="Z835" s="282" t="s">
        <v>1593</v>
      </c>
      <c r="AA835" s="299"/>
      <c r="AB835" s="300" t="s">
        <v>225</v>
      </c>
      <c r="AC835" s="407" t="s">
        <v>2749</v>
      </c>
      <c r="AD835" s="302" t="s">
        <v>1042</v>
      </c>
      <c r="AE835" s="460" t="s">
        <v>2536</v>
      </c>
      <c r="AF835" s="302"/>
      <c r="AG835" s="302"/>
      <c r="AH835" s="402" t="str">
        <f t="shared" si="57"/>
        <v>[wzr2hi, 08.04.2025] Added 0.000.000.000-141 as PlaceholderBuild.PlaceholderPlant</v>
      </c>
      <c r="AI835" s="29"/>
    </row>
    <row r="836" spans="1:35">
      <c r="A836" s="387">
        <v>4512</v>
      </c>
      <c r="B836" s="388" t="str">
        <f t="shared" si="58"/>
        <v>11A0</v>
      </c>
      <c r="C836" s="329" t="s">
        <v>2337</v>
      </c>
      <c r="D836" s="458" t="s">
        <v>2679</v>
      </c>
      <c r="E836" s="295" t="s">
        <v>1977</v>
      </c>
      <c r="F836" s="393" t="s">
        <v>2324</v>
      </c>
      <c r="G836" s="394" t="s">
        <v>2326</v>
      </c>
      <c r="H836" s="282" t="s">
        <v>637</v>
      </c>
      <c r="I836" s="295" t="s">
        <v>815</v>
      </c>
      <c r="J836" s="282" t="s">
        <v>1409</v>
      </c>
      <c r="K836" s="282" t="s">
        <v>452</v>
      </c>
      <c r="L836" s="297" t="s">
        <v>2317</v>
      </c>
      <c r="M836" s="282" t="s">
        <v>1401</v>
      </c>
      <c r="N836" s="282" t="s">
        <v>1400</v>
      </c>
      <c r="O836" s="238" t="s">
        <v>1804</v>
      </c>
      <c r="P836" s="64" t="s">
        <v>1867</v>
      </c>
      <c r="Q836" s="297" t="s">
        <v>1903</v>
      </c>
      <c r="R836" s="298" t="s">
        <v>1229</v>
      </c>
      <c r="S836" s="340" t="s">
        <v>10</v>
      </c>
      <c r="T836" s="295" t="s">
        <v>449</v>
      </c>
      <c r="U836" s="332" t="s">
        <v>816</v>
      </c>
      <c r="V836" s="342" t="s">
        <v>1368</v>
      </c>
      <c r="W836" s="298" t="s">
        <v>2182</v>
      </c>
      <c r="X836" s="64" t="s">
        <v>521</v>
      </c>
      <c r="Y836" s="282" t="s">
        <v>2178</v>
      </c>
      <c r="Z836" s="282" t="s">
        <v>1593</v>
      </c>
      <c r="AA836" s="299"/>
      <c r="AB836" s="300" t="s">
        <v>225</v>
      </c>
      <c r="AC836" s="407" t="s">
        <v>2750</v>
      </c>
      <c r="AD836" s="302" t="s">
        <v>1042</v>
      </c>
      <c r="AE836" s="460"/>
      <c r="AF836" s="302"/>
      <c r="AG836" s="302"/>
      <c r="AH836" s="402" t="str">
        <f t="shared" si="57"/>
        <v>[wzr2hi, 08.04.2025] Added 0.000.000.000-142 as PlaceholderBuild.PlaceholderPlant</v>
      </c>
      <c r="AI836" s="29"/>
    </row>
    <row r="837" spans="1:35">
      <c r="A837" s="387">
        <v>4513</v>
      </c>
      <c r="B837" s="388" t="str">
        <f t="shared" si="58"/>
        <v>11A1</v>
      </c>
      <c r="C837" s="329" t="s">
        <v>2338</v>
      </c>
      <c r="D837" s="458" t="s">
        <v>2679</v>
      </c>
      <c r="E837" s="295" t="s">
        <v>1977</v>
      </c>
      <c r="F837" s="393" t="s">
        <v>2324</v>
      </c>
      <c r="G837" s="394" t="s">
        <v>2326</v>
      </c>
      <c r="H837" s="282" t="s">
        <v>637</v>
      </c>
      <c r="I837" s="295" t="s">
        <v>815</v>
      </c>
      <c r="J837" s="282" t="s">
        <v>1409</v>
      </c>
      <c r="K837" s="282" t="s">
        <v>452</v>
      </c>
      <c r="L837" s="297" t="s">
        <v>2317</v>
      </c>
      <c r="M837" s="282" t="s">
        <v>1401</v>
      </c>
      <c r="N837" s="282" t="s">
        <v>1400</v>
      </c>
      <c r="O837" s="238" t="s">
        <v>1804</v>
      </c>
      <c r="P837" s="64" t="s">
        <v>1867</v>
      </c>
      <c r="Q837" s="297" t="s">
        <v>1903</v>
      </c>
      <c r="R837" s="298" t="s">
        <v>1229</v>
      </c>
      <c r="S837" s="340" t="s">
        <v>10</v>
      </c>
      <c r="T837" s="295" t="s">
        <v>449</v>
      </c>
      <c r="U837" s="332" t="s">
        <v>816</v>
      </c>
      <c r="V837" s="342" t="s">
        <v>931</v>
      </c>
      <c r="W837" s="298" t="s">
        <v>2182</v>
      </c>
      <c r="X837" s="64" t="s">
        <v>521</v>
      </c>
      <c r="Y837" s="282" t="s">
        <v>2178</v>
      </c>
      <c r="Z837" s="282" t="s">
        <v>1593</v>
      </c>
      <c r="AA837" s="299"/>
      <c r="AB837" s="300" t="s">
        <v>225</v>
      </c>
      <c r="AC837" s="407" t="s">
        <v>2751</v>
      </c>
      <c r="AD837" s="302" t="s">
        <v>1042</v>
      </c>
      <c r="AE837" s="460" t="s">
        <v>2538</v>
      </c>
      <c r="AF837" s="302"/>
      <c r="AG837" s="302"/>
      <c r="AH837" s="402" t="str">
        <f t="shared" si="57"/>
        <v>[wzr2hi, 08.04.2025] Added 0.000.000.000-143 as PlaceholderBuild.PlaceholderPlant</v>
      </c>
      <c r="AI837" s="29"/>
    </row>
    <row r="838" spans="1:35">
      <c r="A838" s="387">
        <v>4514</v>
      </c>
      <c r="B838" s="388" t="str">
        <f t="shared" si="58"/>
        <v>11A2</v>
      </c>
      <c r="C838" s="329" t="s">
        <v>2339</v>
      </c>
      <c r="D838" s="458" t="s">
        <v>2679</v>
      </c>
      <c r="E838" s="295" t="s">
        <v>1977</v>
      </c>
      <c r="F838" s="393" t="s">
        <v>2324</v>
      </c>
      <c r="G838" s="394" t="s">
        <v>2326</v>
      </c>
      <c r="H838" s="282" t="s">
        <v>637</v>
      </c>
      <c r="I838" s="295" t="s">
        <v>815</v>
      </c>
      <c r="J838" s="282" t="s">
        <v>1409</v>
      </c>
      <c r="K838" s="282" t="s">
        <v>452</v>
      </c>
      <c r="L838" s="297" t="s">
        <v>2317</v>
      </c>
      <c r="M838" s="282" t="s">
        <v>1401</v>
      </c>
      <c r="N838" s="282" t="s">
        <v>1400</v>
      </c>
      <c r="O838" s="238" t="s">
        <v>1804</v>
      </c>
      <c r="P838" s="64" t="s">
        <v>1867</v>
      </c>
      <c r="Q838" s="297" t="s">
        <v>1903</v>
      </c>
      <c r="R838" s="298" t="s">
        <v>1229</v>
      </c>
      <c r="S838" s="340" t="s">
        <v>10</v>
      </c>
      <c r="T838" s="295" t="s">
        <v>449</v>
      </c>
      <c r="U838" s="332" t="s">
        <v>816</v>
      </c>
      <c r="V838" s="342" t="s">
        <v>994</v>
      </c>
      <c r="W838" s="298" t="s">
        <v>2182</v>
      </c>
      <c r="X838" s="64" t="s">
        <v>521</v>
      </c>
      <c r="Y838" s="282" t="s">
        <v>2178</v>
      </c>
      <c r="Z838" s="282" t="s">
        <v>1593</v>
      </c>
      <c r="AA838" s="299"/>
      <c r="AB838" s="300" t="s">
        <v>225</v>
      </c>
      <c r="AC838" s="407" t="s">
        <v>2752</v>
      </c>
      <c r="AD838" s="302" t="s">
        <v>1042</v>
      </c>
      <c r="AE838" s="460" t="s">
        <v>2541</v>
      </c>
      <c r="AF838" s="302"/>
      <c r="AG838" s="302"/>
      <c r="AH838" s="402" t="str">
        <f t="shared" si="57"/>
        <v>[wzr2hi, 08.04.2025] Added 0.000.000.000-144 as PlaceholderBuild.PlaceholderPlant</v>
      </c>
      <c r="AI838" s="29"/>
    </row>
    <row r="839" spans="1:35">
      <c r="A839" s="387">
        <v>4515</v>
      </c>
      <c r="B839" s="388" t="str">
        <f t="shared" si="58"/>
        <v>11A3</v>
      </c>
      <c r="C839" s="329" t="s">
        <v>2340</v>
      </c>
      <c r="D839" s="458" t="s">
        <v>2679</v>
      </c>
      <c r="E839" s="295" t="s">
        <v>1977</v>
      </c>
      <c r="F839" s="393" t="s">
        <v>2324</v>
      </c>
      <c r="G839" s="394" t="s">
        <v>2326</v>
      </c>
      <c r="H839" s="282" t="s">
        <v>637</v>
      </c>
      <c r="I839" s="295" t="s">
        <v>815</v>
      </c>
      <c r="J839" s="282" t="s">
        <v>1409</v>
      </c>
      <c r="K839" s="282" t="s">
        <v>452</v>
      </c>
      <c r="L839" s="297" t="s">
        <v>2317</v>
      </c>
      <c r="M839" s="282" t="s">
        <v>1401</v>
      </c>
      <c r="N839" s="282" t="s">
        <v>1400</v>
      </c>
      <c r="O839" s="296" t="s">
        <v>1806</v>
      </c>
      <c r="P839" s="64" t="s">
        <v>1866</v>
      </c>
      <c r="Q839" s="297" t="s">
        <v>1903</v>
      </c>
      <c r="R839" s="298" t="s">
        <v>1229</v>
      </c>
      <c r="S839" s="340" t="s">
        <v>10</v>
      </c>
      <c r="T839" s="295" t="s">
        <v>449</v>
      </c>
      <c r="U839" s="332" t="s">
        <v>816</v>
      </c>
      <c r="V839" s="342" t="s">
        <v>1133</v>
      </c>
      <c r="W839" s="298" t="s">
        <v>2182</v>
      </c>
      <c r="X839" s="64" t="s">
        <v>521</v>
      </c>
      <c r="Y839" s="282" t="s">
        <v>2178</v>
      </c>
      <c r="Z839" s="282" t="s">
        <v>1593</v>
      </c>
      <c r="AA839" s="299"/>
      <c r="AB839" s="300" t="s">
        <v>225</v>
      </c>
      <c r="AC839" s="407" t="s">
        <v>2753</v>
      </c>
      <c r="AD839" s="302" t="s">
        <v>1042</v>
      </c>
      <c r="AE839" s="460" t="s">
        <v>2540</v>
      </c>
      <c r="AF839" s="302"/>
      <c r="AG839" s="302"/>
      <c r="AH839" s="402" t="str">
        <f t="shared" si="57"/>
        <v>[wzr2hi, 08.04.2025] Added 0.000.000.000-145 as PlaceholderBuild.PlaceholderPlant</v>
      </c>
      <c r="AI839" s="29"/>
    </row>
    <row r="840" spans="1:35">
      <c r="A840" s="387">
        <v>4516</v>
      </c>
      <c r="B840" s="388" t="str">
        <f t="shared" si="58"/>
        <v>11A4</v>
      </c>
      <c r="C840" s="329" t="s">
        <v>2341</v>
      </c>
      <c r="D840" s="458" t="s">
        <v>2679</v>
      </c>
      <c r="E840" s="295" t="s">
        <v>1977</v>
      </c>
      <c r="F840" s="393" t="s">
        <v>2324</v>
      </c>
      <c r="G840" s="394" t="s">
        <v>2326</v>
      </c>
      <c r="H840" s="282" t="s">
        <v>637</v>
      </c>
      <c r="I840" s="295" t="s">
        <v>815</v>
      </c>
      <c r="J840" s="282" t="s">
        <v>1409</v>
      </c>
      <c r="K840" s="282" t="s">
        <v>452</v>
      </c>
      <c r="L840" s="297" t="s">
        <v>2317</v>
      </c>
      <c r="M840" s="282" t="s">
        <v>1401</v>
      </c>
      <c r="N840" s="282" t="s">
        <v>1400</v>
      </c>
      <c r="O840" s="296" t="s">
        <v>1806</v>
      </c>
      <c r="P840" s="64" t="s">
        <v>1866</v>
      </c>
      <c r="Q840" s="297" t="s">
        <v>1903</v>
      </c>
      <c r="R840" s="298" t="s">
        <v>1229</v>
      </c>
      <c r="S840" s="340" t="s">
        <v>10</v>
      </c>
      <c r="T840" s="295" t="s">
        <v>449</v>
      </c>
      <c r="U840" s="332" t="s">
        <v>816</v>
      </c>
      <c r="V840" s="342" t="s">
        <v>930</v>
      </c>
      <c r="W840" s="298" t="s">
        <v>2182</v>
      </c>
      <c r="X840" s="64" t="s">
        <v>521</v>
      </c>
      <c r="Y840" s="282" t="s">
        <v>2178</v>
      </c>
      <c r="Z840" s="282" t="s">
        <v>1593</v>
      </c>
      <c r="AA840" s="299"/>
      <c r="AB840" s="300" t="s">
        <v>225</v>
      </c>
      <c r="AC840" s="407" t="s">
        <v>2754</v>
      </c>
      <c r="AD840" s="302" t="s">
        <v>1042</v>
      </c>
      <c r="AE840" s="460"/>
      <c r="AF840" s="302"/>
      <c r="AG840" s="302"/>
      <c r="AH840" s="402" t="str">
        <f t="shared" si="57"/>
        <v>[wzr2hi, 08.04.2025] Added 0.000.000.000-146 as PlaceholderBuild.PlaceholderPlant</v>
      </c>
      <c r="AI840" s="29"/>
    </row>
    <row r="841" spans="1:35">
      <c r="A841" s="51">
        <v>4517</v>
      </c>
      <c r="B841" s="81" t="str">
        <f t="shared" si="58"/>
        <v>11A5</v>
      </c>
      <c r="C841" s="329" t="s">
        <v>2383</v>
      </c>
      <c r="D841" s="458" t="s">
        <v>2676</v>
      </c>
      <c r="E841" s="295" t="s">
        <v>1977</v>
      </c>
      <c r="F841" s="177" t="s">
        <v>1359</v>
      </c>
      <c r="G841" s="177" t="s">
        <v>2109</v>
      </c>
      <c r="H841" s="282" t="s">
        <v>637</v>
      </c>
      <c r="I841" s="314" t="s">
        <v>4</v>
      </c>
      <c r="J841" s="282" t="s">
        <v>0</v>
      </c>
      <c r="K841" s="282" t="s">
        <v>451</v>
      </c>
      <c r="L841" s="297" t="s">
        <v>2318</v>
      </c>
      <c r="M841" s="282" t="s">
        <v>1403</v>
      </c>
      <c r="N841" s="282" t="s">
        <v>1215</v>
      </c>
      <c r="O841" s="296" t="s">
        <v>1803</v>
      </c>
      <c r="P841" s="64" t="s">
        <v>2105</v>
      </c>
      <c r="Q841" s="297" t="s">
        <v>1903</v>
      </c>
      <c r="R841" s="298" t="s">
        <v>1229</v>
      </c>
      <c r="S841" s="340" t="s">
        <v>10</v>
      </c>
      <c r="T841" s="295" t="s">
        <v>449</v>
      </c>
      <c r="U841" s="332" t="s">
        <v>816</v>
      </c>
      <c r="V841" s="308" t="s">
        <v>7</v>
      </c>
      <c r="W841" s="298" t="s">
        <v>447</v>
      </c>
      <c r="X841" s="64" t="s">
        <v>521</v>
      </c>
      <c r="Y841" s="282" t="s">
        <v>1556</v>
      </c>
      <c r="Z841" s="282" t="s">
        <v>1592</v>
      </c>
      <c r="AA841" s="299"/>
      <c r="AB841" s="300" t="s">
        <v>225</v>
      </c>
      <c r="AC841" s="407" t="s">
        <v>2755</v>
      </c>
      <c r="AD841" s="302" t="s">
        <v>1042</v>
      </c>
      <c r="AE841" s="460"/>
      <c r="AF841" s="302"/>
      <c r="AG841" s="302"/>
      <c r="AH841" s="402" t="str">
        <f t="shared" si="57"/>
        <v>[wzr2hi, 08.04.2025] Added 0.000.000.000-147 as PlaceholderBuild.PlaceholderPlant</v>
      </c>
      <c r="AI841" s="29"/>
    </row>
    <row r="842" spans="1:35">
      <c r="A842" s="51">
        <v>4518</v>
      </c>
      <c r="B842" s="81" t="str">
        <f t="shared" si="58"/>
        <v>11A6</v>
      </c>
      <c r="C842" s="329" t="s">
        <v>2386</v>
      </c>
      <c r="D842" s="458" t="s">
        <v>2676</v>
      </c>
      <c r="E842" s="295" t="s">
        <v>1977</v>
      </c>
      <c r="F842" s="177" t="s">
        <v>1359</v>
      </c>
      <c r="G842" s="177" t="s">
        <v>2109</v>
      </c>
      <c r="H842" s="282" t="s">
        <v>637</v>
      </c>
      <c r="I842" s="314" t="s">
        <v>4</v>
      </c>
      <c r="J842" s="282" t="s">
        <v>0</v>
      </c>
      <c r="K842" s="282" t="s">
        <v>451</v>
      </c>
      <c r="L842" s="297" t="s">
        <v>2318</v>
      </c>
      <c r="M842" s="282" t="s">
        <v>1403</v>
      </c>
      <c r="N842" s="282" t="s">
        <v>1215</v>
      </c>
      <c r="O842" s="238" t="s">
        <v>1804</v>
      </c>
      <c r="P842" s="64" t="s">
        <v>1867</v>
      </c>
      <c r="Q842" s="297" t="s">
        <v>1903</v>
      </c>
      <c r="R842" s="298" t="s">
        <v>1398</v>
      </c>
      <c r="S842" s="340" t="s">
        <v>10</v>
      </c>
      <c r="T842" s="295" t="s">
        <v>449</v>
      </c>
      <c r="U842" s="332" t="s">
        <v>816</v>
      </c>
      <c r="V842" s="308" t="s">
        <v>7</v>
      </c>
      <c r="W842" s="298" t="s">
        <v>447</v>
      </c>
      <c r="X842" s="64" t="s">
        <v>521</v>
      </c>
      <c r="Y842" s="282" t="s">
        <v>1556</v>
      </c>
      <c r="Z842" s="282" t="s">
        <v>1592</v>
      </c>
      <c r="AA842" s="299"/>
      <c r="AB842" s="300" t="s">
        <v>225</v>
      </c>
      <c r="AC842" s="407" t="s">
        <v>2756</v>
      </c>
      <c r="AD842" s="302" t="s">
        <v>1042</v>
      </c>
      <c r="AE842" s="460"/>
      <c r="AF842" s="302"/>
      <c r="AG842" s="302"/>
      <c r="AH842" s="402" t="str">
        <f t="shared" si="57"/>
        <v>[wzr2hi, 08.04.2025] Added 0.000.000.000-148 as PlaceholderBuild.PlaceholderPlant</v>
      </c>
      <c r="AI842" s="29"/>
    </row>
    <row r="843" spans="1:35">
      <c r="A843" s="51">
        <v>4519</v>
      </c>
      <c r="B843" s="81" t="str">
        <f t="shared" si="58"/>
        <v>11A7</v>
      </c>
      <c r="C843" s="329" t="s">
        <v>2384</v>
      </c>
      <c r="D843" s="458" t="s">
        <v>2676</v>
      </c>
      <c r="E843" s="295" t="s">
        <v>1977</v>
      </c>
      <c r="F843" s="177" t="s">
        <v>1359</v>
      </c>
      <c r="G843" s="177" t="s">
        <v>2109</v>
      </c>
      <c r="H843" s="282" t="s">
        <v>637</v>
      </c>
      <c r="I843" s="314" t="s">
        <v>4</v>
      </c>
      <c r="J843" s="282" t="s">
        <v>0</v>
      </c>
      <c r="K843" s="282" t="s">
        <v>451</v>
      </c>
      <c r="L843" s="297" t="s">
        <v>2318</v>
      </c>
      <c r="M843" s="282" t="s">
        <v>1403</v>
      </c>
      <c r="N843" s="282" t="s">
        <v>1215</v>
      </c>
      <c r="O843" s="238" t="s">
        <v>1801</v>
      </c>
      <c r="P843" s="64" t="s">
        <v>1866</v>
      </c>
      <c r="Q843" s="297" t="s">
        <v>1903</v>
      </c>
      <c r="R843" s="298" t="s">
        <v>1398</v>
      </c>
      <c r="S843" s="340" t="s">
        <v>10</v>
      </c>
      <c r="T843" s="295" t="s">
        <v>449</v>
      </c>
      <c r="U843" s="332" t="s">
        <v>816</v>
      </c>
      <c r="V843" s="308" t="s">
        <v>7</v>
      </c>
      <c r="W843" s="298" t="s">
        <v>447</v>
      </c>
      <c r="X843" s="64" t="s">
        <v>521</v>
      </c>
      <c r="Y843" s="282" t="s">
        <v>1556</v>
      </c>
      <c r="Z843" s="282" t="s">
        <v>1592</v>
      </c>
      <c r="AA843" s="299"/>
      <c r="AB843" s="300" t="s">
        <v>225</v>
      </c>
      <c r="AC843" s="411" t="s">
        <v>2910</v>
      </c>
      <c r="AD843" s="302" t="s">
        <v>1042</v>
      </c>
      <c r="AE843" s="460"/>
      <c r="AF843" s="302"/>
      <c r="AG843" s="302"/>
      <c r="AH843" s="261" t="s">
        <v>2919</v>
      </c>
      <c r="AI843" s="29"/>
    </row>
    <row r="844" spans="1:35" s="1" customFormat="1">
      <c r="A844" s="347">
        <v>4520</v>
      </c>
      <c r="B844" s="348" t="str">
        <f t="shared" si="58"/>
        <v>11A8</v>
      </c>
      <c r="C844" s="405" t="s">
        <v>2427</v>
      </c>
      <c r="D844" s="458" t="s">
        <v>2676</v>
      </c>
      <c r="E844" s="295" t="s">
        <v>1977</v>
      </c>
      <c r="F844" s="410" t="s">
        <v>2323</v>
      </c>
      <c r="G844" s="410" t="s">
        <v>2328</v>
      </c>
      <c r="H844" s="282" t="s">
        <v>637</v>
      </c>
      <c r="I844" s="314" t="s">
        <v>4</v>
      </c>
      <c r="J844" s="282" t="s">
        <v>1409</v>
      </c>
      <c r="K844" s="282" t="s">
        <v>451</v>
      </c>
      <c r="L844" s="297" t="s">
        <v>2317</v>
      </c>
      <c r="M844" s="282" t="s">
        <v>1403</v>
      </c>
      <c r="N844" s="282" t="s">
        <v>1215</v>
      </c>
      <c r="O844" s="296" t="s">
        <v>1801</v>
      </c>
      <c r="P844" s="64" t="s">
        <v>1866</v>
      </c>
      <c r="Q844" s="297" t="s">
        <v>1903</v>
      </c>
      <c r="R844" s="314" t="s">
        <v>1398</v>
      </c>
      <c r="S844" s="340" t="s">
        <v>10</v>
      </c>
      <c r="T844" s="295" t="s">
        <v>449</v>
      </c>
      <c r="U844" s="332" t="s">
        <v>816</v>
      </c>
      <c r="V844" s="308" t="s">
        <v>7</v>
      </c>
      <c r="W844" s="314" t="s">
        <v>447</v>
      </c>
      <c r="X844" s="297" t="s">
        <v>521</v>
      </c>
      <c r="Y844" s="282" t="s">
        <v>1556</v>
      </c>
      <c r="Z844" s="282" t="s">
        <v>1592</v>
      </c>
      <c r="AA844" s="284"/>
      <c r="AB844" s="300" t="s">
        <v>225</v>
      </c>
      <c r="AC844" s="407" t="s">
        <v>2757</v>
      </c>
      <c r="AD844" s="302" t="s">
        <v>1042</v>
      </c>
      <c r="AE844" s="460"/>
      <c r="AF844" s="302"/>
      <c r="AG844" s="302"/>
      <c r="AH844" s="402" t="str">
        <f t="shared" si="57"/>
        <v>[wzr2hi, 08.04.2025] Added 0.000.000.000-150 as PlaceholderBuild.PlaceholderPlant</v>
      </c>
      <c r="AI844" s="29"/>
    </row>
    <row r="845" spans="1:35" s="1" customFormat="1" ht="39.6">
      <c r="A845" s="408">
        <v>4521</v>
      </c>
      <c r="B845" s="409" t="str">
        <f t="shared" si="58"/>
        <v>11A9</v>
      </c>
      <c r="C845" s="323" t="s">
        <v>2332</v>
      </c>
      <c r="D845" s="458" t="s">
        <v>2678</v>
      </c>
      <c r="E845" s="295" t="s">
        <v>1977</v>
      </c>
      <c r="F845" s="410" t="s">
        <v>2323</v>
      </c>
      <c r="G845" s="410" t="s">
        <v>2328</v>
      </c>
      <c r="H845" s="282" t="s">
        <v>637</v>
      </c>
      <c r="I845" s="314" t="s">
        <v>4</v>
      </c>
      <c r="J845" s="282" t="s">
        <v>1409</v>
      </c>
      <c r="K845" s="282" t="s">
        <v>451</v>
      </c>
      <c r="L845" s="297" t="s">
        <v>2317</v>
      </c>
      <c r="M845" s="282" t="s">
        <v>1403</v>
      </c>
      <c r="N845" s="282" t="s">
        <v>1215</v>
      </c>
      <c r="O845" s="296" t="s">
        <v>1801</v>
      </c>
      <c r="P845" s="64" t="s">
        <v>1866</v>
      </c>
      <c r="Q845" s="297" t="s">
        <v>1903</v>
      </c>
      <c r="R845" s="314" t="s">
        <v>1398</v>
      </c>
      <c r="S845" s="340" t="s">
        <v>10</v>
      </c>
      <c r="T845" s="367" t="s">
        <v>450</v>
      </c>
      <c r="U845" s="332" t="s">
        <v>816</v>
      </c>
      <c r="V845" s="308" t="s">
        <v>7</v>
      </c>
      <c r="W845" s="314" t="s">
        <v>2182</v>
      </c>
      <c r="X845" s="297" t="s">
        <v>521</v>
      </c>
      <c r="Y845" s="282" t="s">
        <v>2178</v>
      </c>
      <c r="Z845" s="282" t="s">
        <v>1592</v>
      </c>
      <c r="AA845" s="284"/>
      <c r="AB845" s="300" t="s">
        <v>225</v>
      </c>
      <c r="AC845" s="411" t="s">
        <v>2931</v>
      </c>
      <c r="AD845" s="302" t="s">
        <v>1042</v>
      </c>
      <c r="AE845" s="460"/>
      <c r="AF845" s="302"/>
      <c r="AG845" s="302"/>
      <c r="AH845" s="261" t="s">
        <v>2932</v>
      </c>
      <c r="AI845" s="29"/>
    </row>
    <row r="846" spans="1:35" s="1" customFormat="1" ht="26.4">
      <c r="A846" s="408">
        <v>4522</v>
      </c>
      <c r="B846" s="409" t="str">
        <f t="shared" si="58"/>
        <v>11AA</v>
      </c>
      <c r="C846" s="323" t="s">
        <v>2431</v>
      </c>
      <c r="D846" s="458" t="s">
        <v>2678</v>
      </c>
      <c r="E846" s="295" t="s">
        <v>1977</v>
      </c>
      <c r="F846" s="410" t="s">
        <v>2323</v>
      </c>
      <c r="G846" s="410" t="s">
        <v>2328</v>
      </c>
      <c r="H846" s="282" t="s">
        <v>637</v>
      </c>
      <c r="I846" s="314" t="s">
        <v>4</v>
      </c>
      <c r="J846" s="282" t="s">
        <v>1409</v>
      </c>
      <c r="K846" s="282" t="s">
        <v>451</v>
      </c>
      <c r="L846" s="297" t="s">
        <v>2317</v>
      </c>
      <c r="M846" s="282" t="s">
        <v>1403</v>
      </c>
      <c r="N846" s="282" t="s">
        <v>1215</v>
      </c>
      <c r="O846" s="296" t="s">
        <v>1805</v>
      </c>
      <c r="P846" s="64" t="s">
        <v>1867</v>
      </c>
      <c r="Q846" s="297" t="s">
        <v>1903</v>
      </c>
      <c r="R846" s="314" t="s">
        <v>1229</v>
      </c>
      <c r="S846" s="340" t="s">
        <v>10</v>
      </c>
      <c r="T846" s="295" t="s">
        <v>449</v>
      </c>
      <c r="U846" s="332" t="s">
        <v>816</v>
      </c>
      <c r="V846" s="308" t="s">
        <v>7</v>
      </c>
      <c r="W846" s="314" t="s">
        <v>2182</v>
      </c>
      <c r="X846" s="297" t="s">
        <v>521</v>
      </c>
      <c r="Y846" s="282" t="s">
        <v>2178</v>
      </c>
      <c r="Z846" s="282" t="s">
        <v>1592</v>
      </c>
      <c r="AA846" s="284"/>
      <c r="AB846" s="300" t="s">
        <v>225</v>
      </c>
      <c r="AC846" s="411" t="s">
        <v>2937</v>
      </c>
      <c r="AD846" s="302" t="s">
        <v>1042</v>
      </c>
      <c r="AE846" s="460" t="s">
        <v>2535</v>
      </c>
      <c r="AF846" s="302"/>
      <c r="AG846" s="302"/>
      <c r="AH846" s="261" t="s">
        <v>2936</v>
      </c>
      <c r="AI846" s="29"/>
    </row>
    <row r="847" spans="1:35" s="1" customFormat="1">
      <c r="A847" s="408">
        <v>4523</v>
      </c>
      <c r="B847" s="409" t="str">
        <f t="shared" si="58"/>
        <v>11AB</v>
      </c>
      <c r="C847" s="323" t="s">
        <v>2333</v>
      </c>
      <c r="D847" s="458" t="s">
        <v>2678</v>
      </c>
      <c r="E847" s="295" t="s">
        <v>1977</v>
      </c>
      <c r="F847" s="410" t="s">
        <v>2323</v>
      </c>
      <c r="G847" s="410" t="s">
        <v>2328</v>
      </c>
      <c r="H847" s="282" t="s">
        <v>637</v>
      </c>
      <c r="I847" s="314" t="s">
        <v>4</v>
      </c>
      <c r="J847" s="282" t="s">
        <v>1409</v>
      </c>
      <c r="K847" s="282" t="s">
        <v>451</v>
      </c>
      <c r="L847" s="297" t="s">
        <v>2317</v>
      </c>
      <c r="M847" s="282" t="s">
        <v>1403</v>
      </c>
      <c r="N847" s="282" t="s">
        <v>1215</v>
      </c>
      <c r="O847" s="296" t="s">
        <v>1804</v>
      </c>
      <c r="P847" s="64" t="s">
        <v>1867</v>
      </c>
      <c r="Q847" s="297" t="s">
        <v>1903</v>
      </c>
      <c r="R847" s="314" t="s">
        <v>1229</v>
      </c>
      <c r="S847" s="340" t="s">
        <v>10</v>
      </c>
      <c r="T847" s="295" t="s">
        <v>449</v>
      </c>
      <c r="U847" s="332" t="s">
        <v>816</v>
      </c>
      <c r="V847" s="308" t="s">
        <v>7</v>
      </c>
      <c r="W847" s="314" t="s">
        <v>2182</v>
      </c>
      <c r="X847" s="297" t="s">
        <v>521</v>
      </c>
      <c r="Y847" s="282" t="s">
        <v>2178</v>
      </c>
      <c r="Z847" s="282" t="s">
        <v>1592</v>
      </c>
      <c r="AA847" s="284"/>
      <c r="AB847" s="300" t="s">
        <v>225</v>
      </c>
      <c r="AC847" s="411" t="s">
        <v>2933</v>
      </c>
      <c r="AD847" s="302" t="s">
        <v>1042</v>
      </c>
      <c r="AE847" s="460" t="s">
        <v>2539</v>
      </c>
      <c r="AF847" s="302"/>
      <c r="AG847" s="302"/>
      <c r="AH847" s="261" t="s">
        <v>2934</v>
      </c>
      <c r="AI847" s="29"/>
    </row>
    <row r="848" spans="1:35" s="1" customFormat="1">
      <c r="A848" s="408">
        <v>4524</v>
      </c>
      <c r="B848" s="409" t="str">
        <f t="shared" si="58"/>
        <v>11AC</v>
      </c>
      <c r="C848" s="323" t="s">
        <v>2432</v>
      </c>
      <c r="D848" s="458" t="s">
        <v>2678</v>
      </c>
      <c r="E848" s="295" t="s">
        <v>1977</v>
      </c>
      <c r="F848" s="410" t="s">
        <v>2323</v>
      </c>
      <c r="G848" s="410" t="s">
        <v>2328</v>
      </c>
      <c r="H848" s="282" t="s">
        <v>637</v>
      </c>
      <c r="I848" s="314" t="s">
        <v>4</v>
      </c>
      <c r="J848" s="282" t="s">
        <v>1409</v>
      </c>
      <c r="K848" s="282" t="s">
        <v>451</v>
      </c>
      <c r="L848" s="297" t="s">
        <v>2317</v>
      </c>
      <c r="M848" s="282" t="s">
        <v>1403</v>
      </c>
      <c r="N848" s="282" t="s">
        <v>1215</v>
      </c>
      <c r="O848" s="296" t="s">
        <v>1803</v>
      </c>
      <c r="P848" s="64" t="s">
        <v>2105</v>
      </c>
      <c r="Q848" s="297" t="s">
        <v>1903</v>
      </c>
      <c r="R848" s="314" t="s">
        <v>1398</v>
      </c>
      <c r="S848" s="340" t="s">
        <v>10</v>
      </c>
      <c r="T848" s="295" t="s">
        <v>449</v>
      </c>
      <c r="U848" s="332" t="s">
        <v>816</v>
      </c>
      <c r="V848" s="308" t="s">
        <v>7</v>
      </c>
      <c r="W848" s="314" t="s">
        <v>2182</v>
      </c>
      <c r="X848" s="297" t="s">
        <v>521</v>
      </c>
      <c r="Y848" s="282" t="s">
        <v>2178</v>
      </c>
      <c r="Z848" s="282" t="s">
        <v>1592</v>
      </c>
      <c r="AA848" s="284"/>
      <c r="AB848" s="300" t="s">
        <v>225</v>
      </c>
      <c r="AC848" s="333" t="s">
        <v>2938</v>
      </c>
      <c r="AD848" s="302" t="s">
        <v>1042</v>
      </c>
      <c r="AE848" s="460"/>
      <c r="AF848" s="302"/>
      <c r="AG848" s="302"/>
      <c r="AH848" s="261" t="s">
        <v>2935</v>
      </c>
      <c r="AI848" s="29"/>
    </row>
    <row r="849" spans="1:35" s="1" customFormat="1">
      <c r="A849" s="408">
        <v>4525</v>
      </c>
      <c r="B849" s="409" t="str">
        <f t="shared" si="58"/>
        <v>11AD</v>
      </c>
      <c r="C849" s="405" t="s">
        <v>2427</v>
      </c>
      <c r="D849" s="458" t="s">
        <v>2678</v>
      </c>
      <c r="E849" s="295" t="s">
        <v>1977</v>
      </c>
      <c r="F849" s="410" t="s">
        <v>2323</v>
      </c>
      <c r="G849" s="410" t="s">
        <v>2328</v>
      </c>
      <c r="H849" s="282" t="s">
        <v>637</v>
      </c>
      <c r="I849" s="314" t="s">
        <v>4</v>
      </c>
      <c r="J849" s="282" t="s">
        <v>1409</v>
      </c>
      <c r="K849" s="282" t="s">
        <v>451</v>
      </c>
      <c r="L849" s="297" t="s">
        <v>2317</v>
      </c>
      <c r="M849" s="282" t="s">
        <v>1403</v>
      </c>
      <c r="N849" s="282" t="s">
        <v>1215</v>
      </c>
      <c r="O849" s="296" t="s">
        <v>1801</v>
      </c>
      <c r="P849" s="64" t="s">
        <v>1866</v>
      </c>
      <c r="Q849" s="297" t="s">
        <v>1903</v>
      </c>
      <c r="R849" s="314" t="s">
        <v>1398</v>
      </c>
      <c r="S849" s="340" t="s">
        <v>10</v>
      </c>
      <c r="T849" s="295" t="s">
        <v>449</v>
      </c>
      <c r="U849" s="332" t="s">
        <v>816</v>
      </c>
      <c r="V849" s="308" t="s">
        <v>7</v>
      </c>
      <c r="W849" s="314" t="s">
        <v>2182</v>
      </c>
      <c r="X849" s="297" t="s">
        <v>521</v>
      </c>
      <c r="Y849" s="282" t="s">
        <v>2178</v>
      </c>
      <c r="Z849" s="282" t="s">
        <v>1592</v>
      </c>
      <c r="AA849" s="284"/>
      <c r="AB849" s="300" t="s">
        <v>225</v>
      </c>
      <c r="AC849" s="407" t="s">
        <v>2758</v>
      </c>
      <c r="AD849" s="302" t="s">
        <v>1042</v>
      </c>
      <c r="AE849" s="460"/>
      <c r="AF849" s="302"/>
      <c r="AG849" s="302"/>
      <c r="AH849" s="402" t="str">
        <f t="shared" si="57"/>
        <v>[wzr2hi, 08.04.2025] Added 0.000.000.000-155 as PlaceholderBuild.PlaceholderPlant</v>
      </c>
      <c r="AI849" s="29"/>
    </row>
    <row r="850" spans="1:35" s="1" customFormat="1">
      <c r="A850" s="408">
        <v>4526</v>
      </c>
      <c r="B850" s="409" t="str">
        <f t="shared" si="58"/>
        <v>11AE</v>
      </c>
      <c r="C850" s="405" t="s">
        <v>2096</v>
      </c>
      <c r="D850" s="458" t="s">
        <v>2678</v>
      </c>
      <c r="E850" s="295" t="s">
        <v>1977</v>
      </c>
      <c r="F850" s="406" t="s">
        <v>1359</v>
      </c>
      <c r="G850" s="406" t="s">
        <v>2109</v>
      </c>
      <c r="H850" s="282" t="s">
        <v>637</v>
      </c>
      <c r="I850" s="314" t="s">
        <v>4</v>
      </c>
      <c r="J850" s="282" t="s">
        <v>0</v>
      </c>
      <c r="K850" s="282" t="s">
        <v>451</v>
      </c>
      <c r="L850" s="297" t="s">
        <v>2318</v>
      </c>
      <c r="M850" s="282" t="s">
        <v>1403</v>
      </c>
      <c r="N850" s="282" t="s">
        <v>1215</v>
      </c>
      <c r="O850" s="296" t="s">
        <v>1801</v>
      </c>
      <c r="P850" s="64" t="s">
        <v>1866</v>
      </c>
      <c r="Q850" s="297" t="s">
        <v>1903</v>
      </c>
      <c r="R850" s="314" t="s">
        <v>1398</v>
      </c>
      <c r="S850" s="340" t="s">
        <v>10</v>
      </c>
      <c r="T850" s="367" t="s">
        <v>450</v>
      </c>
      <c r="U850" s="332" t="s">
        <v>816</v>
      </c>
      <c r="V850" s="308" t="s">
        <v>7</v>
      </c>
      <c r="W850" s="314" t="s">
        <v>2182</v>
      </c>
      <c r="X850" s="297" t="s">
        <v>521</v>
      </c>
      <c r="Y850" s="282" t="s">
        <v>2178</v>
      </c>
      <c r="Z850" s="282" t="s">
        <v>1592</v>
      </c>
      <c r="AA850" s="284"/>
      <c r="AB850" s="300" t="s">
        <v>225</v>
      </c>
      <c r="AC850" s="407" t="s">
        <v>2759</v>
      </c>
      <c r="AD850" s="302" t="s">
        <v>1042</v>
      </c>
      <c r="AE850" s="460"/>
      <c r="AF850" s="302"/>
      <c r="AG850" s="302"/>
      <c r="AH850" s="402" t="str">
        <f t="shared" si="57"/>
        <v>[wzr2hi, 08.04.2025] Added 0.000.000.000-156 as PlaceholderBuild.PlaceholderPlant</v>
      </c>
      <c r="AI850" s="29"/>
    </row>
    <row r="851" spans="1:35" s="1" customFormat="1">
      <c r="A851" s="408">
        <v>4527</v>
      </c>
      <c r="B851" s="409" t="str">
        <f t="shared" si="58"/>
        <v>11AF</v>
      </c>
      <c r="C851" s="405" t="s">
        <v>2135</v>
      </c>
      <c r="D851" s="458" t="s">
        <v>2678</v>
      </c>
      <c r="E851" s="295" t="s">
        <v>1977</v>
      </c>
      <c r="F851" s="406" t="s">
        <v>1359</v>
      </c>
      <c r="G851" s="406" t="s">
        <v>2109</v>
      </c>
      <c r="H851" s="282" t="s">
        <v>637</v>
      </c>
      <c r="I851" s="314" t="s">
        <v>4</v>
      </c>
      <c r="J851" s="282" t="s">
        <v>0</v>
      </c>
      <c r="K851" s="282" t="s">
        <v>451</v>
      </c>
      <c r="L851" s="297" t="s">
        <v>2318</v>
      </c>
      <c r="M851" s="282" t="s">
        <v>1403</v>
      </c>
      <c r="N851" s="282" t="s">
        <v>1215</v>
      </c>
      <c r="O851" s="296" t="s">
        <v>1805</v>
      </c>
      <c r="P851" s="64" t="s">
        <v>1867</v>
      </c>
      <c r="Q851" s="297" t="s">
        <v>1903</v>
      </c>
      <c r="R851" s="314" t="s">
        <v>1229</v>
      </c>
      <c r="S851" s="340" t="s">
        <v>10</v>
      </c>
      <c r="T851" s="295" t="s">
        <v>449</v>
      </c>
      <c r="U851" s="332" t="s">
        <v>816</v>
      </c>
      <c r="V851" s="308" t="s">
        <v>7</v>
      </c>
      <c r="W851" s="314" t="s">
        <v>2182</v>
      </c>
      <c r="X851" s="297" t="s">
        <v>521</v>
      </c>
      <c r="Y851" s="282" t="s">
        <v>2178</v>
      </c>
      <c r="Z851" s="282" t="s">
        <v>1592</v>
      </c>
      <c r="AA851" s="284"/>
      <c r="AB851" s="300" t="s">
        <v>225</v>
      </c>
      <c r="AC851" s="407" t="s">
        <v>2760</v>
      </c>
      <c r="AD851" s="302" t="s">
        <v>1042</v>
      </c>
      <c r="AE851" s="460"/>
      <c r="AF851" s="302"/>
      <c r="AG851" s="302"/>
      <c r="AH851" s="402" t="str">
        <f t="shared" si="57"/>
        <v>[wzr2hi, 08.04.2025] Added 0.000.000.000-157 as PlaceholderBuild.PlaceholderPlant</v>
      </c>
      <c r="AI851" s="29"/>
    </row>
    <row r="852" spans="1:35" s="1" customFormat="1">
      <c r="A852" s="408">
        <v>4528</v>
      </c>
      <c r="B852" s="409" t="str">
        <f t="shared" si="58"/>
        <v>11B0</v>
      </c>
      <c r="C852" s="405" t="s">
        <v>2385</v>
      </c>
      <c r="D852" s="458" t="s">
        <v>2678</v>
      </c>
      <c r="E852" s="295" t="s">
        <v>1977</v>
      </c>
      <c r="F852" s="406" t="s">
        <v>1359</v>
      </c>
      <c r="G852" s="406" t="s">
        <v>2109</v>
      </c>
      <c r="H852" s="282" t="s">
        <v>637</v>
      </c>
      <c r="I852" s="314" t="s">
        <v>4</v>
      </c>
      <c r="J852" s="282" t="s">
        <v>0</v>
      </c>
      <c r="K852" s="282" t="s">
        <v>451</v>
      </c>
      <c r="L852" s="297" t="s">
        <v>2318</v>
      </c>
      <c r="M852" s="282" t="s">
        <v>1403</v>
      </c>
      <c r="N852" s="282" t="s">
        <v>1215</v>
      </c>
      <c r="O852" s="296" t="s">
        <v>1803</v>
      </c>
      <c r="P852" s="64" t="s">
        <v>2105</v>
      </c>
      <c r="Q852" s="297" t="s">
        <v>1903</v>
      </c>
      <c r="R852" s="314" t="s">
        <v>1398</v>
      </c>
      <c r="S852" s="340" t="s">
        <v>10</v>
      </c>
      <c r="T852" s="295" t="s">
        <v>449</v>
      </c>
      <c r="U852" s="332" t="s">
        <v>816</v>
      </c>
      <c r="V852" s="308" t="s">
        <v>7</v>
      </c>
      <c r="W852" s="314" t="s">
        <v>2182</v>
      </c>
      <c r="X852" s="297" t="s">
        <v>521</v>
      </c>
      <c r="Y852" s="282" t="s">
        <v>2178</v>
      </c>
      <c r="Z852" s="282" t="s">
        <v>1592</v>
      </c>
      <c r="AA852" s="284"/>
      <c r="AB852" s="300" t="s">
        <v>225</v>
      </c>
      <c r="AC852" s="407" t="s">
        <v>2761</v>
      </c>
      <c r="AD852" s="302" t="s">
        <v>1042</v>
      </c>
      <c r="AE852" s="460"/>
      <c r="AF852" s="302"/>
      <c r="AG852" s="302"/>
      <c r="AH852" s="402" t="str">
        <f t="shared" si="57"/>
        <v>[wzr2hi, 08.04.2025] Added 0.000.000.000-158 as PlaceholderBuild.PlaceholderPlant</v>
      </c>
      <c r="AI852" s="29"/>
    </row>
    <row r="853" spans="1:35" s="1" customFormat="1">
      <c r="A853" s="408">
        <v>4529</v>
      </c>
      <c r="B853" s="409" t="str">
        <f t="shared" si="58"/>
        <v>11B1</v>
      </c>
      <c r="C853" s="405" t="s">
        <v>2383</v>
      </c>
      <c r="D853" s="458" t="s">
        <v>2678</v>
      </c>
      <c r="E853" s="295" t="s">
        <v>1977</v>
      </c>
      <c r="F853" s="406" t="s">
        <v>1359</v>
      </c>
      <c r="G853" s="406" t="s">
        <v>2109</v>
      </c>
      <c r="H853" s="282" t="s">
        <v>637</v>
      </c>
      <c r="I853" s="314" t="s">
        <v>4</v>
      </c>
      <c r="J853" s="282" t="s">
        <v>0</v>
      </c>
      <c r="K853" s="282" t="s">
        <v>451</v>
      </c>
      <c r="L853" s="297" t="s">
        <v>2318</v>
      </c>
      <c r="M853" s="282" t="s">
        <v>1403</v>
      </c>
      <c r="N853" s="282" t="s">
        <v>1215</v>
      </c>
      <c r="O853" s="296" t="s">
        <v>1803</v>
      </c>
      <c r="P853" s="64" t="s">
        <v>2105</v>
      </c>
      <c r="Q853" s="297" t="s">
        <v>1903</v>
      </c>
      <c r="R853" s="314" t="s">
        <v>1229</v>
      </c>
      <c r="S853" s="340" t="s">
        <v>10</v>
      </c>
      <c r="T853" s="295" t="s">
        <v>449</v>
      </c>
      <c r="U853" s="332" t="s">
        <v>816</v>
      </c>
      <c r="V853" s="308" t="s">
        <v>7</v>
      </c>
      <c r="W853" s="314" t="s">
        <v>2182</v>
      </c>
      <c r="X853" s="297" t="s">
        <v>521</v>
      </c>
      <c r="Y853" s="282" t="s">
        <v>2178</v>
      </c>
      <c r="Z853" s="282" t="s">
        <v>1592</v>
      </c>
      <c r="AA853" s="284"/>
      <c r="AB853" s="300" t="s">
        <v>225</v>
      </c>
      <c r="AC853" s="407" t="s">
        <v>2762</v>
      </c>
      <c r="AD853" s="302" t="s">
        <v>1042</v>
      </c>
      <c r="AE853" s="460"/>
      <c r="AF853" s="302"/>
      <c r="AG853" s="302"/>
      <c r="AH853" s="402" t="str">
        <f t="shared" si="57"/>
        <v>[wzr2hi, 08.04.2025] Added 0.000.000.000-159 as PlaceholderBuild.PlaceholderPlant</v>
      </c>
      <c r="AI853" s="29"/>
    </row>
    <row r="854" spans="1:35" s="1" customFormat="1">
      <c r="A854" s="408">
        <v>4530</v>
      </c>
      <c r="B854" s="409" t="str">
        <f t="shared" si="58"/>
        <v>11B2</v>
      </c>
      <c r="C854" s="405" t="s">
        <v>2386</v>
      </c>
      <c r="D854" s="458" t="s">
        <v>2678</v>
      </c>
      <c r="E854" s="295" t="s">
        <v>1977</v>
      </c>
      <c r="F854" s="406" t="s">
        <v>1359</v>
      </c>
      <c r="G854" s="406" t="s">
        <v>2109</v>
      </c>
      <c r="H854" s="282" t="s">
        <v>637</v>
      </c>
      <c r="I854" s="314" t="s">
        <v>4</v>
      </c>
      <c r="J854" s="282" t="s">
        <v>0</v>
      </c>
      <c r="K854" s="282" t="s">
        <v>451</v>
      </c>
      <c r="L854" s="297" t="s">
        <v>2318</v>
      </c>
      <c r="M854" s="282" t="s">
        <v>1403</v>
      </c>
      <c r="N854" s="282" t="s">
        <v>1215</v>
      </c>
      <c r="O854" s="296" t="s">
        <v>1804</v>
      </c>
      <c r="P854" s="64" t="s">
        <v>1867</v>
      </c>
      <c r="Q854" s="297" t="s">
        <v>1903</v>
      </c>
      <c r="R854" s="314" t="s">
        <v>1398</v>
      </c>
      <c r="S854" s="340" t="s">
        <v>10</v>
      </c>
      <c r="T854" s="295" t="s">
        <v>449</v>
      </c>
      <c r="U854" s="332" t="s">
        <v>816</v>
      </c>
      <c r="V854" s="308" t="s">
        <v>7</v>
      </c>
      <c r="W854" s="314" t="s">
        <v>2182</v>
      </c>
      <c r="X854" s="297" t="s">
        <v>521</v>
      </c>
      <c r="Y854" s="282" t="s">
        <v>2178</v>
      </c>
      <c r="Z854" s="282" t="s">
        <v>1592</v>
      </c>
      <c r="AA854" s="284"/>
      <c r="AB854" s="300" t="s">
        <v>225</v>
      </c>
      <c r="AC854" s="407" t="s">
        <v>2763</v>
      </c>
      <c r="AD854" s="302" t="s">
        <v>1042</v>
      </c>
      <c r="AE854" s="460"/>
      <c r="AF854" s="302"/>
      <c r="AG854" s="302"/>
      <c r="AH854" s="402" t="str">
        <f t="shared" si="57"/>
        <v>[wzr2hi, 08.04.2025] Added 0.000.000.000-160 as PlaceholderBuild.PlaceholderPlant</v>
      </c>
      <c r="AI854" s="29"/>
    </row>
    <row r="855" spans="1:35" s="1" customFormat="1">
      <c r="A855" s="408">
        <v>4531</v>
      </c>
      <c r="B855" s="409" t="str">
        <f t="shared" si="58"/>
        <v>11B3</v>
      </c>
      <c r="C855" s="405" t="s">
        <v>2384</v>
      </c>
      <c r="D855" s="458" t="s">
        <v>2678</v>
      </c>
      <c r="E855" s="295" t="s">
        <v>1977</v>
      </c>
      <c r="F855" s="406" t="s">
        <v>1359</v>
      </c>
      <c r="G855" s="406" t="s">
        <v>2109</v>
      </c>
      <c r="H855" s="282" t="s">
        <v>637</v>
      </c>
      <c r="I855" s="314" t="s">
        <v>4</v>
      </c>
      <c r="J855" s="282" t="s">
        <v>0</v>
      </c>
      <c r="K855" s="282" t="s">
        <v>451</v>
      </c>
      <c r="L855" s="297" t="s">
        <v>2318</v>
      </c>
      <c r="M855" s="282" t="s">
        <v>1403</v>
      </c>
      <c r="N855" s="282" t="s">
        <v>1215</v>
      </c>
      <c r="O855" s="296" t="s">
        <v>1801</v>
      </c>
      <c r="P855" s="64" t="s">
        <v>1866</v>
      </c>
      <c r="Q855" s="297" t="s">
        <v>1903</v>
      </c>
      <c r="R855" s="314" t="s">
        <v>1398</v>
      </c>
      <c r="S855" s="340" t="s">
        <v>10</v>
      </c>
      <c r="T855" s="295" t="s">
        <v>449</v>
      </c>
      <c r="U855" s="332" t="s">
        <v>816</v>
      </c>
      <c r="V855" s="308" t="s">
        <v>7</v>
      </c>
      <c r="W855" s="314" t="s">
        <v>2182</v>
      </c>
      <c r="X855" s="297" t="s">
        <v>521</v>
      </c>
      <c r="Y855" s="282" t="s">
        <v>2178</v>
      </c>
      <c r="Z855" s="282" t="s">
        <v>1592</v>
      </c>
      <c r="AA855" s="284"/>
      <c r="AB855" s="300" t="s">
        <v>225</v>
      </c>
      <c r="AC855" s="407" t="s">
        <v>2764</v>
      </c>
      <c r="AD855" s="302" t="s">
        <v>1042</v>
      </c>
      <c r="AE855" s="460"/>
      <c r="AF855" s="302"/>
      <c r="AG855" s="302"/>
      <c r="AH855" s="402" t="str">
        <f t="shared" si="57"/>
        <v>[wzr2hi, 08.04.2025] Added 0.000.000.000-161 as PlaceholderBuild.PlaceholderPlant</v>
      </c>
      <c r="AI855" s="29"/>
    </row>
    <row r="856" spans="1:35" s="1" customFormat="1" ht="39.6">
      <c r="A856" s="408">
        <v>4532</v>
      </c>
      <c r="B856" s="409" t="str">
        <f t="shared" si="58"/>
        <v>11B4</v>
      </c>
      <c r="C856" s="323" t="s">
        <v>2096</v>
      </c>
      <c r="D856" s="458" t="s">
        <v>2682</v>
      </c>
      <c r="E856" s="295" t="s">
        <v>1977</v>
      </c>
      <c r="F856" s="406" t="s">
        <v>1359</v>
      </c>
      <c r="G856" s="406" t="s">
        <v>2109</v>
      </c>
      <c r="H856" s="282" t="s">
        <v>637</v>
      </c>
      <c r="I856" s="314" t="s">
        <v>4</v>
      </c>
      <c r="J856" s="282" t="s">
        <v>0</v>
      </c>
      <c r="K856" s="282" t="s">
        <v>451</v>
      </c>
      <c r="L856" s="297" t="s">
        <v>2318</v>
      </c>
      <c r="M856" s="282" t="s">
        <v>1403</v>
      </c>
      <c r="N856" s="282" t="s">
        <v>1215</v>
      </c>
      <c r="O856" s="296" t="s">
        <v>1801</v>
      </c>
      <c r="P856" s="64" t="s">
        <v>1866</v>
      </c>
      <c r="Q856" s="297" t="s">
        <v>1903</v>
      </c>
      <c r="R856" s="314" t="s">
        <v>1398</v>
      </c>
      <c r="S856" s="340" t="s">
        <v>10</v>
      </c>
      <c r="T856" s="367" t="s">
        <v>450</v>
      </c>
      <c r="U856" s="332" t="s">
        <v>816</v>
      </c>
      <c r="V856" s="308" t="s">
        <v>7</v>
      </c>
      <c r="W856" s="298" t="s">
        <v>447</v>
      </c>
      <c r="X856" s="297" t="s">
        <v>521</v>
      </c>
      <c r="Y856" s="282" t="s">
        <v>2178</v>
      </c>
      <c r="Z856" s="282" t="s">
        <v>1592</v>
      </c>
      <c r="AA856" s="284"/>
      <c r="AB856" s="300" t="s">
        <v>225</v>
      </c>
      <c r="AC856" s="411" t="s">
        <v>2909</v>
      </c>
      <c r="AD856" s="302" t="s">
        <v>1042</v>
      </c>
      <c r="AE856" s="460"/>
      <c r="AF856" s="302"/>
      <c r="AG856" s="302"/>
      <c r="AH856" s="261" t="s">
        <v>2912</v>
      </c>
      <c r="AI856" s="29"/>
    </row>
    <row r="857" spans="1:35" s="1" customFormat="1">
      <c r="A857" s="408">
        <v>4533</v>
      </c>
      <c r="B857" s="409" t="str">
        <f t="shared" si="58"/>
        <v>11B5</v>
      </c>
      <c r="C857" s="405" t="s">
        <v>2135</v>
      </c>
      <c r="D857" s="458" t="s">
        <v>2682</v>
      </c>
      <c r="E857" s="295" t="s">
        <v>1977</v>
      </c>
      <c r="F857" s="406" t="s">
        <v>1359</v>
      </c>
      <c r="G857" s="406" t="s">
        <v>2109</v>
      </c>
      <c r="H857" s="282" t="s">
        <v>637</v>
      </c>
      <c r="I857" s="314" t="s">
        <v>4</v>
      </c>
      <c r="J857" s="282" t="s">
        <v>0</v>
      </c>
      <c r="K857" s="282" t="s">
        <v>451</v>
      </c>
      <c r="L857" s="297" t="s">
        <v>2318</v>
      </c>
      <c r="M857" s="282" t="s">
        <v>1403</v>
      </c>
      <c r="N857" s="282" t="s">
        <v>1215</v>
      </c>
      <c r="O857" s="296" t="s">
        <v>1805</v>
      </c>
      <c r="P857" s="64" t="s">
        <v>1867</v>
      </c>
      <c r="Q857" s="297" t="s">
        <v>1903</v>
      </c>
      <c r="R857" s="314" t="s">
        <v>1229</v>
      </c>
      <c r="S857" s="340" t="s">
        <v>10</v>
      </c>
      <c r="T857" s="295" t="s">
        <v>449</v>
      </c>
      <c r="U857" s="332" t="s">
        <v>816</v>
      </c>
      <c r="V857" s="308" t="s">
        <v>7</v>
      </c>
      <c r="W857" s="298" t="s">
        <v>447</v>
      </c>
      <c r="X857" s="297" t="s">
        <v>521</v>
      </c>
      <c r="Y857" s="282" t="s">
        <v>2178</v>
      </c>
      <c r="Z857" s="282" t="s">
        <v>1592</v>
      </c>
      <c r="AA857" s="284"/>
      <c r="AB857" s="300" t="s">
        <v>225</v>
      </c>
      <c r="AC857" s="407" t="s">
        <v>2765</v>
      </c>
      <c r="AD857" s="302" t="s">
        <v>1042</v>
      </c>
      <c r="AE857" s="460"/>
      <c r="AF857" s="302"/>
      <c r="AG857" s="302"/>
      <c r="AH857" s="402" t="str">
        <f t="shared" si="57"/>
        <v>[wzr2hi, 08.04.2025] Added 0.000.000.000-163 as PlaceholderBuild.PlaceholderPlant</v>
      </c>
      <c r="AI857" s="29"/>
    </row>
    <row r="858" spans="1:35" s="1" customFormat="1">
      <c r="A858" s="408">
        <v>4534</v>
      </c>
      <c r="B858" s="409" t="str">
        <f t="shared" si="58"/>
        <v>11B6</v>
      </c>
      <c r="C858" s="405" t="s">
        <v>2385</v>
      </c>
      <c r="D858" s="458" t="s">
        <v>2682</v>
      </c>
      <c r="E858" s="295" t="s">
        <v>1977</v>
      </c>
      <c r="F858" s="406" t="s">
        <v>1359</v>
      </c>
      <c r="G858" s="406" t="s">
        <v>2109</v>
      </c>
      <c r="H858" s="282" t="s">
        <v>637</v>
      </c>
      <c r="I858" s="314" t="s">
        <v>4</v>
      </c>
      <c r="J858" s="282" t="s">
        <v>0</v>
      </c>
      <c r="K858" s="282" t="s">
        <v>451</v>
      </c>
      <c r="L858" s="297" t="s">
        <v>2318</v>
      </c>
      <c r="M858" s="282" t="s">
        <v>1403</v>
      </c>
      <c r="N858" s="282" t="s">
        <v>1215</v>
      </c>
      <c r="O858" s="296" t="s">
        <v>1803</v>
      </c>
      <c r="P858" s="64" t="s">
        <v>2105</v>
      </c>
      <c r="Q858" s="297" t="s">
        <v>1903</v>
      </c>
      <c r="R858" s="314" t="s">
        <v>1398</v>
      </c>
      <c r="S858" s="340" t="s">
        <v>10</v>
      </c>
      <c r="T858" s="295" t="s">
        <v>449</v>
      </c>
      <c r="U858" s="332" t="s">
        <v>816</v>
      </c>
      <c r="V858" s="308" t="s">
        <v>7</v>
      </c>
      <c r="W858" s="298" t="s">
        <v>447</v>
      </c>
      <c r="X858" s="297" t="s">
        <v>521</v>
      </c>
      <c r="Y858" s="282" t="s">
        <v>2178</v>
      </c>
      <c r="Z858" s="282" t="s">
        <v>1592</v>
      </c>
      <c r="AA858" s="284"/>
      <c r="AB858" s="300" t="s">
        <v>225</v>
      </c>
      <c r="AC858" s="407" t="s">
        <v>2766</v>
      </c>
      <c r="AD858" s="302" t="s">
        <v>1042</v>
      </c>
      <c r="AE858" s="460"/>
      <c r="AF858" s="302"/>
      <c r="AG858" s="302"/>
      <c r="AH858" s="402" t="str">
        <f t="shared" si="57"/>
        <v>[wzr2hi, 08.04.2025] Added 0.000.000.000-164 as PlaceholderBuild.PlaceholderPlant</v>
      </c>
      <c r="AI858" s="29"/>
    </row>
    <row r="859" spans="1:35" s="1" customFormat="1">
      <c r="A859" s="408">
        <v>4535</v>
      </c>
      <c r="B859" s="409" t="str">
        <f t="shared" si="58"/>
        <v>11B7</v>
      </c>
      <c r="C859" s="405" t="s">
        <v>2383</v>
      </c>
      <c r="D859" s="458" t="s">
        <v>2682</v>
      </c>
      <c r="E859" s="295" t="s">
        <v>1977</v>
      </c>
      <c r="F859" s="406" t="s">
        <v>1359</v>
      </c>
      <c r="G859" s="406" t="s">
        <v>2109</v>
      </c>
      <c r="H859" s="282" t="s">
        <v>637</v>
      </c>
      <c r="I859" s="314" t="s">
        <v>4</v>
      </c>
      <c r="J859" s="282" t="s">
        <v>0</v>
      </c>
      <c r="K859" s="282" t="s">
        <v>451</v>
      </c>
      <c r="L859" s="297" t="s">
        <v>2318</v>
      </c>
      <c r="M859" s="282" t="s">
        <v>1403</v>
      </c>
      <c r="N859" s="282" t="s">
        <v>1215</v>
      </c>
      <c r="O859" s="296" t="s">
        <v>1803</v>
      </c>
      <c r="P859" s="64" t="s">
        <v>2105</v>
      </c>
      <c r="Q859" s="297" t="s">
        <v>1903</v>
      </c>
      <c r="R859" s="314" t="s">
        <v>1229</v>
      </c>
      <c r="S859" s="340" t="s">
        <v>10</v>
      </c>
      <c r="T859" s="295" t="s">
        <v>449</v>
      </c>
      <c r="U859" s="332" t="s">
        <v>816</v>
      </c>
      <c r="V859" s="308" t="s">
        <v>7</v>
      </c>
      <c r="W859" s="298" t="s">
        <v>447</v>
      </c>
      <c r="X859" s="297" t="s">
        <v>521</v>
      </c>
      <c r="Y859" s="282" t="s">
        <v>2178</v>
      </c>
      <c r="Z859" s="282" t="s">
        <v>1592</v>
      </c>
      <c r="AA859" s="284"/>
      <c r="AB859" s="300" t="s">
        <v>225</v>
      </c>
      <c r="AC859" s="407" t="s">
        <v>2767</v>
      </c>
      <c r="AD859" s="302" t="s">
        <v>1042</v>
      </c>
      <c r="AE859" s="460"/>
      <c r="AF859" s="302"/>
      <c r="AG859" s="302"/>
      <c r="AH859" s="402" t="str">
        <f t="shared" si="57"/>
        <v>[wzr2hi, 08.04.2025] Added 0.000.000.000-165 as PlaceholderBuild.PlaceholderPlant</v>
      </c>
      <c r="AI859" s="29"/>
    </row>
    <row r="860" spans="1:35" s="1" customFormat="1">
      <c r="A860" s="408">
        <v>4536</v>
      </c>
      <c r="B860" s="409" t="str">
        <f t="shared" si="58"/>
        <v>11B8</v>
      </c>
      <c r="C860" s="405" t="s">
        <v>2386</v>
      </c>
      <c r="D860" s="458" t="s">
        <v>2682</v>
      </c>
      <c r="E860" s="295" t="s">
        <v>1977</v>
      </c>
      <c r="F860" s="406" t="s">
        <v>1359</v>
      </c>
      <c r="G860" s="406" t="s">
        <v>2109</v>
      </c>
      <c r="H860" s="282" t="s">
        <v>637</v>
      </c>
      <c r="I860" s="314" t="s">
        <v>4</v>
      </c>
      <c r="J860" s="282" t="s">
        <v>0</v>
      </c>
      <c r="K860" s="282" t="s">
        <v>451</v>
      </c>
      <c r="L860" s="297" t="s">
        <v>2318</v>
      </c>
      <c r="M860" s="282" t="s">
        <v>1403</v>
      </c>
      <c r="N860" s="282" t="s">
        <v>1215</v>
      </c>
      <c r="O860" s="296" t="s">
        <v>1804</v>
      </c>
      <c r="P860" s="64" t="s">
        <v>1867</v>
      </c>
      <c r="Q860" s="297" t="s">
        <v>1903</v>
      </c>
      <c r="R860" s="314" t="s">
        <v>1398</v>
      </c>
      <c r="S860" s="340" t="s">
        <v>10</v>
      </c>
      <c r="T860" s="295" t="s">
        <v>449</v>
      </c>
      <c r="U860" s="332" t="s">
        <v>816</v>
      </c>
      <c r="V860" s="308" t="s">
        <v>7</v>
      </c>
      <c r="W860" s="298" t="s">
        <v>447</v>
      </c>
      <c r="X860" s="297" t="s">
        <v>521</v>
      </c>
      <c r="Y860" s="282" t="s">
        <v>2178</v>
      </c>
      <c r="Z860" s="282" t="s">
        <v>1592</v>
      </c>
      <c r="AA860" s="284"/>
      <c r="AB860" s="300" t="s">
        <v>225</v>
      </c>
      <c r="AC860" s="407" t="s">
        <v>2768</v>
      </c>
      <c r="AD860" s="302" t="s">
        <v>1042</v>
      </c>
      <c r="AE860" s="460"/>
      <c r="AF860" s="302"/>
      <c r="AG860" s="302"/>
      <c r="AH860" s="402" t="str">
        <f t="shared" si="57"/>
        <v>[wzr2hi, 08.04.2025] Added 0.000.000.000-166 as PlaceholderBuild.PlaceholderPlant</v>
      </c>
      <c r="AI860" s="29"/>
    </row>
    <row r="861" spans="1:35" s="1" customFormat="1">
      <c r="A861" s="408">
        <v>4537</v>
      </c>
      <c r="B861" s="409" t="str">
        <f t="shared" si="58"/>
        <v>11B9</v>
      </c>
      <c r="C861" s="405" t="s">
        <v>2384</v>
      </c>
      <c r="D861" s="458" t="s">
        <v>2682</v>
      </c>
      <c r="E861" s="295" t="s">
        <v>1977</v>
      </c>
      <c r="F861" s="406" t="s">
        <v>1359</v>
      </c>
      <c r="G861" s="406" t="s">
        <v>2109</v>
      </c>
      <c r="H861" s="282" t="s">
        <v>637</v>
      </c>
      <c r="I861" s="314" t="s">
        <v>4</v>
      </c>
      <c r="J861" s="282" t="s">
        <v>0</v>
      </c>
      <c r="K861" s="282" t="s">
        <v>451</v>
      </c>
      <c r="L861" s="297" t="s">
        <v>2318</v>
      </c>
      <c r="M861" s="282" t="s">
        <v>1403</v>
      </c>
      <c r="N861" s="282" t="s">
        <v>1215</v>
      </c>
      <c r="O861" s="296" t="s">
        <v>1801</v>
      </c>
      <c r="P861" s="64" t="s">
        <v>1866</v>
      </c>
      <c r="Q861" s="297" t="s">
        <v>1903</v>
      </c>
      <c r="R861" s="314" t="s">
        <v>1398</v>
      </c>
      <c r="S861" s="340" t="s">
        <v>10</v>
      </c>
      <c r="T861" s="295" t="s">
        <v>449</v>
      </c>
      <c r="U861" s="332" t="s">
        <v>816</v>
      </c>
      <c r="V861" s="308" t="s">
        <v>7</v>
      </c>
      <c r="W861" s="298" t="s">
        <v>447</v>
      </c>
      <c r="X861" s="297" t="s">
        <v>521</v>
      </c>
      <c r="Y861" s="282" t="s">
        <v>2178</v>
      </c>
      <c r="Z861" s="282" t="s">
        <v>1592</v>
      </c>
      <c r="AA861" s="284"/>
      <c r="AB861" s="300" t="s">
        <v>225</v>
      </c>
      <c r="AC861" s="407" t="s">
        <v>2769</v>
      </c>
      <c r="AD861" s="302" t="s">
        <v>1042</v>
      </c>
      <c r="AE861" s="460"/>
      <c r="AF861" s="302"/>
      <c r="AG861" s="302"/>
      <c r="AH861" s="402" t="str">
        <f t="shared" si="57"/>
        <v>[wzr2hi, 08.04.2025] Added 0.000.000.000-167 as PlaceholderBuild.PlaceholderPlant</v>
      </c>
      <c r="AI861" s="29"/>
    </row>
    <row r="862" spans="1:35">
      <c r="A862" s="51">
        <v>4538</v>
      </c>
      <c r="B862" s="81" t="str">
        <f t="shared" si="58"/>
        <v>11BA</v>
      </c>
      <c r="C862" s="329" t="s">
        <v>2670</v>
      </c>
      <c r="D862" s="458" t="s">
        <v>2676</v>
      </c>
      <c r="E862" s="295" t="s">
        <v>1977</v>
      </c>
      <c r="F862" s="373" t="s">
        <v>1408</v>
      </c>
      <c r="G862" s="167" t="s">
        <v>1915</v>
      </c>
      <c r="H862" s="282" t="s">
        <v>637</v>
      </c>
      <c r="I862" s="314" t="s">
        <v>4</v>
      </c>
      <c r="J862" s="282" t="s">
        <v>0</v>
      </c>
      <c r="K862" s="282" t="s">
        <v>478</v>
      </c>
      <c r="L862" s="360" t="s">
        <v>1306</v>
      </c>
      <c r="M862" s="282" t="s">
        <v>1403</v>
      </c>
      <c r="N862" s="282" t="s">
        <v>1215</v>
      </c>
      <c r="O862" s="238" t="s">
        <v>1804</v>
      </c>
      <c r="P862" s="64" t="s">
        <v>1867</v>
      </c>
      <c r="Q862" s="297" t="s">
        <v>1903</v>
      </c>
      <c r="R862" s="298" t="s">
        <v>1398</v>
      </c>
      <c r="S862" s="340" t="s">
        <v>10</v>
      </c>
      <c r="T862" s="295" t="s">
        <v>449</v>
      </c>
      <c r="U862" s="332" t="s">
        <v>816</v>
      </c>
      <c r="V862" s="308" t="s">
        <v>7</v>
      </c>
      <c r="W862" s="298" t="s">
        <v>447</v>
      </c>
      <c r="X862" s="64" t="s">
        <v>521</v>
      </c>
      <c r="Y862" s="282" t="s">
        <v>1556</v>
      </c>
      <c r="Z862" s="282" t="s">
        <v>1592</v>
      </c>
      <c r="AA862" s="299"/>
      <c r="AB862" s="300" t="s">
        <v>225</v>
      </c>
      <c r="AC862" s="407" t="s">
        <v>2770</v>
      </c>
      <c r="AD862" s="302" t="s">
        <v>1042</v>
      </c>
      <c r="AE862" s="460"/>
      <c r="AF862" s="302"/>
      <c r="AG862" s="302"/>
      <c r="AH862" s="402" t="str">
        <f t="shared" si="57"/>
        <v>[wzr2hi, 08.04.2025] Added 0.000.000.000-168 as PlaceholderBuild.PlaceholderPlant</v>
      </c>
      <c r="AI862" s="29"/>
    </row>
    <row r="863" spans="1:35">
      <c r="A863" s="387">
        <v>4539</v>
      </c>
      <c r="B863" s="388" t="str">
        <f t="shared" ref="B863" si="59">DEC2HEX(A863,4)</f>
        <v>11BB</v>
      </c>
      <c r="C863" s="329" t="s">
        <v>2927</v>
      </c>
      <c r="D863" s="458" t="s">
        <v>2679</v>
      </c>
      <c r="E863" s="295" t="s">
        <v>1977</v>
      </c>
      <c r="F863" s="393" t="s">
        <v>2324</v>
      </c>
      <c r="G863" s="394" t="s">
        <v>2326</v>
      </c>
      <c r="H863" s="282" t="s">
        <v>637</v>
      </c>
      <c r="I863" s="295" t="s">
        <v>815</v>
      </c>
      <c r="J863" s="282" t="s">
        <v>1409</v>
      </c>
      <c r="K863" s="282" t="s">
        <v>452</v>
      </c>
      <c r="L863" s="297" t="s">
        <v>2317</v>
      </c>
      <c r="M863" s="282" t="s">
        <v>1401</v>
      </c>
      <c r="N863" s="282" t="s">
        <v>1400</v>
      </c>
      <c r="O863" s="296" t="s">
        <v>1803</v>
      </c>
      <c r="P863" s="64" t="s">
        <v>2105</v>
      </c>
      <c r="Q863" s="297" t="s">
        <v>1903</v>
      </c>
      <c r="R863" s="298" t="s">
        <v>1229</v>
      </c>
      <c r="S863" s="340" t="s">
        <v>10</v>
      </c>
      <c r="T863" s="295" t="s">
        <v>449</v>
      </c>
      <c r="U863" s="332" t="s">
        <v>816</v>
      </c>
      <c r="V863" s="342" t="s">
        <v>1115</v>
      </c>
      <c r="W863" s="298" t="s">
        <v>2182</v>
      </c>
      <c r="X863" s="64" t="s">
        <v>521</v>
      </c>
      <c r="Y863" s="282" t="s">
        <v>2178</v>
      </c>
      <c r="Z863" s="282" t="s">
        <v>1593</v>
      </c>
      <c r="AA863" s="299"/>
      <c r="AB863" s="300" t="s">
        <v>225</v>
      </c>
      <c r="AC863" s="411" t="s">
        <v>2925</v>
      </c>
      <c r="AD863" s="302" t="s">
        <v>1042</v>
      </c>
      <c r="AE863" s="460"/>
      <c r="AF863" s="302"/>
      <c r="AG863" s="302"/>
      <c r="AH863" s="261" t="s">
        <v>2924</v>
      </c>
      <c r="AI863" s="29"/>
    </row>
  </sheetData>
  <autoFilter ref="A1:AL863" xr:uid="{00000000-0001-0000-0000-000000000000}"/>
  <phoneticPr fontId="42" type="noConversion"/>
  <conditionalFormatting sqref="C174">
    <cfRule type="expression" dxfId="32" priority="4776">
      <formula>IF(#REF!="Used for TC",TRUE(),FALSE())</formula>
    </cfRule>
    <cfRule type="expression" dxfId="31" priority="4775">
      <formula>IF($K174="RM1-(Renault BASE)",TRUE(),FALSE())</formula>
    </cfRule>
    <cfRule type="expression" dxfId="30" priority="4774">
      <formula>IF(#REF!="not offered in QAS 04.12.2014",TRUE(),FALSE())</formula>
    </cfRule>
  </conditionalFormatting>
  <conditionalFormatting sqref="C176">
    <cfRule type="expression" dxfId="29" priority="3945">
      <formula>IF(#REF!="Used for TC",TRUE(),FALSE())</formula>
    </cfRule>
    <cfRule type="expression" dxfId="28" priority="3944">
      <formula>IF($K176="RM1-(Renault BASE)",TRUE(),FALSE())</formula>
    </cfRule>
    <cfRule type="expression" dxfId="27" priority="3943">
      <formula>IF(#REF!="not offered in QAS 04.12.2014",TRUE(),FALSE())</formula>
    </cfRule>
  </conditionalFormatting>
  <conditionalFormatting sqref="C181">
    <cfRule type="expression" dxfId="26" priority="3857">
      <formula>IF(#REF!="Used for TC",TRUE(),FALSE())</formula>
    </cfRule>
    <cfRule type="expression" dxfId="25" priority="3856">
      <formula>IF($K181="RM1-(Renault BASE)",TRUE(),FALSE())</formula>
    </cfRule>
    <cfRule type="expression" dxfId="24" priority="3855">
      <formula>IF(#REF!="not offered in QAS 04.12.2014",TRUE(),FALSE())</formula>
    </cfRule>
  </conditionalFormatting>
  <conditionalFormatting sqref="C183">
    <cfRule type="expression" dxfId="23" priority="3854">
      <formula>IF(#REF!="Used for TC",TRUE(),FALSE())</formula>
    </cfRule>
    <cfRule type="expression" dxfId="22" priority="3853">
      <formula>IF($K183="RM1-(Renault BASE)",TRUE(),FALSE())</formula>
    </cfRule>
    <cfRule type="expression" dxfId="21" priority="3852">
      <formula>IF(#REF!="not offered in QAS 04.12.2014",TRUE(),FALSE())</formula>
    </cfRule>
  </conditionalFormatting>
  <conditionalFormatting sqref="C190">
    <cfRule type="expression" dxfId="20" priority="3845">
      <formula>IF(#REF!="Used for TC",TRUE(),FALSE())</formula>
    </cfRule>
    <cfRule type="expression" dxfId="19" priority="3844">
      <formula>IF($K190="RM1-(Renault BASE)",TRUE(),FALSE())</formula>
    </cfRule>
    <cfRule type="expression" dxfId="18" priority="3843">
      <formula>IF(#REF!="not offered in QAS 04.12.2014",TRUE(),FALSE())</formula>
    </cfRule>
  </conditionalFormatting>
  <conditionalFormatting sqref="C192">
    <cfRule type="expression" dxfId="17" priority="3840">
      <formula>IF(#REF!="not offered in QAS 04.12.2014",TRUE(),FALSE())</formula>
    </cfRule>
    <cfRule type="expression" dxfId="16" priority="3841">
      <formula>IF($K192="RM1-(Renault BASE)",TRUE(),FALSE())</formula>
    </cfRule>
    <cfRule type="expression" dxfId="15" priority="3842">
      <formula>IF(#REF!="Used for TC",TRUE(),FALSE())</formula>
    </cfRule>
  </conditionalFormatting>
  <conditionalFormatting sqref="C199">
    <cfRule type="expression" dxfId="14" priority="3836">
      <formula>IF(#REF!="Used for TC",TRUE(),FALSE())</formula>
    </cfRule>
    <cfRule type="expression" dxfId="13" priority="3835">
      <formula>IF($K199="RM1-(Renault BASE)",TRUE(),FALSE())</formula>
    </cfRule>
    <cfRule type="expression" dxfId="12" priority="3834">
      <formula>IF(#REF!="not offered in QAS 04.12.2014",TRUE(),FALSE())</formula>
    </cfRule>
  </conditionalFormatting>
  <conditionalFormatting sqref="C206">
    <cfRule type="expression" dxfId="11" priority="3833">
      <formula>IF(#REF!="Used for TC",TRUE(),FALSE())</formula>
    </cfRule>
    <cfRule type="expression" dxfId="10" priority="3832">
      <formula>IF($K206="RM1-(Renault BASE)",TRUE(),FALSE())</formula>
    </cfRule>
    <cfRule type="expression" dxfId="9" priority="3831">
      <formula>IF(#REF!="not offered in QAS 04.12.2014",TRUE(),FALSE())</formula>
    </cfRule>
  </conditionalFormatting>
  <conditionalFormatting sqref="C208">
    <cfRule type="expression" dxfId="8" priority="3830">
      <formula>IF(#REF!="Used for TC",TRUE(),FALSE())</formula>
    </cfRule>
    <cfRule type="expression" dxfId="7" priority="3829">
      <formula>IF($K208="RM1-(Renault BASE)",TRUE(),FALSE())</formula>
    </cfRule>
    <cfRule type="expression" dxfId="6" priority="3828">
      <formula>IF(#REF!="not offered in QAS 04.12.2014",TRUE(),FALSE())</formula>
    </cfRule>
  </conditionalFormatting>
  <conditionalFormatting sqref="C336">
    <cfRule type="expression" dxfId="5" priority="2646">
      <formula>IF(#REF!="Used for TC",TRUE(),FALSE())</formula>
    </cfRule>
    <cfRule type="expression" dxfId="4" priority="2645">
      <formula>IF($K336="RM1-(Renault BASE)",TRUE(),FALSE())</formula>
    </cfRule>
    <cfRule type="expression" dxfId="3" priority="2644">
      <formula>IF(#REF!="not offered in QAS 04.12.2014",TRUE(),FALSE())</formula>
    </cfRule>
  </conditionalFormatting>
  <conditionalFormatting sqref="C338">
    <cfRule type="expression" dxfId="2" priority="2603">
      <formula>IF(#REF!="Used for TC",TRUE(),FALSE())</formula>
    </cfRule>
    <cfRule type="expression" dxfId="1" priority="2602">
      <formula>IF($K338="RM1-(Renault BASE)",TRUE(),FALSE())</formula>
    </cfRule>
    <cfRule type="expression" dxfId="0" priority="2601">
      <formula>IF(#REF!="not offered in QAS 04.12.2014",TRUE(),FALSE())</formula>
    </cfRule>
  </conditionalFormatting>
  <pageMargins left="0.70866141732283472" right="0.70866141732283472" top="0.74803149606299213" bottom="0.74803149606299213" header="0.31496062992125984" footer="0.31496062992125984"/>
  <pageSetup scale="10" orientation="portrait" horizontalDpi="1200" verticalDpi="1200" r:id="rId1"/>
  <legacy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000-000000000000}">
          <x14:formula1>
            <xm:f>'C:\Users\wzr2hi\AppData\Local\Temp\[Copy of P-IVI Variants_20180314-3.xlsx]Map Cut Sc 2.1'!#REF!</xm:f>
          </x14:formula1>
          <xm:sqref>V320:V321</xm:sqref>
        </x14:dataValidation>
        <x14:dataValidation type="list" allowBlank="1" showInputMessage="1" showErrorMessage="1" xr:uid="{00000000-0002-0000-0000-000001000000}">
          <x14:formula1>
            <xm:f>'C:\Users\wzr2hi\AppData\Local\Temp\[Matrix Nissan Version.xlsx]Map Cut Sc 2.1'!#REF!</xm:f>
          </x14:formula1>
          <xm:sqref>V359</xm:sqref>
        </x14:dataValidation>
        <x14:dataValidation type="list" allowBlank="1" showInputMessage="1" showErrorMessage="1" xr:uid="{00000000-0002-0000-0000-000002000000}">
          <x14:formula1>
            <xm:f>'U:\_int_ivi\_prj_0426\Ralph22\[Matrix_Renault_Version_filtered_Renault_SBX_Sc30.TSB2.BrgP.xlsx]Map Cut Sc 2.1'!#REF!</xm:f>
          </x14:formula1>
          <xm:sqref>V385:V394 V417 V498 V505 V526 V535:V538 V542 V693:V696 V559:V560 V563:V564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6"/>
  <sheetViews>
    <sheetView topLeftCell="K1" zoomScale="115" zoomScaleNormal="115" workbookViewId="0">
      <selection activeCell="O18" sqref="O18"/>
    </sheetView>
  </sheetViews>
  <sheetFormatPr defaultColWidth="11.44140625" defaultRowHeight="13.2"/>
  <cols>
    <col min="1" max="1" width="18.6640625" style="1" customWidth="1"/>
    <col min="2" max="2" width="13" style="4" bestFit="1" customWidth="1"/>
    <col min="3" max="3" width="13" style="4" customWidth="1"/>
    <col min="4" max="4" width="38.88671875" style="4" bestFit="1" customWidth="1"/>
    <col min="5" max="5" width="9.5546875" style="4" bestFit="1" customWidth="1"/>
    <col min="6" max="6" width="20.6640625" style="4" bestFit="1" customWidth="1"/>
    <col min="7" max="7" width="13.6640625" style="4" bestFit="1" customWidth="1"/>
    <col min="8" max="8" width="18.33203125" style="4" customWidth="1"/>
    <col min="9" max="9" width="28.33203125" style="4" customWidth="1"/>
    <col min="10" max="10" width="51.5546875" style="4" bestFit="1" customWidth="1"/>
    <col min="11" max="11" width="25.88671875" style="4" bestFit="1" customWidth="1"/>
    <col min="12" max="12" width="47.5546875" style="4" bestFit="1" customWidth="1"/>
    <col min="13" max="13" width="29.109375" style="4" bestFit="1" customWidth="1"/>
    <col min="14" max="14" width="21.44140625" style="4" bestFit="1" customWidth="1"/>
    <col min="15" max="15" width="22.6640625" style="4" bestFit="1" customWidth="1"/>
    <col min="16" max="16" width="18.44140625" style="4" bestFit="1" customWidth="1"/>
    <col min="17" max="17" width="36.109375" style="4" bestFit="1" customWidth="1"/>
    <col min="18" max="18" width="22.5546875" style="4" customWidth="1"/>
    <col min="19" max="19" width="8.88671875" style="4" bestFit="1" customWidth="1"/>
    <col min="20" max="20" width="21" style="4" bestFit="1" customWidth="1"/>
    <col min="21" max="21" width="18.6640625" style="4" bestFit="1" customWidth="1"/>
    <col min="22" max="23" width="29" style="4" bestFit="1" customWidth="1"/>
    <col min="24" max="24" width="18.6640625" style="4" bestFit="1" customWidth="1"/>
    <col min="25" max="16384" width="11.44140625" style="4"/>
  </cols>
  <sheetData>
    <row r="1" spans="1:24" ht="39.6">
      <c r="A1" s="186" t="s">
        <v>721</v>
      </c>
      <c r="B1" s="187" t="s">
        <v>726</v>
      </c>
      <c r="C1" s="49" t="s">
        <v>36</v>
      </c>
      <c r="D1" s="49" t="s">
        <v>29</v>
      </c>
      <c r="E1" s="49" t="s">
        <v>640</v>
      </c>
      <c r="F1" s="48" t="s">
        <v>2</v>
      </c>
      <c r="G1" s="48" t="s">
        <v>353</v>
      </c>
      <c r="H1" s="50" t="s">
        <v>354</v>
      </c>
      <c r="I1" s="48" t="s">
        <v>355</v>
      </c>
      <c r="J1" s="179" t="s">
        <v>681</v>
      </c>
      <c r="K1" s="179" t="s">
        <v>716</v>
      </c>
      <c r="L1" s="49" t="s">
        <v>682</v>
      </c>
      <c r="M1" s="46" t="s">
        <v>52</v>
      </c>
      <c r="N1" s="46" t="s">
        <v>57</v>
      </c>
      <c r="O1" s="46" t="s">
        <v>67</v>
      </c>
      <c r="P1" s="48" t="s">
        <v>70</v>
      </c>
      <c r="Q1" s="46" t="s">
        <v>8</v>
      </c>
      <c r="R1" s="46" t="s">
        <v>21</v>
      </c>
      <c r="S1" s="46" t="s">
        <v>12</v>
      </c>
      <c r="T1" s="48" t="s">
        <v>58</v>
      </c>
      <c r="U1" s="181" t="s">
        <v>2183</v>
      </c>
      <c r="V1" s="181" t="s">
        <v>356</v>
      </c>
      <c r="W1" s="181" t="s">
        <v>1285</v>
      </c>
      <c r="X1" s="48" t="s">
        <v>806</v>
      </c>
    </row>
    <row r="2" spans="1:24" ht="39.6">
      <c r="A2" s="1">
        <v>681</v>
      </c>
      <c r="B2" s="188">
        <v>2</v>
      </c>
      <c r="C2" s="370" t="s">
        <v>1852</v>
      </c>
      <c r="D2" s="5" t="s">
        <v>1060</v>
      </c>
      <c r="E2" s="4" t="s">
        <v>637</v>
      </c>
      <c r="F2" s="4" t="s">
        <v>4</v>
      </c>
      <c r="G2" s="4" t="s">
        <v>0</v>
      </c>
      <c r="H2" s="4" t="s">
        <v>110</v>
      </c>
      <c r="I2" s="4" t="s">
        <v>1272</v>
      </c>
      <c r="J2" s="180" t="s">
        <v>69</v>
      </c>
      <c r="K2" s="180"/>
      <c r="L2" s="5" t="s">
        <v>274</v>
      </c>
      <c r="M2" s="4" t="s">
        <v>53</v>
      </c>
      <c r="N2" s="4" t="s">
        <v>13</v>
      </c>
      <c r="O2" s="4" t="s">
        <v>64</v>
      </c>
      <c r="P2" s="4" t="s">
        <v>9</v>
      </c>
      <c r="Q2" s="4" t="s">
        <v>14</v>
      </c>
      <c r="R2" s="4" t="s">
        <v>449</v>
      </c>
      <c r="S2" s="4" t="s">
        <v>816</v>
      </c>
      <c r="T2" s="183" t="s">
        <v>683</v>
      </c>
      <c r="U2" s="4" t="s">
        <v>2184</v>
      </c>
      <c r="V2" s="4" t="s">
        <v>521</v>
      </c>
      <c r="W2" s="341" t="s">
        <v>1286</v>
      </c>
      <c r="X2" s="4" t="s">
        <v>808</v>
      </c>
    </row>
    <row r="3" spans="1:24" ht="66">
      <c r="A3" s="1">
        <v>682</v>
      </c>
      <c r="B3" s="188">
        <v>2</v>
      </c>
      <c r="C3" s="370" t="s">
        <v>1853</v>
      </c>
      <c r="D3" s="5" t="s">
        <v>1061</v>
      </c>
      <c r="E3" s="4" t="s">
        <v>638</v>
      </c>
      <c r="F3" s="4" t="s">
        <v>815</v>
      </c>
      <c r="G3" s="4" t="s">
        <v>1</v>
      </c>
      <c r="H3" s="4" t="s">
        <v>451</v>
      </c>
      <c r="I3" s="183" t="s">
        <v>1271</v>
      </c>
      <c r="J3" s="180" t="s">
        <v>214</v>
      </c>
      <c r="K3" s="180" t="s">
        <v>269</v>
      </c>
      <c r="L3" s="185" t="s">
        <v>715</v>
      </c>
      <c r="M3" s="5" t="s">
        <v>689</v>
      </c>
      <c r="N3" s="5" t="s">
        <v>19</v>
      </c>
      <c r="O3" s="4" t="s">
        <v>134</v>
      </c>
      <c r="P3" s="4" t="s">
        <v>10</v>
      </c>
      <c r="Q3" s="5" t="s">
        <v>686</v>
      </c>
      <c r="R3" s="4" t="s">
        <v>1743</v>
      </c>
      <c r="S3" s="4" t="s">
        <v>12</v>
      </c>
      <c r="U3" s="4" t="s">
        <v>448</v>
      </c>
      <c r="V3" s="4" t="s">
        <v>522</v>
      </c>
      <c r="W3" s="341" t="s">
        <v>1287</v>
      </c>
      <c r="X3" s="4" t="s">
        <v>807</v>
      </c>
    </row>
    <row r="4" spans="1:24" ht="66">
      <c r="A4" s="1" t="s">
        <v>15</v>
      </c>
      <c r="B4" s="188">
        <v>2</v>
      </c>
      <c r="C4" s="370" t="s">
        <v>1854</v>
      </c>
      <c r="D4" s="180" t="s">
        <v>1062</v>
      </c>
      <c r="F4" s="4" t="s">
        <v>5</v>
      </c>
      <c r="G4" s="4" t="s">
        <v>1024</v>
      </c>
      <c r="H4" s="4" t="s">
        <v>478</v>
      </c>
      <c r="I4" s="4" t="s">
        <v>499</v>
      </c>
      <c r="J4" s="180" t="s">
        <v>213</v>
      </c>
      <c r="K4" s="180"/>
      <c r="L4" s="5" t="s">
        <v>270</v>
      </c>
      <c r="M4" s="5" t="s">
        <v>74</v>
      </c>
      <c r="N4" s="4" t="s">
        <v>481</v>
      </c>
      <c r="O4" s="4" t="s">
        <v>63</v>
      </c>
      <c r="P4" s="4" t="s">
        <v>11</v>
      </c>
      <c r="Q4" s="5" t="s">
        <v>685</v>
      </c>
      <c r="R4" s="4" t="s">
        <v>450</v>
      </c>
      <c r="U4" s="4" t="s">
        <v>447</v>
      </c>
      <c r="V4" s="4" t="s">
        <v>362</v>
      </c>
      <c r="W4" s="341" t="s">
        <v>1288</v>
      </c>
      <c r="X4" s="4" t="s">
        <v>824</v>
      </c>
    </row>
    <row r="5" spans="1:24" ht="66">
      <c r="A5" s="1" t="s">
        <v>16</v>
      </c>
      <c r="B5" s="188">
        <v>2</v>
      </c>
      <c r="C5" s="188"/>
      <c r="D5" s="250" t="s">
        <v>1063</v>
      </c>
      <c r="F5" s="4" t="s">
        <v>3</v>
      </c>
      <c r="G5" s="4" t="s">
        <v>1409</v>
      </c>
      <c r="H5" s="4" t="s">
        <v>453</v>
      </c>
      <c r="I5" s="4" t="s">
        <v>500</v>
      </c>
      <c r="J5" s="180" t="s">
        <v>112</v>
      </c>
      <c r="K5" s="180"/>
      <c r="L5" s="5" t="s">
        <v>271</v>
      </c>
      <c r="M5" s="5" t="s">
        <v>75</v>
      </c>
      <c r="O5" s="4" t="s">
        <v>59</v>
      </c>
      <c r="Q5" s="5" t="s">
        <v>687</v>
      </c>
      <c r="U5" s="4" t="s">
        <v>2182</v>
      </c>
      <c r="V5" s="4" t="s">
        <v>523</v>
      </c>
      <c r="W5" s="341" t="s">
        <v>1289</v>
      </c>
      <c r="X5" s="4" t="s">
        <v>888</v>
      </c>
    </row>
    <row r="6" spans="1:24" ht="39.6">
      <c r="A6" s="1" t="s">
        <v>17</v>
      </c>
      <c r="B6" s="188">
        <v>0.5</v>
      </c>
      <c r="C6" s="188"/>
      <c r="D6" s="5" t="s">
        <v>1064</v>
      </c>
      <c r="H6" s="4" t="s">
        <v>452</v>
      </c>
      <c r="I6" s="4" t="s">
        <v>857</v>
      </c>
      <c r="J6" s="180" t="s">
        <v>111</v>
      </c>
      <c r="K6" s="180"/>
      <c r="L6" s="5" t="s">
        <v>271</v>
      </c>
      <c r="M6" s="5" t="s">
        <v>688</v>
      </c>
      <c r="O6" s="4" t="s">
        <v>61</v>
      </c>
      <c r="Q6" s="5" t="s">
        <v>676</v>
      </c>
      <c r="V6" s="4" t="s">
        <v>531</v>
      </c>
      <c r="X6" s="4" t="s">
        <v>889</v>
      </c>
    </row>
    <row r="7" spans="1:24" ht="66">
      <c r="A7" s="1" t="s">
        <v>27</v>
      </c>
      <c r="B7" s="188">
        <v>0.5</v>
      </c>
      <c r="C7" s="188"/>
      <c r="D7" s="5" t="s">
        <v>1065</v>
      </c>
      <c r="H7" s="4" t="s">
        <v>454</v>
      </c>
      <c r="I7" s="4" t="s">
        <v>856</v>
      </c>
      <c r="J7" s="180" t="s">
        <v>100</v>
      </c>
      <c r="K7" s="180"/>
      <c r="L7" s="5" t="s">
        <v>719</v>
      </c>
      <c r="M7" s="5" t="s">
        <v>76</v>
      </c>
      <c r="O7" s="5" t="s">
        <v>684</v>
      </c>
      <c r="Q7" s="5" t="s">
        <v>677</v>
      </c>
    </row>
    <row r="8" spans="1:24" ht="79.2">
      <c r="A8" s="1" t="s">
        <v>724</v>
      </c>
      <c r="B8" s="188">
        <v>0.5</v>
      </c>
      <c r="C8" s="188"/>
      <c r="D8" s="180" t="s">
        <v>1066</v>
      </c>
      <c r="H8" s="4" t="s">
        <v>751</v>
      </c>
      <c r="I8" s="4" t="s">
        <v>1025</v>
      </c>
      <c r="J8" s="180" t="s">
        <v>99</v>
      </c>
      <c r="K8" s="180"/>
      <c r="L8" s="5" t="s">
        <v>720</v>
      </c>
      <c r="M8" s="5" t="s">
        <v>78</v>
      </c>
      <c r="O8" s="5" t="s">
        <v>679</v>
      </c>
      <c r="Q8" s="5" t="s">
        <v>675</v>
      </c>
    </row>
    <row r="9" spans="1:24" ht="66">
      <c r="A9" s="1" t="s">
        <v>88</v>
      </c>
      <c r="B9" s="188">
        <v>1</v>
      </c>
      <c r="C9" s="188"/>
      <c r="D9" s="5" t="s">
        <v>1067</v>
      </c>
      <c r="H9" s="4" t="s">
        <v>752</v>
      </c>
      <c r="I9" s="4" t="s">
        <v>1317</v>
      </c>
      <c r="J9" s="180"/>
      <c r="K9" s="180"/>
      <c r="L9" s="185" t="s">
        <v>717</v>
      </c>
      <c r="M9" s="5" t="s">
        <v>79</v>
      </c>
      <c r="O9" s="5" t="s">
        <v>680</v>
      </c>
      <c r="Q9" s="5" t="s">
        <v>678</v>
      </c>
    </row>
    <row r="10" spans="1:24" ht="79.2">
      <c r="A10" s="1" t="s">
        <v>87</v>
      </c>
      <c r="B10" s="188">
        <v>2</v>
      </c>
      <c r="C10" s="188"/>
      <c r="D10" s="180" t="s">
        <v>1068</v>
      </c>
      <c r="H10" s="4" t="s">
        <v>747</v>
      </c>
      <c r="I10" s="4" t="s">
        <v>1306</v>
      </c>
      <c r="J10" s="180"/>
      <c r="K10" s="180"/>
      <c r="L10" s="185" t="s">
        <v>718</v>
      </c>
      <c r="M10" s="5" t="s">
        <v>77</v>
      </c>
      <c r="O10" s="4" t="s">
        <v>248</v>
      </c>
    </row>
    <row r="11" spans="1:24" ht="52.8">
      <c r="A11" s="1" t="s">
        <v>89</v>
      </c>
      <c r="B11" s="188">
        <v>2</v>
      </c>
      <c r="C11" s="188"/>
      <c r="D11" s="5" t="s">
        <v>1069</v>
      </c>
      <c r="H11" s="4" t="s">
        <v>757</v>
      </c>
      <c r="I11" s="4" t="s">
        <v>2318</v>
      </c>
      <c r="J11" s="180"/>
      <c r="K11" s="180"/>
      <c r="L11" s="271" t="s">
        <v>1028</v>
      </c>
      <c r="M11" s="5" t="s">
        <v>392</v>
      </c>
      <c r="O11" s="180" t="s">
        <v>1235</v>
      </c>
    </row>
    <row r="12" spans="1:24" ht="52.8">
      <c r="A12" s="1" t="s">
        <v>51</v>
      </c>
      <c r="B12" s="188">
        <v>2</v>
      </c>
      <c r="C12" s="188"/>
      <c r="D12" s="5" t="s">
        <v>1070</v>
      </c>
      <c r="H12" s="4" t="s">
        <v>758</v>
      </c>
      <c r="I12" s="4" t="s">
        <v>2220</v>
      </c>
      <c r="J12" s="180" t="s">
        <v>237</v>
      </c>
      <c r="K12" s="180"/>
      <c r="L12" s="265" t="s">
        <v>272</v>
      </c>
      <c r="O12" s="180" t="s">
        <v>1237</v>
      </c>
    </row>
    <row r="13" spans="1:24" ht="52.8">
      <c r="A13" s="1" t="s">
        <v>722</v>
      </c>
      <c r="B13" s="188">
        <v>1</v>
      </c>
      <c r="C13" s="188"/>
      <c r="D13" s="5" t="s">
        <v>1071</v>
      </c>
      <c r="H13" s="4" t="s">
        <v>759</v>
      </c>
      <c r="I13" s="4" t="s">
        <v>2317</v>
      </c>
      <c r="J13" s="180"/>
      <c r="K13" s="180"/>
      <c r="L13" s="266" t="s">
        <v>273</v>
      </c>
      <c r="O13" s="180" t="s">
        <v>1234</v>
      </c>
    </row>
    <row r="14" spans="1:24" ht="39.6">
      <c r="A14" s="1" t="s">
        <v>91</v>
      </c>
      <c r="B14" s="188">
        <v>2</v>
      </c>
      <c r="C14" s="188"/>
      <c r="D14" s="5" t="s">
        <v>1072</v>
      </c>
      <c r="O14" s="180" t="s">
        <v>1236</v>
      </c>
    </row>
    <row r="15" spans="1:24" ht="66">
      <c r="A15" s="1" t="s">
        <v>90</v>
      </c>
      <c r="B15" s="188">
        <v>2</v>
      </c>
      <c r="C15" s="188"/>
      <c r="D15" s="5" t="s">
        <v>1073</v>
      </c>
      <c r="O15" s="420" t="s">
        <v>1229</v>
      </c>
    </row>
    <row r="16" spans="1:24" ht="66">
      <c r="A16" s="1" t="s">
        <v>723</v>
      </c>
      <c r="B16" s="188">
        <v>2</v>
      </c>
      <c r="C16" s="188"/>
      <c r="D16" s="5" t="s">
        <v>1059</v>
      </c>
      <c r="O16" s="420" t="s">
        <v>1354</v>
      </c>
    </row>
    <row r="17" spans="1:15" ht="39.6">
      <c r="A17" s="1" t="s">
        <v>95</v>
      </c>
      <c r="B17" s="188">
        <v>2</v>
      </c>
      <c r="C17" s="188"/>
      <c r="D17" s="5" t="s">
        <v>1074</v>
      </c>
      <c r="O17" s="420" t="s">
        <v>1398</v>
      </c>
    </row>
    <row r="18" spans="1:15" ht="52.8">
      <c r="A18" s="1" t="s">
        <v>101</v>
      </c>
      <c r="B18" s="188">
        <v>2</v>
      </c>
      <c r="C18" s="188"/>
      <c r="D18" s="5" t="s">
        <v>1075</v>
      </c>
      <c r="O18" s="420" t="s">
        <v>1228</v>
      </c>
    </row>
    <row r="19" spans="1:15" ht="26.4">
      <c r="A19" s="1" t="s">
        <v>102</v>
      </c>
      <c r="B19" s="188">
        <v>1</v>
      </c>
      <c r="C19" s="188"/>
      <c r="D19" s="5" t="s">
        <v>1076</v>
      </c>
    </row>
    <row r="20" spans="1:15" ht="79.2">
      <c r="A20" s="1" t="s">
        <v>104</v>
      </c>
      <c r="B20" s="188">
        <v>2</v>
      </c>
      <c r="C20" s="188"/>
      <c r="D20" s="5" t="s">
        <v>1077</v>
      </c>
    </row>
    <row r="21" spans="1:15" ht="52.8">
      <c r="A21" s="1" t="s">
        <v>106</v>
      </c>
      <c r="B21" s="188">
        <v>1</v>
      </c>
      <c r="C21" s="188"/>
      <c r="D21" s="250" t="s">
        <v>1560</v>
      </c>
    </row>
    <row r="22" spans="1:15" ht="52.8">
      <c r="A22" s="1" t="s">
        <v>92</v>
      </c>
      <c r="B22" s="188">
        <v>2</v>
      </c>
      <c r="C22" s="188"/>
      <c r="D22" s="270" t="s">
        <v>1078</v>
      </c>
    </row>
    <row r="23" spans="1:15">
      <c r="A23" s="1" t="s">
        <v>725</v>
      </c>
      <c r="B23" s="188">
        <v>2</v>
      </c>
      <c r="C23" s="188"/>
    </row>
    <row r="24" spans="1:15">
      <c r="A24" s="1" t="s">
        <v>704</v>
      </c>
      <c r="B24" s="188">
        <v>2</v>
      </c>
      <c r="C24" s="188"/>
    </row>
    <row r="25" spans="1:15">
      <c r="A25" s="1" t="s">
        <v>136</v>
      </c>
      <c r="B25" s="188">
        <v>1</v>
      </c>
      <c r="C25" s="188"/>
    </row>
    <row r="26" spans="1:15">
      <c r="A26" s="1" t="s">
        <v>143</v>
      </c>
      <c r="B26" s="188">
        <v>4</v>
      </c>
      <c r="C26" s="188"/>
    </row>
    <row r="27" spans="1:15" ht="39.6">
      <c r="A27" s="1" t="s">
        <v>150</v>
      </c>
      <c r="B27" s="189">
        <v>1</v>
      </c>
      <c r="C27" s="188"/>
      <c r="D27" s="5" t="s">
        <v>1922</v>
      </c>
    </row>
    <row r="28" spans="1:15" ht="39.6">
      <c r="A28" s="1" t="s">
        <v>151</v>
      </c>
      <c r="B28" s="189">
        <v>2</v>
      </c>
      <c r="C28" s="188"/>
      <c r="D28" s="5" t="s">
        <v>1316</v>
      </c>
    </row>
    <row r="29" spans="1:15" ht="39.6">
      <c r="A29" s="1" t="s">
        <v>152</v>
      </c>
      <c r="B29" s="189">
        <v>2</v>
      </c>
      <c r="C29" s="188"/>
      <c r="D29" s="5" t="s">
        <v>1923</v>
      </c>
    </row>
    <row r="30" spans="1:15" ht="39.6">
      <c r="A30" s="1" t="s">
        <v>204</v>
      </c>
      <c r="B30" s="189">
        <v>1</v>
      </c>
      <c r="C30" s="188"/>
      <c r="D30" s="5" t="s">
        <v>1921</v>
      </c>
    </row>
    <row r="31" spans="1:15" ht="39.6">
      <c r="A31" s="1" t="s">
        <v>187</v>
      </c>
      <c r="B31" s="189">
        <v>2</v>
      </c>
      <c r="C31" s="188"/>
      <c r="D31" s="5" t="s">
        <v>1920</v>
      </c>
    </row>
    <row r="32" spans="1:15" ht="39.6">
      <c r="A32" s="1" t="s">
        <v>232</v>
      </c>
      <c r="B32" s="189">
        <v>2</v>
      </c>
      <c r="C32" s="188"/>
      <c r="D32" s="5" t="s">
        <v>1925</v>
      </c>
    </row>
    <row r="33" spans="1:8" ht="39.6">
      <c r="A33" s="1" t="s">
        <v>230</v>
      </c>
      <c r="B33" s="188">
        <v>0.5</v>
      </c>
      <c r="C33" s="188"/>
      <c r="D33" s="250" t="s">
        <v>1924</v>
      </c>
    </row>
    <row r="34" spans="1:8" ht="39.6">
      <c r="A34" s="1" t="s">
        <v>567</v>
      </c>
      <c r="B34" s="188">
        <v>4</v>
      </c>
      <c r="C34" s="188"/>
      <c r="D34" s="250" t="s">
        <v>2319</v>
      </c>
      <c r="H34" s="184" t="s">
        <v>698</v>
      </c>
    </row>
    <row r="35" spans="1:8" ht="39.6">
      <c r="A35" s="1" t="s">
        <v>1013</v>
      </c>
      <c r="B35" s="188">
        <v>2</v>
      </c>
      <c r="C35" s="188"/>
      <c r="D35" s="250" t="s">
        <v>2320</v>
      </c>
      <c r="H35" s="26" t="s">
        <v>699</v>
      </c>
    </row>
    <row r="36" spans="1:8" ht="39.6">
      <c r="A36" s="1" t="s">
        <v>1195</v>
      </c>
      <c r="B36" s="188"/>
      <c r="C36" s="188"/>
      <c r="D36" s="392" t="s">
        <v>2321</v>
      </c>
      <c r="H36" s="26" t="s">
        <v>700</v>
      </c>
    </row>
    <row r="37" spans="1:8" ht="39.6">
      <c r="A37" s="1" t="s">
        <v>1735</v>
      </c>
      <c r="B37" s="188">
        <v>1</v>
      </c>
      <c r="C37" s="188"/>
      <c r="D37" s="250" t="s">
        <v>2322</v>
      </c>
      <c r="H37" s="26" t="s">
        <v>701</v>
      </c>
    </row>
    <row r="38" spans="1:8">
      <c r="A38" s="1" t="s">
        <v>1736</v>
      </c>
      <c r="B38" s="188">
        <v>2</v>
      </c>
      <c r="C38" s="188"/>
      <c r="H38" s="26" t="s">
        <v>702</v>
      </c>
    </row>
    <row r="39" spans="1:8">
      <c r="A39" s="1" t="s">
        <v>1725</v>
      </c>
      <c r="B39" s="188">
        <v>2</v>
      </c>
      <c r="C39" s="188"/>
      <c r="H39" s="26" t="s">
        <v>703</v>
      </c>
    </row>
    <row r="40" spans="1:8">
      <c r="A40" s="1" t="s">
        <v>140</v>
      </c>
      <c r="B40" s="188">
        <v>2</v>
      </c>
      <c r="C40" s="188"/>
    </row>
    <row r="41" spans="1:8">
      <c r="A41" s="1" t="s">
        <v>173</v>
      </c>
      <c r="B41" s="188">
        <v>2</v>
      </c>
      <c r="C41" s="188"/>
      <c r="H41" s="1" t="s">
        <v>876</v>
      </c>
    </row>
    <row r="42" spans="1:8">
      <c r="A42" s="1" t="s">
        <v>176</v>
      </c>
      <c r="B42" s="188">
        <v>2</v>
      </c>
      <c r="C42" s="188"/>
      <c r="H42" s="1" t="s">
        <v>877</v>
      </c>
    </row>
    <row r="43" spans="1:8">
      <c r="A43" s="1" t="s">
        <v>252</v>
      </c>
      <c r="B43" s="188">
        <v>2</v>
      </c>
      <c r="C43" s="188"/>
    </row>
    <row r="44" spans="1:8">
      <c r="A44" s="1" t="s">
        <v>476</v>
      </c>
      <c r="B44" s="188">
        <v>2</v>
      </c>
      <c r="C44" s="188"/>
    </row>
    <row r="45" spans="1:8">
      <c r="A45" s="1" t="s">
        <v>475</v>
      </c>
      <c r="B45" s="188">
        <v>2</v>
      </c>
      <c r="C45" s="188"/>
    </row>
    <row r="46" spans="1:8">
      <c r="A46" s="1" t="s">
        <v>482</v>
      </c>
      <c r="B46" s="188">
        <v>2</v>
      </c>
      <c r="C46" s="188"/>
    </row>
  </sheetData>
  <autoFilter ref="A1:V46" xr:uid="{00000000-0009-0000-0000-000001000000}"/>
  <pageMargins left="0.7" right="0.7" top="0.78740157499999996" bottom="0.78740157499999996" header="0.3" footer="0.3"/>
  <pageSetup paperSize="9" orientation="portrait" horizontalDpi="90" verticalDpi="9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election activeCell="A17" sqref="A17"/>
    </sheetView>
  </sheetViews>
  <sheetFormatPr defaultColWidth="11.44140625" defaultRowHeight="13.2"/>
  <cols>
    <col min="1" max="1" width="18.109375" customWidth="1"/>
    <col min="2" max="2" width="20.6640625" style="1"/>
  </cols>
  <sheetData>
    <row r="1" spans="1:2">
      <c r="B1" s="4"/>
    </row>
    <row r="2" spans="1:2">
      <c r="A2" s="2" t="s">
        <v>37</v>
      </c>
      <c r="B2" s="2" t="s">
        <v>28</v>
      </c>
    </row>
    <row r="3" spans="1:2">
      <c r="A3" t="s">
        <v>40</v>
      </c>
      <c r="B3" s="9">
        <v>1</v>
      </c>
    </row>
    <row r="4" spans="1:2">
      <c r="A4" t="s">
        <v>40</v>
      </c>
      <c r="B4" s="9">
        <v>2</v>
      </c>
    </row>
    <row r="5" spans="1:2">
      <c r="A5" t="s">
        <v>43</v>
      </c>
      <c r="B5" s="9">
        <v>3</v>
      </c>
    </row>
    <row r="6" spans="1:2">
      <c r="A6" t="s">
        <v>43</v>
      </c>
      <c r="B6" s="9">
        <v>4</v>
      </c>
    </row>
    <row r="7" spans="1:2">
      <c r="A7" t="s">
        <v>44</v>
      </c>
      <c r="B7" s="9">
        <v>5</v>
      </c>
    </row>
    <row r="8" spans="1:2">
      <c r="A8" t="s">
        <v>40</v>
      </c>
      <c r="B8" s="9">
        <v>6</v>
      </c>
    </row>
    <row r="9" spans="1:2">
      <c r="A9" t="s">
        <v>40</v>
      </c>
      <c r="B9" s="9">
        <v>6</v>
      </c>
    </row>
    <row r="10" spans="1:2">
      <c r="A10" t="s">
        <v>44</v>
      </c>
      <c r="B10" s="9">
        <v>7</v>
      </c>
    </row>
    <row r="11" spans="1:2">
      <c r="A11" t="s">
        <v>44</v>
      </c>
      <c r="B11" s="9">
        <v>8</v>
      </c>
    </row>
    <row r="12" spans="1:2">
      <c r="A12" t="s">
        <v>44</v>
      </c>
      <c r="B12" s="9">
        <v>9</v>
      </c>
    </row>
    <row r="13" spans="1:2">
      <c r="A13" t="s">
        <v>43</v>
      </c>
      <c r="B13" s="9">
        <v>10</v>
      </c>
    </row>
    <row r="14" spans="1:2">
      <c r="A14" t="s">
        <v>42</v>
      </c>
      <c r="B14" s="9">
        <v>11</v>
      </c>
    </row>
    <row r="15" spans="1:2">
      <c r="A15" t="s">
        <v>41</v>
      </c>
      <c r="B15" s="9">
        <v>12</v>
      </c>
    </row>
    <row r="16" spans="1:2">
      <c r="A16" t="s">
        <v>43</v>
      </c>
      <c r="B16" s="9">
        <v>13</v>
      </c>
    </row>
    <row r="17" spans="1:2">
      <c r="B17" s="7">
        <v>14</v>
      </c>
    </row>
    <row r="18" spans="1:2">
      <c r="A18" t="s">
        <v>43</v>
      </c>
      <c r="B18" s="7">
        <v>15</v>
      </c>
    </row>
    <row r="19" spans="1:2">
      <c r="B19" s="7">
        <v>16</v>
      </c>
    </row>
    <row r="20" spans="1:2">
      <c r="B20" s="7">
        <v>17</v>
      </c>
    </row>
    <row r="21" spans="1:2">
      <c r="A21" t="s">
        <v>42</v>
      </c>
      <c r="B21" s="7">
        <v>18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topLeftCell="B1" workbookViewId="0">
      <selection activeCell="B1" sqref="B1"/>
    </sheetView>
  </sheetViews>
  <sheetFormatPr defaultColWidth="11.5546875" defaultRowHeight="13.2"/>
  <cols>
    <col min="1" max="1" width="11.44140625" style="3"/>
    <col min="2" max="2" width="101.5546875" customWidth="1"/>
  </cols>
  <sheetData>
    <row r="1" spans="1:2">
      <c r="A1" s="10" t="s">
        <v>261</v>
      </c>
      <c r="B1" t="s">
        <v>262</v>
      </c>
    </row>
    <row r="2" spans="1:2">
      <c r="A2" s="11" t="s">
        <v>263</v>
      </c>
      <c r="B2" t="s">
        <v>264</v>
      </c>
    </row>
    <row r="3" spans="1:2">
      <c r="A3" s="12" t="s">
        <v>265</v>
      </c>
      <c r="B3" t="s">
        <v>266</v>
      </c>
    </row>
    <row r="4" spans="1:2">
      <c r="A4" s="13" t="s">
        <v>267</v>
      </c>
      <c r="B4" t="s">
        <v>268</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6"/>
  <sheetViews>
    <sheetView workbookViewId="0">
      <selection activeCell="A5" sqref="A5"/>
    </sheetView>
  </sheetViews>
  <sheetFormatPr defaultColWidth="11.44140625" defaultRowHeight="13.2"/>
  <cols>
    <col min="1" max="1" width="22" customWidth="1"/>
    <col min="2" max="2" width="117" customWidth="1"/>
  </cols>
  <sheetData>
    <row r="2" spans="1:2">
      <c r="A2" s="2" t="s">
        <v>25</v>
      </c>
      <c r="B2" s="2" t="s">
        <v>24</v>
      </c>
    </row>
    <row r="3" spans="1:2">
      <c r="A3" t="s">
        <v>56</v>
      </c>
      <c r="B3" s="8" t="s">
        <v>26</v>
      </c>
    </row>
    <row r="4" spans="1:2">
      <c r="A4" t="s">
        <v>33</v>
      </c>
      <c r="B4" s="8" t="s">
        <v>32</v>
      </c>
    </row>
    <row r="5" spans="1:2">
      <c r="A5" t="s">
        <v>34</v>
      </c>
      <c r="B5" s="8" t="s">
        <v>35</v>
      </c>
    </row>
    <row r="6" spans="1:2">
      <c r="A6" t="s">
        <v>38</v>
      </c>
    </row>
  </sheetData>
  <hyperlinks>
    <hyperlink ref="B3" r:id="rId1" xr:uid="{00000000-0004-0000-0400-000000000000}"/>
    <hyperlink ref="B4" r:id="rId2" xr:uid="{00000000-0004-0000-0400-000001000000}"/>
    <hyperlink ref="B5" r:id="rId3" xr:uid="{00000000-0004-0000-0400-000002000000}"/>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41"/>
  <sheetViews>
    <sheetView topLeftCell="A14" workbookViewId="0">
      <selection activeCell="E45" sqref="E45"/>
    </sheetView>
  </sheetViews>
  <sheetFormatPr defaultColWidth="11.5546875" defaultRowHeight="13.2"/>
  <cols>
    <col min="1" max="1" width="15.33203125" customWidth="1"/>
    <col min="5" max="5" width="20" customWidth="1"/>
    <col min="10" max="10" width="21.6640625" customWidth="1"/>
    <col min="11" max="11" width="24" customWidth="1"/>
  </cols>
  <sheetData>
    <row r="2" spans="1:11" ht="13.8" thickBot="1">
      <c r="B2" t="s">
        <v>331</v>
      </c>
    </row>
    <row r="3" spans="1:11" ht="13.8" thickBot="1">
      <c r="B3" s="14"/>
      <c r="C3" s="15" t="s">
        <v>310</v>
      </c>
      <c r="D3" s="15" t="s">
        <v>311</v>
      </c>
      <c r="E3" s="15" t="s">
        <v>312</v>
      </c>
      <c r="F3" s="15" t="s">
        <v>313</v>
      </c>
      <c r="G3" s="15" t="s">
        <v>314</v>
      </c>
      <c r="H3" s="15" t="s">
        <v>315</v>
      </c>
      <c r="I3" s="15" t="s">
        <v>316</v>
      </c>
      <c r="J3" s="15" t="s">
        <v>317</v>
      </c>
      <c r="K3" s="15" t="s">
        <v>318</v>
      </c>
    </row>
    <row r="4" spans="1:11" ht="13.8" thickBot="1">
      <c r="B4" s="16" t="s">
        <v>319</v>
      </c>
      <c r="C4" s="17" t="s">
        <v>320</v>
      </c>
      <c r="D4" s="17" t="s">
        <v>321</v>
      </c>
      <c r="E4" s="18" t="s">
        <v>322</v>
      </c>
      <c r="F4" s="17" t="s">
        <v>323</v>
      </c>
      <c r="G4" s="17" t="s">
        <v>324</v>
      </c>
      <c r="H4" s="18" t="s">
        <v>325</v>
      </c>
      <c r="I4" s="17" t="s">
        <v>326</v>
      </c>
      <c r="J4" s="17" t="s">
        <v>327</v>
      </c>
      <c r="K4" s="17" t="s">
        <v>328</v>
      </c>
    </row>
    <row r="5" spans="1:11" ht="13.8" thickBot="1">
      <c r="B5" s="16" t="s">
        <v>8</v>
      </c>
      <c r="C5" s="17" t="s">
        <v>86</v>
      </c>
      <c r="D5" s="17" t="s">
        <v>128</v>
      </c>
      <c r="E5" s="18">
        <v>831</v>
      </c>
      <c r="F5" s="19">
        <v>731</v>
      </c>
      <c r="G5" s="17" t="s">
        <v>85</v>
      </c>
      <c r="H5" s="18">
        <v>731</v>
      </c>
      <c r="I5" s="19">
        <v>831</v>
      </c>
      <c r="J5" s="20" t="s">
        <v>329</v>
      </c>
      <c r="K5" s="19" t="s">
        <v>329</v>
      </c>
    </row>
    <row r="7" spans="1:11">
      <c r="A7" t="s">
        <v>332</v>
      </c>
      <c r="E7" t="s">
        <v>333</v>
      </c>
      <c r="G7" t="s">
        <v>334</v>
      </c>
      <c r="J7" t="s">
        <v>330</v>
      </c>
    </row>
    <row r="10" spans="1:11">
      <c r="B10" s="21" t="s">
        <v>335</v>
      </c>
    </row>
    <row r="11" spans="1:11">
      <c r="B11" s="21" t="s">
        <v>336</v>
      </c>
    </row>
    <row r="14" spans="1:11">
      <c r="A14" s="22" t="s">
        <v>411</v>
      </c>
    </row>
    <row r="15" spans="1:11">
      <c r="A15" s="22" t="s">
        <v>412</v>
      </c>
    </row>
    <row r="16" spans="1:11">
      <c r="A16" s="30" t="s">
        <v>53</v>
      </c>
      <c r="B16" s="31" t="s">
        <v>14</v>
      </c>
    </row>
    <row r="17" spans="1:2">
      <c r="A17" s="30" t="s">
        <v>825</v>
      </c>
      <c r="B17" s="33" t="s">
        <v>127</v>
      </c>
    </row>
    <row r="18" spans="1:2">
      <c r="A18" s="30" t="s">
        <v>826</v>
      </c>
      <c r="B18" s="32" t="s">
        <v>85</v>
      </c>
    </row>
    <row r="19" spans="1:2">
      <c r="A19" s="30" t="s">
        <v>827</v>
      </c>
      <c r="B19" s="34" t="s">
        <v>139</v>
      </c>
    </row>
    <row r="20" spans="1:2">
      <c r="A20" s="30" t="s">
        <v>828</v>
      </c>
      <c r="B20" s="34" t="s">
        <v>989</v>
      </c>
    </row>
    <row r="21" spans="1:2">
      <c r="A21" s="31" t="s">
        <v>84</v>
      </c>
      <c r="B21" s="32" t="s">
        <v>86</v>
      </c>
    </row>
    <row r="22" spans="1:2">
      <c r="A22" s="31" t="s">
        <v>126</v>
      </c>
      <c r="B22" s="31" t="s">
        <v>128</v>
      </c>
    </row>
    <row r="23" spans="1:2">
      <c r="A23" s="31" t="s">
        <v>378</v>
      </c>
      <c r="B23" s="33" t="s">
        <v>127</v>
      </c>
    </row>
    <row r="24" spans="1:2">
      <c r="A24" s="31" t="s">
        <v>125</v>
      </c>
      <c r="B24" s="32" t="s">
        <v>85</v>
      </c>
    </row>
    <row r="25" spans="1:2">
      <c r="A25" s="31" t="s">
        <v>54</v>
      </c>
      <c r="B25" s="32" t="s">
        <v>85</v>
      </c>
    </row>
    <row r="26" spans="1:2">
      <c r="A26" s="31" t="s">
        <v>781</v>
      </c>
      <c r="B26" s="32" t="s">
        <v>85</v>
      </c>
    </row>
    <row r="27" spans="1:2">
      <c r="A27" s="31" t="s">
        <v>73</v>
      </c>
      <c r="B27" s="32" t="s">
        <v>85</v>
      </c>
    </row>
    <row r="28" spans="1:2">
      <c r="A28" s="31" t="s">
        <v>2082</v>
      </c>
      <c r="B28" s="32" t="s">
        <v>85</v>
      </c>
    </row>
    <row r="29" spans="1:2">
      <c r="A29" s="31" t="s">
        <v>55</v>
      </c>
      <c r="B29" s="33" t="s">
        <v>1373</v>
      </c>
    </row>
    <row r="30" spans="1:2">
      <c r="A30" s="31" t="s">
        <v>97</v>
      </c>
      <c r="B30" s="34" t="s">
        <v>139</v>
      </c>
    </row>
    <row r="31" spans="1:2">
      <c r="A31" s="31" t="s">
        <v>98</v>
      </c>
      <c r="B31" s="34" t="s">
        <v>139</v>
      </c>
    </row>
    <row r="32" spans="1:2">
      <c r="A32" s="31" t="s">
        <v>1805</v>
      </c>
      <c r="B32" s="34" t="s">
        <v>1867</v>
      </c>
    </row>
    <row r="33" spans="1:5">
      <c r="A33" s="31" t="s">
        <v>1802</v>
      </c>
      <c r="B33" s="34" t="s">
        <v>1867</v>
      </c>
    </row>
    <row r="34" spans="1:5">
      <c r="A34" s="31" t="s">
        <v>1804</v>
      </c>
      <c r="B34" s="34" t="s">
        <v>1867</v>
      </c>
    </row>
    <row r="35" spans="1:5">
      <c r="A35" s="31" t="s">
        <v>1803</v>
      </c>
      <c r="B35" s="34" t="s">
        <v>2105</v>
      </c>
    </row>
    <row r="36" spans="1:5">
      <c r="A36" s="31" t="s">
        <v>1806</v>
      </c>
      <c r="B36" s="34" t="s">
        <v>1866</v>
      </c>
    </row>
    <row r="37" spans="1:5">
      <c r="A37" s="31" t="s">
        <v>1801</v>
      </c>
      <c r="B37" s="34" t="s">
        <v>1866</v>
      </c>
    </row>
    <row r="38" spans="1:5">
      <c r="A38" s="31" t="s">
        <v>413</v>
      </c>
      <c r="B38" s="34" t="s">
        <v>413</v>
      </c>
    </row>
    <row r="40" spans="1:5">
      <c r="B40" t="s">
        <v>639</v>
      </c>
    </row>
    <row r="41" spans="1:5">
      <c r="B41" s="34" t="s">
        <v>1374</v>
      </c>
      <c r="E41" t="s">
        <v>1180</v>
      </c>
    </row>
  </sheetData>
  <pageMargins left="0.7" right="0.7" top="0.78740157499999996" bottom="0.78740157499999996" header="0.3" footer="0.3"/>
  <pageSetup paperSize="9"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3"/>
  <sheetViews>
    <sheetView workbookViewId="0">
      <selection activeCell="A23" sqref="A23"/>
    </sheetView>
  </sheetViews>
  <sheetFormatPr defaultColWidth="11.5546875" defaultRowHeight="13.2"/>
  <sheetData>
    <row r="1" spans="1:1">
      <c r="A1" s="22" t="s">
        <v>363</v>
      </c>
    </row>
    <row r="2" spans="1:1">
      <c r="A2" t="s">
        <v>364</v>
      </c>
    </row>
    <row r="3" spans="1:1">
      <c r="A3" t="s">
        <v>365</v>
      </c>
    </row>
    <row r="4" spans="1:1">
      <c r="A4" t="s">
        <v>366</v>
      </c>
    </row>
    <row r="5" spans="1:1">
      <c r="A5" t="s">
        <v>372</v>
      </c>
    </row>
    <row r="7" spans="1:1">
      <c r="A7" s="22" t="s">
        <v>367</v>
      </c>
    </row>
    <row r="8" spans="1:1">
      <c r="A8" t="s">
        <v>368</v>
      </c>
    </row>
    <row r="10" spans="1:1">
      <c r="A10" s="22" t="s">
        <v>369</v>
      </c>
    </row>
    <row r="11" spans="1:1">
      <c r="A11" t="s">
        <v>370</v>
      </c>
    </row>
    <row r="12" spans="1:1">
      <c r="A12" t="s">
        <v>371</v>
      </c>
    </row>
    <row r="14" spans="1:1">
      <c r="A14" s="22" t="s">
        <v>373</v>
      </c>
    </row>
    <row r="15" spans="1:1">
      <c r="A15" t="s">
        <v>374</v>
      </c>
    </row>
    <row r="18" spans="1:2">
      <c r="A18" s="210" t="s">
        <v>822</v>
      </c>
    </row>
    <row r="19" spans="1:2">
      <c r="A19" s="211" t="s">
        <v>823</v>
      </c>
    </row>
    <row r="21" spans="1:2">
      <c r="A21" s="378" t="s">
        <v>2004</v>
      </c>
    </row>
    <row r="23" spans="1:2" ht="26.4">
      <c r="A23" s="407" t="s">
        <v>2428</v>
      </c>
      <c r="B23" t="s">
        <v>2474</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2"/>
  <sheetViews>
    <sheetView topLeftCell="A24" workbookViewId="0">
      <selection activeCell="A43" sqref="A43"/>
    </sheetView>
  </sheetViews>
  <sheetFormatPr defaultColWidth="11.5546875" defaultRowHeight="13.2"/>
  <cols>
    <col min="1" max="1" width="17.88671875" style="31" customWidth="1"/>
    <col min="2" max="2" width="228.88671875" customWidth="1"/>
  </cols>
  <sheetData>
    <row r="1" spans="1:2" ht="26.4">
      <c r="A1" s="31" t="s">
        <v>654</v>
      </c>
      <c r="B1" s="6" t="s">
        <v>655</v>
      </c>
    </row>
    <row r="2" spans="1:2">
      <c r="A2" s="31" t="s">
        <v>673</v>
      </c>
      <c r="B2" t="s">
        <v>674</v>
      </c>
    </row>
    <row r="3" spans="1:2">
      <c r="A3" s="31" t="s">
        <v>672</v>
      </c>
      <c r="B3" t="s">
        <v>859</v>
      </c>
    </row>
    <row r="4" spans="1:2">
      <c r="A4" s="31" t="s">
        <v>763</v>
      </c>
      <c r="B4" t="s">
        <v>766</v>
      </c>
    </row>
    <row r="5" spans="1:2">
      <c r="A5" s="31" t="s">
        <v>764</v>
      </c>
      <c r="B5" t="s">
        <v>765</v>
      </c>
    </row>
    <row r="6" spans="1:2">
      <c r="A6" s="31" t="s">
        <v>767</v>
      </c>
      <c r="B6" t="s">
        <v>768</v>
      </c>
    </row>
    <row r="7" spans="1:2">
      <c r="A7" s="31" t="s">
        <v>778</v>
      </c>
      <c r="B7" t="s">
        <v>809</v>
      </c>
    </row>
    <row r="8" spans="1:2">
      <c r="A8" s="31" t="s">
        <v>780</v>
      </c>
      <c r="B8" t="s">
        <v>779</v>
      </c>
    </row>
    <row r="9" spans="1:2">
      <c r="A9" s="31" t="s">
        <v>811</v>
      </c>
      <c r="B9" t="s">
        <v>812</v>
      </c>
    </row>
    <row r="10" spans="1:2">
      <c r="A10" s="31" t="s">
        <v>810</v>
      </c>
      <c r="B10" t="s">
        <v>812</v>
      </c>
    </row>
    <row r="11" spans="1:2">
      <c r="A11" s="31" t="s">
        <v>829</v>
      </c>
      <c r="B11" t="s">
        <v>830</v>
      </c>
    </row>
    <row r="12" spans="1:2">
      <c r="A12" s="31" t="s">
        <v>836</v>
      </c>
      <c r="B12" t="s">
        <v>837</v>
      </c>
    </row>
    <row r="13" spans="1:2">
      <c r="A13" s="31" t="s">
        <v>839</v>
      </c>
      <c r="B13" t="s">
        <v>838</v>
      </c>
    </row>
    <row r="14" spans="1:2">
      <c r="A14" s="31" t="s">
        <v>836</v>
      </c>
      <c r="B14" t="s">
        <v>850</v>
      </c>
    </row>
    <row r="15" spans="1:2">
      <c r="A15" s="31" t="s">
        <v>842</v>
      </c>
      <c r="B15" t="s">
        <v>843</v>
      </c>
    </row>
    <row r="16" spans="1:2">
      <c r="A16" s="31" t="s">
        <v>842</v>
      </c>
      <c r="B16" t="s">
        <v>844</v>
      </c>
    </row>
    <row r="17" spans="1:2">
      <c r="A17" s="31" t="s">
        <v>840</v>
      </c>
      <c r="B17" t="s">
        <v>841</v>
      </c>
    </row>
    <row r="18" spans="1:2">
      <c r="A18" s="31" t="s">
        <v>829</v>
      </c>
      <c r="B18" t="s">
        <v>871</v>
      </c>
    </row>
    <row r="19" spans="1:2">
      <c r="A19" s="31" t="s">
        <v>847</v>
      </c>
      <c r="B19" t="s">
        <v>848</v>
      </c>
    </row>
    <row r="20" spans="1:2">
      <c r="A20" s="31" t="s">
        <v>849</v>
      </c>
      <c r="B20" t="s">
        <v>851</v>
      </c>
    </row>
    <row r="21" spans="1:2">
      <c r="A21" s="31" t="s">
        <v>852</v>
      </c>
      <c r="B21" t="s">
        <v>853</v>
      </c>
    </row>
    <row r="22" spans="1:2">
      <c r="A22" s="31" t="s">
        <v>939</v>
      </c>
      <c r="B22" t="s">
        <v>940</v>
      </c>
    </row>
    <row r="23" spans="1:2">
      <c r="A23" s="31" t="s">
        <v>941</v>
      </c>
      <c r="B23" t="s">
        <v>942</v>
      </c>
    </row>
    <row r="24" spans="1:2">
      <c r="A24" s="31" t="s">
        <v>943</v>
      </c>
      <c r="B24" t="s">
        <v>944</v>
      </c>
    </row>
    <row r="25" spans="1:2">
      <c r="A25" s="31" t="s">
        <v>945</v>
      </c>
      <c r="B25" t="s">
        <v>946</v>
      </c>
    </row>
    <row r="26" spans="1:2">
      <c r="A26" s="31" t="s">
        <v>947</v>
      </c>
      <c r="B26" t="s">
        <v>948</v>
      </c>
    </row>
    <row r="27" spans="1:2">
      <c r="A27" s="31" t="s">
        <v>1126</v>
      </c>
      <c r="B27" t="s">
        <v>1120</v>
      </c>
    </row>
    <row r="28" spans="1:2">
      <c r="A28" s="31" t="s">
        <v>1125</v>
      </c>
      <c r="B28" t="s">
        <v>1121</v>
      </c>
    </row>
    <row r="29" spans="1:2">
      <c r="A29" s="31" t="s">
        <v>1124</v>
      </c>
      <c r="B29" t="s">
        <v>1121</v>
      </c>
    </row>
    <row r="30" spans="1:2">
      <c r="A30" s="31" t="s">
        <v>1123</v>
      </c>
      <c r="B30" t="s">
        <v>1122</v>
      </c>
    </row>
    <row r="31" spans="1:2">
      <c r="A31" s="31" t="s">
        <v>1348</v>
      </c>
      <c r="B31" t="s">
        <v>1349</v>
      </c>
    </row>
    <row r="32" spans="1:2">
      <c r="A32" s="31" t="s">
        <v>1352</v>
      </c>
      <c r="B32" t="s">
        <v>1353</v>
      </c>
    </row>
    <row r="33" spans="1:2">
      <c r="A33" s="31" t="s">
        <v>1363</v>
      </c>
      <c r="B33" t="s">
        <v>1364</v>
      </c>
    </row>
    <row r="34" spans="1:2">
      <c r="A34" s="363" t="s">
        <v>1619</v>
      </c>
      <c r="B34" t="s">
        <v>1625</v>
      </c>
    </row>
    <row r="35" spans="1:2">
      <c r="A35" s="363" t="s">
        <v>1620</v>
      </c>
      <c r="B35" t="s">
        <v>1625</v>
      </c>
    </row>
    <row r="36" spans="1:2">
      <c r="A36" s="363" t="s">
        <v>1621</v>
      </c>
      <c r="B36" t="s">
        <v>1625</v>
      </c>
    </row>
    <row r="37" spans="1:2">
      <c r="A37" s="362" t="s">
        <v>1622</v>
      </c>
      <c r="B37" t="s">
        <v>1625</v>
      </c>
    </row>
    <row r="38" spans="1:2">
      <c r="A38" s="362" t="s">
        <v>1623</v>
      </c>
      <c r="B38" t="s">
        <v>1625</v>
      </c>
    </row>
    <row r="39" spans="1:2">
      <c r="A39" s="362" t="s">
        <v>1624</v>
      </c>
      <c r="B39" t="s">
        <v>1625</v>
      </c>
    </row>
    <row r="40" spans="1:2">
      <c r="A40" s="364" t="s">
        <v>1626</v>
      </c>
      <c r="B40" t="s">
        <v>1627</v>
      </c>
    </row>
    <row r="41" spans="1:2">
      <c r="A41" s="31" t="s">
        <v>1865</v>
      </c>
      <c r="B41" t="s">
        <v>1864</v>
      </c>
    </row>
    <row r="43" spans="1:2">
      <c r="A43" s="31" t="s">
        <v>2015</v>
      </c>
    </row>
    <row r="44" spans="1:2">
      <c r="A44" s="31" t="s">
        <v>2017</v>
      </c>
    </row>
    <row r="45" spans="1:2">
      <c r="A45" s="31" t="s">
        <v>2016</v>
      </c>
    </row>
    <row r="46" spans="1:2">
      <c r="A46" s="381" t="s">
        <v>2018</v>
      </c>
    </row>
    <row r="48" spans="1:2">
      <c r="B48" s="381"/>
    </row>
    <row r="49" spans="2:2">
      <c r="B49" s="21"/>
    </row>
    <row r="50" spans="2:2">
      <c r="B50" s="381"/>
    </row>
    <row r="51" spans="2:2">
      <c r="B51" s="21"/>
    </row>
    <row r="52" spans="2:2">
      <c r="B52" s="21"/>
    </row>
  </sheetData>
  <pageMargins left="0.7" right="0.7" top="0.78740157499999996" bottom="0.78740157499999996" header="0.3" footer="0.3"/>
  <pageSetup paperSize="9"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Variants</vt:lpstr>
      <vt:lpstr>Variability definition</vt:lpstr>
      <vt:lpstr>Sticks</vt:lpstr>
      <vt:lpstr>Review Coding</vt:lpstr>
      <vt:lpstr>Ressources</vt:lpstr>
      <vt:lpstr>SDB vs GN</vt:lpstr>
      <vt:lpstr>Legend</vt:lpstr>
      <vt:lpstr>Hints</vt:lpstr>
      <vt:lpstr>Variants!Print_Area</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Igor Menzel</dc:creator>
  <cp:lastModifiedBy>Kumaran Sekar (MS/ECR6-XC)</cp:lastModifiedBy>
  <cp:lastPrinted>2016-10-31T09:09:13Z</cp:lastPrinted>
  <dcterms:created xsi:type="dcterms:W3CDTF">2013-11-18T17:26:37Z</dcterms:created>
  <dcterms:modified xsi:type="dcterms:W3CDTF">2026-03-11T11:50:47Z</dcterms:modified>
</cp:coreProperties>
</file>